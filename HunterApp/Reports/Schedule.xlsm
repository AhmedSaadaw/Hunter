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med\OneDrive - streamcontrols.com\Desktop\Work\Hunter\HunterApp\Reports\"/>
    </mc:Choice>
  </mc:AlternateContent>
  <xr:revisionPtr revIDLastSave="0" documentId="13_ncr:1_{FBBA30AE-7541-47B5-94D9-A6E298601F0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ettings" sheetId="11" r:id="rId1"/>
    <sheet name="Schedule" sheetId="19" r:id="rId2"/>
    <sheet name="DailyReport" sheetId="12" state="hidden" r:id="rId3"/>
    <sheet name="MonthlyReport" sheetId="13" state="hidden" r:id="rId4"/>
    <sheet name="AdvancedReport" sheetId="14" state="hidden" r:id="rId5"/>
    <sheet name="24 Hours" sheetId="16" state="hidden" r:id="rId6"/>
    <sheet name="31 Days" sheetId="17" state="hidden" r:id="rId7"/>
    <sheet name="12 Months" sheetId="18" state="hidden" r:id="rId8"/>
  </sheets>
  <functionGroups builtInGroupCount="19"/>
  <definedNames>
    <definedName name="_xleta.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9" l="1"/>
  <c r="C1" i="19"/>
  <c r="B1" i="19"/>
  <c r="A2" i="19" l="1"/>
  <c r="A9" i="19"/>
  <c r="C867" i="19" a="1"/>
  <c r="C682" i="19" a="1"/>
  <c r="C460" i="19" a="1"/>
  <c r="C386" i="19" a="1"/>
  <c r="L1130" i="19" a="1"/>
  <c r="L1056" i="19" a="1"/>
  <c r="L982" i="19" a="1"/>
  <c r="L1112" i="19" a="1"/>
  <c r="L1038" i="19" a="1"/>
  <c r="L964" i="19" a="1"/>
  <c r="L890" i="19" a="1"/>
  <c r="L816" i="19" a="1"/>
  <c r="L1141" i="19" a="1"/>
  <c r="L1067" i="19" a="1"/>
  <c r="L993" i="19" a="1"/>
  <c r="L1147" i="19" a="1"/>
  <c r="L1000" i="19" a="1"/>
  <c r="L918" i="19" a="1"/>
  <c r="L835" i="19" a="1"/>
  <c r="L762" i="19" a="1"/>
  <c r="L688" i="19" a="1"/>
  <c r="L614" i="19" a="1"/>
  <c r="L1132" i="19" a="1"/>
  <c r="L998" i="19" a="1"/>
  <c r="L903" i="19" a="1"/>
  <c r="L807" i="19" a="1"/>
  <c r="L729" i="19" a="1"/>
  <c r="L655" i="19" a="1"/>
  <c r="L581" i="19" a="1"/>
  <c r="L524" i="19" a="1"/>
  <c r="L487" i="19" a="1"/>
  <c r="L450" i="19" a="1"/>
  <c r="L413" i="19" a="1"/>
  <c r="L376" i="19" a="1"/>
  <c r="L339" i="19" a="1"/>
  <c r="L302" i="19" a="1"/>
  <c r="L265" i="19" a="1"/>
  <c r="L228" i="19" a="1"/>
  <c r="L191" i="19" a="1"/>
  <c r="L154" i="19" a="1"/>
  <c r="L117" i="19" a="1"/>
  <c r="L80" i="19" a="1"/>
  <c r="L1059" i="19" a="1"/>
  <c r="L916" i="19" a="1"/>
  <c r="L841" i="19" a="1"/>
  <c r="L738" i="19" a="1"/>
  <c r="L664" i="19" a="1"/>
  <c r="L590" i="19" a="1"/>
  <c r="L1103" i="19" a="1"/>
  <c r="L997" i="19" a="1"/>
  <c r="L888" i="19" a="1"/>
  <c r="L805" i="19" a="1"/>
  <c r="L737" i="19" a="1"/>
  <c r="L663" i="19" a="1"/>
  <c r="L589" i="19" a="1"/>
  <c r="L536" i="19" a="1"/>
  <c r="L499" i="19" a="1"/>
  <c r="L462" i="19" a="1"/>
  <c r="L1139" i="19" a="1"/>
  <c r="L1041" i="19" a="1"/>
  <c r="L929" i="19" a="1"/>
  <c r="L838" i="19" a="1"/>
  <c r="L760" i="19" a="1"/>
  <c r="L686" i="19" a="1"/>
  <c r="L612" i="19" a="1"/>
  <c r="L1074" i="19" a="1"/>
  <c r="L837" i="19" a="1"/>
  <c r="L638" i="19" a="1"/>
  <c r="L497" i="19" a="1"/>
  <c r="L33" i="19" a="1"/>
  <c r="F1143" i="19" a="1"/>
  <c r="F1106" i="19" a="1"/>
  <c r="F1069" i="19" a="1"/>
  <c r="F1032" i="19" a="1"/>
  <c r="F995" i="19" a="1"/>
  <c r="F958" i="19" a="1"/>
  <c r="F921" i="19" a="1"/>
  <c r="F884" i="19" a="1"/>
  <c r="F847" i="19" a="1"/>
  <c r="F810" i="19" a="1"/>
  <c r="F773" i="19" a="1"/>
  <c r="F736" i="19" a="1"/>
  <c r="F699" i="19" a="1"/>
  <c r="L947" i="19" a="1"/>
  <c r="L726" i="19" a="1"/>
  <c r="L517" i="19" a="1"/>
  <c r="L394" i="19" a="1"/>
  <c r="L320" i="19" a="1"/>
  <c r="L246" i="19" a="1"/>
  <c r="L172" i="19" a="1"/>
  <c r="L98" i="19" a="1"/>
  <c r="L1037" i="19" a="1"/>
  <c r="L783" i="19" a="1"/>
  <c r="L564" i="19" a="1"/>
  <c r="L431" i="19" a="1"/>
  <c r="L355" i="19" a="1"/>
  <c r="L281" i="19" a="1"/>
  <c r="L207" i="19" a="1"/>
  <c r="L133" i="19" a="1"/>
  <c r="L62" i="19" a="1"/>
  <c r="L20" i="19" a="1"/>
  <c r="F1130" i="19" a="1"/>
  <c r="F1093" i="19" a="1"/>
  <c r="F1056" i="19" a="1"/>
  <c r="F1019" i="19" a="1"/>
  <c r="F982" i="19" a="1"/>
  <c r="F945" i="19" a="1"/>
  <c r="F908" i="19" a="1"/>
  <c r="F871" i="19" a="1"/>
  <c r="F834" i="19" a="1"/>
  <c r="F797" i="19" a="1"/>
  <c r="F760" i="19" a="1"/>
  <c r="L893" i="19" a="1"/>
  <c r="L675" i="19" a="1"/>
  <c r="L502" i="19" a="1"/>
  <c r="L391" i="19" a="1"/>
  <c r="L317" i="19" a="1"/>
  <c r="L243" i="19" a="1"/>
  <c r="L169" i="19" a="1"/>
  <c r="L966" i="19" a="1"/>
  <c r="L776" i="19" a="1"/>
  <c r="L560" i="19" a="1"/>
  <c r="L67" i="19" a="1"/>
  <c r="L23" i="19" a="1"/>
  <c r="F1133" i="19" a="1"/>
  <c r="F1096" i="19" a="1"/>
  <c r="F1059" i="19" a="1"/>
  <c r="C571" i="19" a="1"/>
  <c r="C1089" i="19" a="1"/>
  <c r="C164" i="19" a="1"/>
  <c r="L1156" i="19" a="1"/>
  <c r="L1119" i="19" a="1"/>
  <c r="L1045" i="19" a="1"/>
  <c r="L971" i="19" a="1"/>
  <c r="L1105" i="19" a="1"/>
  <c r="L1031" i="19" a="1"/>
  <c r="L957" i="19" a="1"/>
  <c r="L883" i="19" a="1"/>
  <c r="L809" i="19" a="1"/>
  <c r="L1134" i="19" a="1"/>
  <c r="L1060" i="19" a="1"/>
  <c r="L986" i="19" a="1"/>
  <c r="L1133" i="19" a="1"/>
  <c r="L990" i="19" a="1"/>
  <c r="L911" i="19" a="1"/>
  <c r="L823" i="19" a="1"/>
  <c r="L748" i="19" a="1"/>
  <c r="L674" i="19" a="1"/>
  <c r="L600" i="19" a="1"/>
  <c r="L1116" i="19" a="1"/>
  <c r="L978" i="19" a="1"/>
  <c r="L875" i="19" a="1"/>
  <c r="L800" i="19" a="1"/>
  <c r="L720" i="19" a="1"/>
  <c r="L646" i="19" a="1"/>
  <c r="L572" i="19" a="1"/>
  <c r="L520" i="19" a="1"/>
  <c r="L483" i="19" a="1"/>
  <c r="L446" i="19" a="1"/>
  <c r="L409" i="19" a="1"/>
  <c r="L372" i="19" a="1"/>
  <c r="L335" i="19" a="1"/>
  <c r="L298" i="19" a="1"/>
  <c r="L261" i="19" a="1"/>
  <c r="L224" i="19" a="1"/>
  <c r="L187" i="19" a="1"/>
  <c r="L150" i="19" a="1"/>
  <c r="L113" i="19" a="1"/>
  <c r="L76" i="19" a="1"/>
  <c r="L1043" i="19" a="1"/>
  <c r="L909" i="19" a="1"/>
  <c r="L833" i="19" a="1"/>
  <c r="L733" i="19" a="1"/>
  <c r="L659" i="19" a="1"/>
  <c r="L585" i="19" a="1"/>
  <c r="L1094" i="19" a="1"/>
  <c r="L977" i="19" a="1"/>
  <c r="L881" i="19" a="1"/>
  <c r="L798" i="19" a="1"/>
  <c r="L728" i="19" a="1"/>
  <c r="L654" i="19" a="1"/>
  <c r="L580" i="19" a="1"/>
  <c r="L527" i="19" a="1"/>
  <c r="L490" i="19" a="1"/>
  <c r="L453" i="19" a="1"/>
  <c r="L1127" i="19" a="1"/>
  <c r="L1021" i="19" a="1"/>
  <c r="L922" i="19" a="1"/>
  <c r="L831" i="19" a="1"/>
  <c r="L746" i="19" a="1"/>
  <c r="L672" i="19" a="1"/>
  <c r="L598" i="19" a="1"/>
  <c r="L1040" i="19" a="1"/>
  <c r="L811" i="19" a="1"/>
  <c r="L625" i="19" a="1"/>
  <c r="L469" i="19" a="1"/>
  <c r="L29" i="19" a="1"/>
  <c r="F1139" i="19" a="1"/>
  <c r="F1102" i="19" a="1"/>
  <c r="F1065" i="19" a="1"/>
  <c r="F1028" i="19" a="1"/>
  <c r="F991" i="19" a="1"/>
  <c r="F954" i="19" a="1"/>
  <c r="F917" i="19" a="1"/>
  <c r="F880" i="19" a="1"/>
  <c r="F843" i="19" a="1"/>
  <c r="F806" i="19" a="1"/>
  <c r="F769" i="19" a="1"/>
  <c r="F732" i="19" a="1"/>
  <c r="F695" i="19" a="1"/>
  <c r="L921" i="19" a="1"/>
  <c r="L684" i="19" a="1"/>
  <c r="L489" i="19" a="1"/>
  <c r="L386" i="19" a="1"/>
  <c r="L312" i="19" a="1"/>
  <c r="L238" i="19" a="1"/>
  <c r="L164" i="19" a="1"/>
  <c r="L90" i="19" a="1"/>
  <c r="L1003" i="19" a="1"/>
  <c r="L764" i="19" a="1"/>
  <c r="L551" i="19" a="1"/>
  <c r="L416" i="19" a="1"/>
  <c r="L342" i="19" a="1"/>
  <c r="L268" i="19" a="1"/>
  <c r="L194" i="19" a="1"/>
  <c r="L120" i="19" a="1"/>
  <c r="L56" i="19" a="1"/>
  <c r="L16" i="19" a="1"/>
  <c r="F1126" i="19" a="1"/>
  <c r="F1089" i="19" a="1"/>
  <c r="F1052" i="19" a="1"/>
  <c r="F1015" i="19" a="1"/>
  <c r="F978" i="19" a="1"/>
  <c r="F941" i="19" a="1"/>
  <c r="F904" i="19" a="1"/>
  <c r="F867" i="19" a="1"/>
  <c r="F830" i="19" a="1"/>
  <c r="F793" i="19" a="1"/>
  <c r="L1126" i="19" a="1"/>
  <c r="L872" i="19" a="1"/>
  <c r="L662" i="19" a="1"/>
  <c r="L488" i="19" a="1"/>
  <c r="L378" i="19" a="1"/>
  <c r="L304" i="19" a="1"/>
  <c r="L230" i="19" a="1"/>
  <c r="L156" i="19" a="1"/>
  <c r="L940" i="19" a="1"/>
  <c r="L763" i="19" a="1"/>
  <c r="L550" i="19" a="1"/>
  <c r="L61" i="19" a="1"/>
  <c r="L19" i="19" a="1"/>
  <c r="F1129" i="19" a="1"/>
  <c r="F1092" i="19" a="1"/>
  <c r="F1055" i="19" a="1"/>
  <c r="C53" i="19" a="1"/>
  <c r="C275" i="19" a="1"/>
  <c r="C793" i="19" a="1"/>
  <c r="C90" i="19" a="1"/>
  <c r="L1155" i="19" a="1"/>
  <c r="L1106" i="19" a="1"/>
  <c r="L1032" i="19" a="1"/>
  <c r="L958" i="19" a="1"/>
  <c r="L1099" i="19" a="1"/>
  <c r="L1025" i="19" a="1"/>
  <c r="L951" i="19" a="1"/>
  <c r="L877" i="19" a="1"/>
  <c r="L803" i="19" a="1"/>
  <c r="L1128" i="19" a="1"/>
  <c r="L1054" i="19" a="1"/>
  <c r="L980" i="19" a="1"/>
  <c r="L1117" i="19" a="1"/>
  <c r="L979" i="19" a="1"/>
  <c r="L891" i="19" a="1"/>
  <c r="L815" i="19" a="1"/>
  <c r="L739" i="19" a="1"/>
  <c r="L665" i="19" a="1"/>
  <c r="L591" i="19" a="1"/>
  <c r="L1107" i="19" a="1"/>
  <c r="L963" i="19" a="1"/>
  <c r="L868" i="19" a="1"/>
  <c r="L780" i="19" a="1"/>
  <c r="L706" i="19" a="1"/>
  <c r="L632" i="19" a="1"/>
  <c r="L558" i="19" a="1"/>
  <c r="L516" i="19" a="1"/>
  <c r="L479" i="19" a="1"/>
  <c r="L442" i="19" a="1"/>
  <c r="L405" i="19" a="1"/>
  <c r="L368" i="19" a="1"/>
  <c r="L331" i="19" a="1"/>
  <c r="L294" i="19" a="1"/>
  <c r="L257" i="19" a="1"/>
  <c r="L220" i="19" a="1"/>
  <c r="L183" i="19" a="1"/>
  <c r="L146" i="19" a="1"/>
  <c r="L109" i="19" a="1"/>
  <c r="L1145" i="19" a="1"/>
  <c r="L1034" i="19" a="1"/>
  <c r="L897" i="19" a="1"/>
  <c r="L813" i="19" a="1"/>
  <c r="L724" i="19" a="1"/>
  <c r="L650" i="19" a="1"/>
  <c r="L576" i="19" a="1"/>
  <c r="L1078" i="19" a="1"/>
  <c r="L950" i="19" a="1"/>
  <c r="L874" i="19" a="1"/>
  <c r="L786" i="19" a="1"/>
  <c r="L719" i="19" a="1"/>
  <c r="L645" i="19" a="1"/>
  <c r="L571" i="19" a="1"/>
  <c r="L523" i="19" a="1"/>
  <c r="L486" i="19" a="1"/>
  <c r="L449" i="19" a="1"/>
  <c r="L1113" i="19" a="1"/>
  <c r="L1005" i="19" a="1"/>
  <c r="L915" i="19" a="1"/>
  <c r="L819" i="19" a="1"/>
  <c r="L741" i="19" a="1"/>
  <c r="L667" i="19" a="1"/>
  <c r="L593" i="19" a="1"/>
  <c r="L1016" i="19" a="1"/>
  <c r="L794" i="19" a="1"/>
  <c r="L615" i="19" a="1"/>
  <c r="L460" i="19" a="1"/>
  <c r="L25" i="19" a="1"/>
  <c r="F1135" i="19" a="1"/>
  <c r="F1098" i="19" a="1"/>
  <c r="F1061" i="19" a="1"/>
  <c r="F1024" i="19" a="1"/>
  <c r="F987" i="19" a="1"/>
  <c r="F950" i="19" a="1"/>
  <c r="F913" i="19" a="1"/>
  <c r="F876" i="19" a="1"/>
  <c r="F839" i="19" a="1"/>
  <c r="F802" i="19" a="1"/>
  <c r="F765" i="19" a="1"/>
  <c r="F728" i="19" a="1"/>
  <c r="F691" i="19" a="1"/>
  <c r="L904" i="19" a="1"/>
  <c r="L666" i="19" a="1"/>
  <c r="L480" i="19" a="1"/>
  <c r="L373" i="19" a="1"/>
  <c r="L299" i="19" a="1"/>
  <c r="L225" i="19" a="1"/>
  <c r="L151" i="19" a="1"/>
  <c r="L77" i="19" a="1"/>
  <c r="L968" i="19" a="1"/>
  <c r="L707" i="19" a="1"/>
  <c r="L542" i="19" a="1"/>
  <c r="L408" i="19" a="1"/>
  <c r="L334" i="19" a="1"/>
  <c r="L260" i="19" a="1"/>
  <c r="L186" i="19" a="1"/>
  <c r="L112" i="19" a="1"/>
  <c r="L45" i="19" a="1"/>
  <c r="F1154" i="19" a="1"/>
  <c r="F1117" i="19" a="1"/>
  <c r="F1080" i="19" a="1"/>
  <c r="F1043" i="19" a="1"/>
  <c r="F1006" i="19" a="1"/>
  <c r="F969" i="19" a="1"/>
  <c r="F932" i="19" a="1"/>
  <c r="F895" i="19" a="1"/>
  <c r="F858" i="19" a="1"/>
  <c r="F821" i="19" a="1"/>
  <c r="F784" i="19" a="1"/>
  <c r="L1098" i="19" a="1"/>
  <c r="L850" i="19" a="1"/>
  <c r="L652" i="19" a="1"/>
  <c r="L465" i="19" a="1"/>
  <c r="L370" i="19" a="1"/>
  <c r="L296" i="19" a="1"/>
  <c r="L222" i="19" a="1"/>
  <c r="L148" i="19" a="1"/>
  <c r="L913" i="19" a="1"/>
  <c r="L721" i="19" a="1"/>
  <c r="L522" i="19" a="1"/>
  <c r="L54" i="19" a="1"/>
  <c r="L15" i="19" a="1"/>
  <c r="F1125" i="19" a="1"/>
  <c r="F1088" i="19" a="1"/>
  <c r="F1051" i="19" a="1"/>
  <c r="C904" i="19" a="1"/>
  <c r="C941" i="19" a="1"/>
  <c r="C497" i="19" a="1"/>
  <c r="C349" i="19" a="1"/>
  <c r="L1154" i="19" a="1"/>
  <c r="L1100" i="19" a="1"/>
  <c r="L1026" i="19" a="1"/>
  <c r="L952" i="19" a="1"/>
  <c r="L1081" i="19" a="1"/>
  <c r="L1007" i="19" a="1"/>
  <c r="L933" i="19" a="1"/>
  <c r="L859" i="19" a="1"/>
  <c r="L785" i="19" a="1"/>
  <c r="L1110" i="19" a="1"/>
  <c r="L1036" i="19" a="1"/>
  <c r="L962" i="19" a="1"/>
  <c r="L1108" i="19" a="1"/>
  <c r="L965" i="19" a="1"/>
  <c r="L884" i="19" a="1"/>
  <c r="L808" i="19" a="1"/>
  <c r="L730" i="19" a="1"/>
  <c r="L656" i="19" a="1"/>
  <c r="L582" i="19" a="1"/>
  <c r="L1096" i="19" a="1"/>
  <c r="L953" i="19" a="1"/>
  <c r="L856" i="19" a="1"/>
  <c r="L773" i="19" a="1"/>
  <c r="L697" i="19" a="1"/>
  <c r="L623" i="19" a="1"/>
  <c r="L549" i="19" a="1"/>
  <c r="L512" i="19" a="1"/>
  <c r="L475" i="19" a="1"/>
  <c r="L438" i="19" a="1"/>
  <c r="L401" i="19" a="1"/>
  <c r="L364" i="19" a="1"/>
  <c r="L327" i="19" a="1"/>
  <c r="L290" i="19" a="1"/>
  <c r="L253" i="19" a="1"/>
  <c r="L216" i="19" a="1"/>
  <c r="L179" i="19" a="1"/>
  <c r="L142" i="19" a="1"/>
  <c r="L105" i="19" a="1"/>
  <c r="L1131" i="19" a="1"/>
  <c r="L1014" i="19" a="1"/>
  <c r="L889" i="19" a="1"/>
  <c r="L806" i="19" a="1"/>
  <c r="L710" i="19" a="1"/>
  <c r="L636" i="19" a="1"/>
  <c r="L562" i="19" a="1"/>
  <c r="L1058" i="19" a="1"/>
  <c r="L942" i="19" a="1"/>
  <c r="L854" i="19" a="1"/>
  <c r="L778" i="19" a="1"/>
  <c r="L705" i="19" a="1"/>
  <c r="L631" i="19" a="1"/>
  <c r="L557" i="19" a="1"/>
  <c r="L519" i="19" a="1"/>
  <c r="L482" i="19" a="1"/>
  <c r="L445" i="19" a="1"/>
  <c r="L1102" i="19" a="1"/>
  <c r="L996" i="19" a="1"/>
  <c r="L907" i="19" a="1"/>
  <c r="L812" i="19" a="1"/>
  <c r="L732" i="19" a="1"/>
  <c r="L658" i="19" a="1"/>
  <c r="L584" i="19" a="1"/>
  <c r="L983" i="19" a="1"/>
  <c r="L768" i="19" a="1"/>
  <c r="L573" i="19" a="1"/>
  <c r="L432" i="19" a="1"/>
  <c r="L21" i="19" a="1"/>
  <c r="F1131" i="19" a="1"/>
  <c r="F1094" i="19" a="1"/>
  <c r="F1057" i="19" a="1"/>
  <c r="F1020" i="19" a="1"/>
  <c r="F983" i="19" a="1"/>
  <c r="F946" i="19" a="1"/>
  <c r="F909" i="19" a="1"/>
  <c r="F872" i="19" a="1"/>
  <c r="F835" i="19" a="1"/>
  <c r="F798" i="19" a="1"/>
  <c r="F761" i="19" a="1"/>
  <c r="F724" i="19" a="1"/>
  <c r="L1101" i="19" a="1"/>
  <c r="L852" i="19" a="1"/>
  <c r="L653" i="19" a="1"/>
  <c r="L452" i="19" a="1"/>
  <c r="L365" i="19" a="1"/>
  <c r="L291" i="19" a="1"/>
  <c r="L217" i="19" a="1"/>
  <c r="L143" i="19" a="1"/>
  <c r="L63" i="19" a="1"/>
  <c r="L946" i="19" a="1"/>
  <c r="L694" i="19" a="1"/>
  <c r="L514" i="19" a="1"/>
  <c r="L400" i="19" a="1"/>
  <c r="L326" i="19" a="1"/>
  <c r="L252" i="19" a="1"/>
  <c r="L178" i="19" a="1"/>
  <c r="L104" i="19" a="1"/>
  <c r="L40" i="19" a="1"/>
  <c r="F1150" i="19" a="1"/>
  <c r="F1113" i="19" a="1"/>
  <c r="F1076" i="19" a="1"/>
  <c r="F1039" i="19" a="1"/>
  <c r="F1002" i="19" a="1"/>
  <c r="F965" i="19" a="1"/>
  <c r="F928" i="19" a="1"/>
  <c r="F891" i="19" a="1"/>
  <c r="F854" i="19" a="1"/>
  <c r="F817" i="19" a="1"/>
  <c r="F780" i="19" a="1"/>
  <c r="L1064" i="19" a="1"/>
  <c r="L804" i="19" a="1"/>
  <c r="L610" i="19" a="1"/>
  <c r="L451" i="19" a="1"/>
  <c r="L362" i="19" a="1"/>
  <c r="L288" i="19" a="1"/>
  <c r="L214" i="19" a="1"/>
  <c r="L140" i="19" a="1"/>
  <c r="L892" i="19" a="1"/>
  <c r="L703" i="19" a="1"/>
  <c r="L513" i="19" a="1"/>
  <c r="L44" i="19" a="1"/>
  <c r="F1153" i="19" a="1"/>
  <c r="C608" i="19" a="1"/>
  <c r="C1126" i="19" a="1"/>
  <c r="C201" i="19" a="1"/>
  <c r="C1015" i="19" a="1"/>
  <c r="L1153" i="19" a="1"/>
  <c r="L1093" i="19" a="1"/>
  <c r="L1019" i="19" a="1"/>
  <c r="L1151" i="19" a="1"/>
  <c r="L1075" i="19" a="1"/>
  <c r="L1001" i="19" a="1"/>
  <c r="L927" i="19" a="1"/>
  <c r="L853" i="19" a="1"/>
  <c r="L779" i="19" a="1"/>
  <c r="L1104" i="19" a="1"/>
  <c r="L1030" i="19" a="1"/>
  <c r="L956" i="19" a="1"/>
  <c r="L1088" i="19" a="1"/>
  <c r="L954" i="19" a="1"/>
  <c r="L876" i="19" a="1"/>
  <c r="L793" i="19" a="1"/>
  <c r="L725" i="19" a="1"/>
  <c r="L651" i="19" a="1"/>
  <c r="L577" i="19" a="1"/>
  <c r="L1080" i="19" a="1"/>
  <c r="L944" i="19" a="1"/>
  <c r="L849" i="19" a="1"/>
  <c r="L766" i="19" a="1"/>
  <c r="L692" i="19" a="1"/>
  <c r="L618" i="19" a="1"/>
  <c r="L545" i="19" a="1"/>
  <c r="L508" i="19" a="1"/>
  <c r="L471" i="19" a="1"/>
  <c r="L434" i="19" a="1"/>
  <c r="L397" i="19" a="1"/>
  <c r="L360" i="19" a="1"/>
  <c r="L323" i="19" a="1"/>
  <c r="L286" i="19" a="1"/>
  <c r="L249" i="19" a="1"/>
  <c r="L212" i="19" a="1"/>
  <c r="L175" i="19" a="1"/>
  <c r="L138" i="19" a="1"/>
  <c r="L101" i="19" a="1"/>
  <c r="L1115" i="19" a="1"/>
  <c r="L987" i="19" a="1"/>
  <c r="L882" i="19" a="1"/>
  <c r="L799" i="19" a="1"/>
  <c r="L701" i="19" a="1"/>
  <c r="L627" i="19" a="1"/>
  <c r="L553" i="19" a="1"/>
  <c r="L1042" i="19" a="1"/>
  <c r="L930" i="19" a="1"/>
  <c r="L847" i="19" a="1"/>
  <c r="L771" i="19" a="1"/>
  <c r="L700" i="19" a="1"/>
  <c r="L626" i="19" a="1"/>
  <c r="L552" i="19" a="1"/>
  <c r="L515" i="19" a="1"/>
  <c r="L478" i="19" a="1"/>
  <c r="L441" i="19" a="1"/>
  <c r="L1092" i="19" a="1"/>
  <c r="L985" i="19" a="1"/>
  <c r="L887" i="19" a="1"/>
  <c r="L797" i="19" a="1"/>
  <c r="L723" i="19" a="1"/>
  <c r="L649" i="19" a="1"/>
  <c r="L575" i="19" a="1"/>
  <c r="L948" i="19" a="1"/>
  <c r="L755" i="19" a="1"/>
  <c r="L555" i="19" a="1"/>
  <c r="L70" i="19" a="1"/>
  <c r="L17" i="19" a="1"/>
  <c r="F1127" i="19" a="1"/>
  <c r="F1090" i="19" a="1"/>
  <c r="F1053" i="19" a="1"/>
  <c r="F1016" i="19" a="1"/>
  <c r="F979" i="19" a="1"/>
  <c r="F942" i="19" a="1"/>
  <c r="F905" i="19" a="1"/>
  <c r="F868" i="19" a="1"/>
  <c r="F831" i="19" a="1"/>
  <c r="F794" i="19" a="1"/>
  <c r="F757" i="19" a="1"/>
  <c r="F720" i="19" a="1"/>
  <c r="L1072" i="19" a="1"/>
  <c r="L836" i="19" a="1"/>
  <c r="L596" i="19" a="1"/>
  <c r="L443" i="19" a="1"/>
  <c r="L357" i="19" a="1"/>
  <c r="L283" i="19" a="1"/>
  <c r="L209" i="19" a="1"/>
  <c r="L135" i="19" a="1"/>
  <c r="L57" i="19" a="1"/>
  <c r="L894" i="19" a="1"/>
  <c r="L681" i="19" a="1"/>
  <c r="L505" i="19" a="1"/>
  <c r="L392" i="19" a="1"/>
  <c r="L318" i="19" a="1"/>
  <c r="L244" i="19" a="1"/>
  <c r="L170" i="19" a="1"/>
  <c r="L96" i="19" a="1"/>
  <c r="L36" i="19" a="1"/>
  <c r="F1146" i="19" a="1"/>
  <c r="F1109" i="19" a="1"/>
  <c r="F1072" i="19" a="1"/>
  <c r="F1035" i="19" a="1"/>
  <c r="F998" i="19" a="1"/>
  <c r="F961" i="19" a="1"/>
  <c r="F924" i="19" a="1"/>
  <c r="F887" i="19" a="1"/>
  <c r="F850" i="19" a="1"/>
  <c r="F813" i="19" a="1"/>
  <c r="F776" i="19" a="1"/>
  <c r="L1029" i="19" a="1"/>
  <c r="L782" i="19" a="1"/>
  <c r="L592" i="19" a="1"/>
  <c r="L428" i="19" a="1"/>
  <c r="L354" i="19" a="1"/>
  <c r="L280" i="19" a="1"/>
  <c r="L206" i="19" a="1"/>
  <c r="L132" i="19" a="1"/>
  <c r="L871" i="19" a="1"/>
  <c r="L690" i="19" a="1"/>
  <c r="L485" i="19" a="1"/>
  <c r="L39" i="19" a="1"/>
  <c r="F1149" i="19" a="1"/>
  <c r="F1112" i="19" a="1"/>
  <c r="F1075" i="19" a="1"/>
  <c r="C312" i="19" a="1"/>
  <c r="C830" i="19" a="1"/>
  <c r="C978" i="19" a="1"/>
  <c r="C719" i="19" a="1"/>
  <c r="L1152" i="19" a="1"/>
  <c r="L1082" i="19" a="1"/>
  <c r="L1008" i="19" a="1"/>
  <c r="L1143" i="19" a="1"/>
  <c r="L1068" i="19" a="1"/>
  <c r="L994" i="19" a="1"/>
  <c r="L920" i="19" a="1"/>
  <c r="L846" i="19" a="1"/>
  <c r="L772" i="19" a="1"/>
  <c r="L1097" i="19" a="1"/>
  <c r="L1023" i="19" a="1"/>
  <c r="L949" i="19" a="1"/>
  <c r="L1061" i="19" a="1"/>
  <c r="L945" i="19" a="1"/>
  <c r="L869" i="19" a="1"/>
  <c r="L781" i="19" a="1"/>
  <c r="L711" i="19" a="1"/>
  <c r="L637" i="19" a="1"/>
  <c r="L563" i="19" a="1"/>
  <c r="L1071" i="19" a="1"/>
  <c r="L924" i="19" a="1"/>
  <c r="L834" i="19" a="1"/>
  <c r="L757" i="19" a="1"/>
  <c r="L683" i="19" a="1"/>
  <c r="L609" i="19" a="1"/>
  <c r="L541" i="19" a="1"/>
  <c r="L504" i="19" a="1"/>
  <c r="L467" i="19" a="1"/>
  <c r="L430" i="19" a="1"/>
  <c r="L393" i="19" a="1"/>
  <c r="L356" i="19" a="1"/>
  <c r="L319" i="19" a="1"/>
  <c r="L282" i="19" a="1"/>
  <c r="L245" i="19" a="1"/>
  <c r="L208" i="19" a="1"/>
  <c r="L171" i="19" a="1"/>
  <c r="L134" i="19" a="1"/>
  <c r="L97" i="19" a="1"/>
  <c r="L1095" i="19" a="1"/>
  <c r="L961" i="19" a="1"/>
  <c r="L867" i="19" a="1"/>
  <c r="L792" i="19" a="1"/>
  <c r="L696" i="19" a="1"/>
  <c r="L622" i="19" a="1"/>
  <c r="L1142" i="19" a="1"/>
  <c r="L1033" i="19" a="1"/>
  <c r="L923" i="19" a="1"/>
  <c r="L839" i="19" a="1"/>
  <c r="L765" i="19" a="1"/>
  <c r="L691" i="19" a="1"/>
  <c r="L617" i="19" a="1"/>
  <c r="L548" i="19" a="1"/>
  <c r="L511" i="19" a="1"/>
  <c r="L474" i="19" a="1"/>
  <c r="L437" i="19" a="1"/>
  <c r="L1077" i="19" a="1"/>
  <c r="L969" i="19" a="1"/>
  <c r="L880" i="19" a="1"/>
  <c r="L784" i="19" a="1"/>
  <c r="L709" i="19" a="1"/>
  <c r="L635" i="19" a="1"/>
  <c r="L561" i="19" a="1"/>
  <c r="L926" i="19" a="1"/>
  <c r="L708" i="19" a="1"/>
  <c r="L543" i="19" a="1"/>
  <c r="L64" i="19" a="1"/>
  <c r="F1155" i="19" a="1"/>
  <c r="F1118" i="19" a="1"/>
  <c r="F1081" i="19" a="1"/>
  <c r="F1044" i="19" a="1"/>
  <c r="F1007" i="19" a="1"/>
  <c r="F970" i="19" a="1"/>
  <c r="F933" i="19" a="1"/>
  <c r="F896" i="19" a="1"/>
  <c r="F859" i="19" a="1"/>
  <c r="F822" i="19" a="1"/>
  <c r="F785" i="19" a="1"/>
  <c r="F748" i="19" a="1"/>
  <c r="F711" i="19" a="1"/>
  <c r="L1039" i="19" a="1"/>
  <c r="L810" i="19" a="1"/>
  <c r="L583" i="19" a="1"/>
  <c r="L423" i="19" a="1"/>
  <c r="L349" i="19" a="1"/>
  <c r="L275" i="19" a="1"/>
  <c r="L201" i="19" a="1"/>
  <c r="L127" i="19" a="1"/>
  <c r="L46" i="19" a="1"/>
  <c r="L878" i="19" a="1"/>
  <c r="L634" i="19" a="1"/>
  <c r="L477" i="19" a="1"/>
  <c r="L379" i="19" a="1"/>
  <c r="L305" i="19" a="1"/>
  <c r="L231" i="19" a="1"/>
  <c r="L157" i="19" a="1"/>
  <c r="L83" i="19" a="1"/>
  <c r="L32" i="19" a="1"/>
  <c r="F1142" i="19" a="1"/>
  <c r="F1105" i="19" a="1"/>
  <c r="F1068" i="19" a="1"/>
  <c r="F1031" i="19" a="1"/>
  <c r="F994" i="19" a="1"/>
  <c r="F957" i="19" a="1"/>
  <c r="F920" i="19" a="1"/>
  <c r="F883" i="19" a="1"/>
  <c r="F846" i="19" a="1"/>
  <c r="F809" i="19" a="1"/>
  <c r="F772" i="19" a="1"/>
  <c r="L1002" i="19" a="1"/>
  <c r="L745" i="19" a="1"/>
  <c r="L579" i="19" a="1"/>
  <c r="L415" i="19" a="1"/>
  <c r="L341" i="19" a="1"/>
  <c r="L267" i="19" a="1"/>
  <c r="L193" i="19" a="1"/>
  <c r="L119" i="19" a="1"/>
  <c r="L845" i="19" a="1"/>
  <c r="L633" i="19" a="1"/>
  <c r="L476" i="19" a="1"/>
  <c r="L35" i="19" a="1"/>
  <c r="F1145" i="19" a="1"/>
  <c r="F1108" i="19" a="1"/>
  <c r="F1071" i="19" a="1"/>
  <c r="C16" i="19" a="1"/>
  <c r="C534" i="19" a="1"/>
  <c r="C1052" i="19" a="1"/>
  <c r="C423" i="19" a="1"/>
  <c r="L1144" i="19" a="1"/>
  <c r="L1069" i="19" a="1"/>
  <c r="L995" i="19" a="1"/>
  <c r="L1136" i="19" a="1"/>
  <c r="L1062" i="19" a="1"/>
  <c r="L988" i="19" a="1"/>
  <c r="L914" i="19" a="1"/>
  <c r="L840" i="19" a="1"/>
  <c r="L1150" i="19" a="1"/>
  <c r="L1091" i="19" a="1"/>
  <c r="L1017" i="19" a="1"/>
  <c r="L1148" i="19" a="1"/>
  <c r="L1035" i="19" a="1"/>
  <c r="L932" i="19" a="1"/>
  <c r="L857" i="19" a="1"/>
  <c r="L774" i="19" a="1"/>
  <c r="L702" i="19" a="1"/>
  <c r="L628" i="19" a="1"/>
  <c r="L554" i="19" a="1"/>
  <c r="L1051" i="19" a="1"/>
  <c r="L917" i="19" a="1"/>
  <c r="L821" i="19" a="1"/>
  <c r="L743" i="19" a="1"/>
  <c r="L669" i="19" a="1"/>
  <c r="L595" i="19" a="1"/>
  <c r="L537" i="19" a="1"/>
  <c r="L500" i="19" a="1"/>
  <c r="L463" i="19" a="1"/>
  <c r="L426" i="19" a="1"/>
  <c r="L389" i="19" a="1"/>
  <c r="L352" i="19" a="1"/>
  <c r="L315" i="19" a="1"/>
  <c r="L278" i="19" a="1"/>
  <c r="L241" i="19" a="1"/>
  <c r="L204" i="19" a="1"/>
  <c r="L167" i="19" a="1"/>
  <c r="L130" i="19" a="1"/>
  <c r="L93" i="19" a="1"/>
  <c r="L1079" i="19" a="1"/>
  <c r="L943" i="19" a="1"/>
  <c r="L855" i="19" a="1"/>
  <c r="L761" i="19" a="1"/>
  <c r="L687" i="19" a="1"/>
  <c r="L613" i="19" a="1"/>
  <c r="L1129" i="19" a="1"/>
  <c r="L1022" i="19" a="1"/>
  <c r="L908" i="19" a="1"/>
  <c r="L832" i="19" a="1"/>
  <c r="L756" i="19" a="1"/>
  <c r="L682" i="19" a="1"/>
  <c r="L608" i="19" a="1"/>
  <c r="L544" i="19" a="1"/>
  <c r="L507" i="19" a="1"/>
  <c r="L470" i="19" a="1"/>
  <c r="L433" i="19" a="1"/>
  <c r="L1066" i="19" a="1"/>
  <c r="L960" i="19" a="1"/>
  <c r="L873" i="19" a="1"/>
  <c r="L777" i="19" a="1"/>
  <c r="L704" i="19" a="1"/>
  <c r="L630" i="19" a="1"/>
  <c r="L556" i="19" a="1"/>
  <c r="L905" i="19" a="1"/>
  <c r="L698" i="19" a="1"/>
  <c r="L534" i="19" a="1"/>
  <c r="L41" i="19" a="1"/>
  <c r="F1151" i="19" a="1"/>
  <c r="F1114" i="19" a="1"/>
  <c r="F1077" i="19" a="1"/>
  <c r="F1040" i="19" a="1"/>
  <c r="F1003" i="19" a="1"/>
  <c r="F966" i="19" a="1"/>
  <c r="F929" i="19" a="1"/>
  <c r="F892" i="19" a="1"/>
  <c r="F855" i="19" a="1"/>
  <c r="F818" i="19" a="1"/>
  <c r="F781" i="19" a="1"/>
  <c r="F744" i="19" a="1"/>
  <c r="F707" i="19" a="1"/>
  <c r="L1004" i="19" a="1"/>
  <c r="L749" i="19" a="1"/>
  <c r="L570" i="19" a="1"/>
  <c r="L410" i="19" a="1"/>
  <c r="L336" i="19" a="1"/>
  <c r="L262" i="19" a="1"/>
  <c r="L188" i="19" a="1"/>
  <c r="L114" i="19" a="1"/>
  <c r="L1135" i="19" a="1"/>
  <c r="L851" i="19" a="1"/>
  <c r="L624" i="19" a="1"/>
  <c r="L468" i="19" a="1"/>
  <c r="L371" i="19" a="1"/>
  <c r="L297" i="19" a="1"/>
  <c r="L223" i="19" a="1"/>
  <c r="L149" i="19" a="1"/>
  <c r="L75" i="19" a="1"/>
  <c r="L28" i="19" a="1"/>
  <c r="F1138" i="19" a="1"/>
  <c r="F1101" i="19" a="1"/>
  <c r="F1064" i="19" a="1"/>
  <c r="F1027" i="19" a="1"/>
  <c r="F990" i="19" a="1"/>
  <c r="F953" i="19" a="1"/>
  <c r="F916" i="19" a="1"/>
  <c r="F879" i="19" a="1"/>
  <c r="F842" i="19" a="1"/>
  <c r="F805" i="19" a="1"/>
  <c r="F768" i="19" a="1"/>
  <c r="L967" i="19" a="1"/>
  <c r="L735" i="19" a="1"/>
  <c r="L539" i="19" a="1"/>
  <c r="L407" i="19" a="1"/>
  <c r="L333" i="19" a="1"/>
  <c r="L259" i="19" a="1"/>
  <c r="L185" i="19" a="1"/>
  <c r="L1090" i="19" a="1"/>
  <c r="L829" i="19" a="1"/>
  <c r="L620" i="19" a="1"/>
  <c r="L448" i="19" a="1"/>
  <c r="L31" i="19" a="1"/>
  <c r="F1141" i="19" a="1"/>
  <c r="F1104" i="19" a="1"/>
  <c r="F1067" i="19" a="1"/>
  <c r="C645" i="19" a="1"/>
  <c r="L1044" i="19" a="1"/>
  <c r="L1015" i="19" a="1"/>
  <c r="L910" i="19" a="1"/>
  <c r="L422" i="19" a="1"/>
  <c r="L126" i="19" a="1"/>
  <c r="L1114" i="19" a="1"/>
  <c r="L503" i="19" a="1"/>
  <c r="L621" i="19" a="1"/>
  <c r="F1073" i="19" a="1"/>
  <c r="F777" i="19" a="1"/>
  <c r="L254" i="19" a="1"/>
  <c r="L289" i="19" a="1"/>
  <c r="F1023" i="19" a="1"/>
  <c r="L919" i="19" a="1"/>
  <c r="L802" i="19" a="1"/>
  <c r="F1063" i="19" a="1"/>
  <c r="F1014" i="19" a="1"/>
  <c r="F977" i="19" a="1"/>
  <c r="F940" i="19" a="1"/>
  <c r="F903" i="19" a="1"/>
  <c r="F866" i="19" a="1"/>
  <c r="F829" i="19" a="1"/>
  <c r="F792" i="19" a="1"/>
  <c r="L1052" i="19" a="1"/>
  <c r="L395" i="19" a="1"/>
  <c r="L192" i="19" a="1"/>
  <c r="F746" i="19" a="1"/>
  <c r="F698" i="19" a="1"/>
  <c r="L955" i="19" a="1"/>
  <c r="L473" i="19" a="1"/>
  <c r="L264" i="19" a="1"/>
  <c r="L79" i="19" a="1"/>
  <c r="F1132" i="19" a="1"/>
  <c r="F1058" i="19" a="1"/>
  <c r="F984" i="19" a="1"/>
  <c r="L1020" i="19" a="1"/>
  <c r="L509" i="19" a="1"/>
  <c r="L263" i="19" a="1"/>
  <c r="L78" i="19" a="1"/>
  <c r="F723" i="19" a="1"/>
  <c r="F673" i="19" a="1"/>
  <c r="L601" i="19" a="1"/>
  <c r="L332" i="19" a="1"/>
  <c r="L137" i="19" a="1"/>
  <c r="L758" i="19" a="1"/>
  <c r="L377" i="19" a="1"/>
  <c r="L182" i="19" a="1"/>
  <c r="L131" i="19" a="1"/>
  <c r="F1091" i="19" a="1"/>
  <c r="F943" i="19" a="1"/>
  <c r="F738" i="19" a="1"/>
  <c r="F646" i="19" a="1"/>
  <c r="F609" i="19" a="1"/>
  <c r="F572" i="19" a="1"/>
  <c r="F535" i="19" a="1"/>
  <c r="F498" i="19" a="1"/>
  <c r="F461" i="19" a="1"/>
  <c r="F424" i="19" a="1"/>
  <c r="F387" i="19" a="1"/>
  <c r="F350" i="19" a="1"/>
  <c r="F313" i="19" a="1"/>
  <c r="F276" i="19" a="1"/>
  <c r="L301" i="19" a="1"/>
  <c r="F803" i="19" a="1"/>
  <c r="L844" i="19" a="1"/>
  <c r="L82" i="19" a="1"/>
  <c r="F689" i="19" a="1"/>
  <c r="F636" i="19" a="1"/>
  <c r="F599" i="19" a="1"/>
  <c r="F562" i="19" a="1"/>
  <c r="F525" i="19" a="1"/>
  <c r="F488" i="19" a="1"/>
  <c r="F451" i="19" a="1"/>
  <c r="F414" i="19" a="1"/>
  <c r="F377" i="19" a="1"/>
  <c r="F340" i="19" a="1"/>
  <c r="L843" i="19" a="1"/>
  <c r="L110" i="19" a="1"/>
  <c r="F758" i="19" a="1"/>
  <c r="L424" i="19" a="1"/>
  <c r="F1152" i="19" a="1"/>
  <c r="F1004" i="19" a="1"/>
  <c r="F799" i="19" a="1"/>
  <c r="F652" i="19" a="1"/>
  <c r="F615" i="19" a="1"/>
  <c r="F578" i="19" a="1"/>
  <c r="F541" i="19" a="1"/>
  <c r="F504" i="19" a="1"/>
  <c r="F467" i="19" a="1"/>
  <c r="F430" i="19" a="1"/>
  <c r="F393" i="19" a="1"/>
  <c r="F356" i="19" a="1"/>
  <c r="L912" i="19" a="1"/>
  <c r="F626" i="19" a="1"/>
  <c r="F330" i="19" a="1"/>
  <c r="F242" i="19" a="1"/>
  <c r="F94" i="19" a="1"/>
  <c r="F749" i="19" a="1"/>
  <c r="F375" i="19" a="1"/>
  <c r="F225" i="19" a="1"/>
  <c r="F77" i="19" a="1"/>
  <c r="F622" i="19" a="1"/>
  <c r="F326" i="19" a="1"/>
  <c r="F245" i="19" a="1"/>
  <c r="F193" i="19" a="1"/>
  <c r="F145" i="19" a="1"/>
  <c r="F97" i="19" a="1"/>
  <c r="F710" i="19" a="1"/>
  <c r="F433" i="19" a="1"/>
  <c r="F265" i="19" a="1"/>
  <c r="F127" i="19" a="1"/>
  <c r="F536" i="19" a="1"/>
  <c r="F118" i="19" a="1"/>
  <c r="F33" i="19" a="1"/>
  <c r="F210" i="19" a="1"/>
  <c r="F408" i="19" a="1"/>
  <c r="F207" i="19" a="1"/>
  <c r="F107" i="19" a="1"/>
  <c r="F371" i="19" a="1"/>
  <c r="F83" i="19" a="1"/>
  <c r="F453" i="19" a="1"/>
  <c r="F206" i="19" a="1"/>
  <c r="F105" i="19" a="1"/>
  <c r="F31" i="19" a="1"/>
  <c r="F128" i="19" a="1"/>
  <c r="F731" i="19" a="1"/>
  <c r="C238" i="19" a="1"/>
  <c r="L970" i="19" a="1"/>
  <c r="L925" i="19" a="1"/>
  <c r="L814" i="19" a="1"/>
  <c r="L385" i="19" a="1"/>
  <c r="L89" i="19" a="1"/>
  <c r="L1006" i="19" a="1"/>
  <c r="L466" i="19" a="1"/>
  <c r="L1138" i="19" a="1"/>
  <c r="F1036" i="19" a="1"/>
  <c r="F740" i="19" a="1"/>
  <c r="L180" i="19" a="1"/>
  <c r="L215" i="19" a="1"/>
  <c r="F986" i="19" a="1"/>
  <c r="L722" i="19" a="1"/>
  <c r="L607" i="19" a="1"/>
  <c r="F1042" i="19" a="1"/>
  <c r="F1005" i="19" a="1"/>
  <c r="F968" i="19" a="1"/>
  <c r="F931" i="19" a="1"/>
  <c r="F894" i="19" a="1"/>
  <c r="F857" i="19" a="1"/>
  <c r="F820" i="19" a="1"/>
  <c r="F783" i="19" a="1"/>
  <c r="L775" i="19" a="1"/>
  <c r="L367" i="19" a="1"/>
  <c r="L173" i="19" a="1"/>
  <c r="F741" i="19" a="1"/>
  <c r="F693" i="19" a="1"/>
  <c r="L886" i="19" a="1"/>
  <c r="L444" i="19" a="1"/>
  <c r="L242" i="19" a="1"/>
  <c r="L53" i="19" a="1"/>
  <c r="F1119" i="19" a="1"/>
  <c r="F1045" i="19" a="1"/>
  <c r="F971" i="19" a="1"/>
  <c r="L934" i="19" a="1"/>
  <c r="L436" i="19" a="1"/>
  <c r="L240" i="19" a="1"/>
  <c r="L65" i="19" a="1"/>
  <c r="F718" i="19" a="1"/>
  <c r="L1089" i="19" a="1"/>
  <c r="L574" i="19" a="1"/>
  <c r="L313" i="19" a="1"/>
  <c r="L111" i="19" a="1"/>
  <c r="L712" i="19" a="1"/>
  <c r="L358" i="19" a="1"/>
  <c r="L1076" i="19" a="1"/>
  <c r="L92" i="19" a="1"/>
  <c r="F1070" i="19" a="1"/>
  <c r="F922" i="19" a="1"/>
  <c r="F700" i="19" a="1"/>
  <c r="F637" i="19" a="1"/>
  <c r="F600" i="19" a="1"/>
  <c r="F563" i="19" a="1"/>
  <c r="F526" i="19" a="1"/>
  <c r="F489" i="19" a="1"/>
  <c r="F452" i="19" a="1"/>
  <c r="F415" i="19" a="1"/>
  <c r="F378" i="19" a="1"/>
  <c r="F341" i="19" a="1"/>
  <c r="F304" i="19" a="1"/>
  <c r="F267" i="19" a="1"/>
  <c r="L248" i="19" a="1"/>
  <c r="F786" i="19" a="1"/>
  <c r="L521" i="19" a="1"/>
  <c r="L55" i="19" a="1"/>
  <c r="F681" i="19" a="1"/>
  <c r="F632" i="19" a="1"/>
  <c r="F595" i="19" a="1"/>
  <c r="F558" i="19" a="1"/>
  <c r="F521" i="19" a="1"/>
  <c r="F484" i="19" a="1"/>
  <c r="F447" i="19" a="1"/>
  <c r="F410" i="19" a="1"/>
  <c r="F373" i="19" a="1"/>
  <c r="F336" i="19" a="1"/>
  <c r="L597" i="19" a="1"/>
  <c r="L73" i="19" a="1"/>
  <c r="F743" i="19" a="1"/>
  <c r="L351" i="19" a="1"/>
  <c r="F1136" i="19" a="1"/>
  <c r="F988" i="19" a="1"/>
  <c r="F726" i="19" a="1"/>
  <c r="F648" i="19" a="1"/>
  <c r="F611" i="19" a="1"/>
  <c r="F574" i="19" a="1"/>
  <c r="F537" i="19" a="1"/>
  <c r="F500" i="19" a="1"/>
  <c r="F463" i="19" a="1"/>
  <c r="F426" i="19" a="1"/>
  <c r="F389" i="19" a="1"/>
  <c r="F352" i="19" a="1"/>
  <c r="L959" i="19" a="1"/>
  <c r="F589" i="19" a="1"/>
  <c r="F319" i="19" a="1"/>
  <c r="F221" i="19" a="1"/>
  <c r="F73" i="19" a="1"/>
  <c r="F634" i="19" a="1"/>
  <c r="F338" i="19" a="1"/>
  <c r="F209" i="19" a="1"/>
  <c r="L324" i="19" a="1"/>
  <c r="F585" i="19" a="1"/>
  <c r="F305" i="19" a="1"/>
  <c r="F240" i="19" a="1"/>
  <c r="F187" i="19" a="1"/>
  <c r="F140" i="19" a="1"/>
  <c r="F92" i="19" a="1"/>
  <c r="F667" i="19" a="1"/>
  <c r="F396" i="19" a="1"/>
  <c r="F254" i="19" a="1"/>
  <c r="F106" i="19" a="1"/>
  <c r="F462" i="19" a="1"/>
  <c r="F81" i="19" a="1"/>
  <c r="F27" i="19" a="1"/>
  <c r="F146" i="19" a="1"/>
  <c r="F334" i="19" a="1"/>
  <c r="F191" i="19" a="1"/>
  <c r="F96" i="19" a="1"/>
  <c r="F239" i="19" a="1"/>
  <c r="L661" i="19" a="1"/>
  <c r="F379" i="19" a="1"/>
  <c r="F190" i="19" a="1"/>
  <c r="F95" i="19" a="1"/>
  <c r="F26" i="19" a="1"/>
  <c r="F392" i="19" a="1"/>
  <c r="F651" i="19" a="1"/>
  <c r="C756" i="19" a="1"/>
  <c r="L896" i="19" a="1"/>
  <c r="L842" i="19" a="1"/>
  <c r="L734" i="19" a="1"/>
  <c r="L348" i="19" a="1"/>
  <c r="L1070" i="19" a="1"/>
  <c r="L895" i="19" a="1"/>
  <c r="L429" i="19" a="1"/>
  <c r="L879" i="19" a="1"/>
  <c r="F999" i="19" a="1"/>
  <c r="F703" i="19" a="1"/>
  <c r="L106" i="19" a="1"/>
  <c r="L141" i="19" a="1"/>
  <c r="F949" i="19" a="1"/>
  <c r="L525" i="19" a="1"/>
  <c r="L439" i="19" a="1"/>
  <c r="F1038" i="19" a="1"/>
  <c r="F1001" i="19" a="1"/>
  <c r="F964" i="19" a="1"/>
  <c r="F927" i="19" a="1"/>
  <c r="F890" i="19" a="1"/>
  <c r="F853" i="19" a="1"/>
  <c r="F816" i="19" a="1"/>
  <c r="F779" i="19" a="1"/>
  <c r="L731" i="19" a="1"/>
  <c r="L340" i="19" a="1"/>
  <c r="L145" i="19" a="1"/>
  <c r="F735" i="19" a="1"/>
  <c r="F688" i="19" a="1"/>
  <c r="L818" i="19" a="1"/>
  <c r="L412" i="19" a="1"/>
  <c r="L218" i="19" a="1"/>
  <c r="L38" i="19" a="1"/>
  <c r="F1111" i="19" a="1"/>
  <c r="F1037" i="19" a="1"/>
  <c r="F963" i="19" a="1"/>
  <c r="L885" i="19" a="1"/>
  <c r="L411" i="19" a="1"/>
  <c r="L213" i="19" a="1"/>
  <c r="L52" i="19" a="1"/>
  <c r="F708" i="19" a="1"/>
  <c r="L1018" i="19" a="1"/>
  <c r="L535" i="19" a="1"/>
  <c r="L285" i="19" a="1"/>
  <c r="L95" i="19" a="1"/>
  <c r="L671" i="19" a="1"/>
  <c r="L330" i="19" a="1"/>
  <c r="L906" i="19" a="1"/>
  <c r="L59" i="19" a="1"/>
  <c r="F1054" i="19" a="1"/>
  <c r="F910" i="19" a="1"/>
  <c r="F690" i="19" a="1"/>
  <c r="F633" i="19" a="1"/>
  <c r="F596" i="19" a="1"/>
  <c r="F559" i="19" a="1"/>
  <c r="F522" i="19" a="1"/>
  <c r="F485" i="19" a="1"/>
  <c r="F448" i="19" a="1"/>
  <c r="F411" i="19" a="1"/>
  <c r="F374" i="19" a="1"/>
  <c r="F337" i="19" a="1"/>
  <c r="F300" i="19" a="1"/>
  <c r="F263" i="19" a="1"/>
  <c r="L176" i="19" a="1"/>
  <c r="F759" i="19" a="1"/>
  <c r="L427" i="19" a="1"/>
  <c r="F906" i="19" a="1"/>
  <c r="F665" i="19" a="1"/>
  <c r="F628" i="19" a="1"/>
  <c r="F591" i="19" a="1"/>
  <c r="F554" i="19" a="1"/>
  <c r="F517" i="19" a="1"/>
  <c r="F480" i="19" a="1"/>
  <c r="F443" i="19" a="1"/>
  <c r="F406" i="19" a="1"/>
  <c r="F369" i="19" a="1"/>
  <c r="F332" i="19" a="1"/>
  <c r="L518" i="19" a="1"/>
  <c r="L43" i="19" a="1"/>
  <c r="F705" i="19" a="1"/>
  <c r="L279" i="19" a="1"/>
  <c r="F1115" i="19" a="1"/>
  <c r="F967" i="19" a="1"/>
  <c r="F712" i="19" a="1"/>
  <c r="F644" i="19" a="1"/>
  <c r="F607" i="19" a="1"/>
  <c r="F570" i="19" a="1"/>
  <c r="F533" i="19" a="1"/>
  <c r="F496" i="19" a="1"/>
  <c r="F459" i="19" a="1"/>
  <c r="F422" i="19" a="1"/>
  <c r="F385" i="19" a="1"/>
  <c r="F348" i="19" a="1"/>
  <c r="L396" i="19" a="1"/>
  <c r="F552" i="19" a="1"/>
  <c r="F312" i="19" a="1"/>
  <c r="F205" i="19" a="1"/>
  <c r="L795" i="19" a="1"/>
  <c r="F597" i="19" a="1"/>
  <c r="F318" i="19" a="1"/>
  <c r="F188" i="19" a="1"/>
  <c r="L147" i="19" a="1"/>
  <c r="F548" i="19" a="1"/>
  <c r="F298" i="19" a="1"/>
  <c r="F230" i="19" a="1"/>
  <c r="F182" i="19" a="1"/>
  <c r="F134" i="19" a="1"/>
  <c r="F82" i="19" a="1"/>
  <c r="F655" i="19" a="1"/>
  <c r="F359" i="19" a="1"/>
  <c r="F238" i="19" a="1"/>
  <c r="F90" i="19" a="1"/>
  <c r="F388" i="19" a="1"/>
  <c r="F72" i="19" a="1"/>
  <c r="F22" i="19" a="1"/>
  <c r="F28" i="19" a="1"/>
  <c r="F297" i="19" a="1"/>
  <c r="F181" i="19" a="1"/>
  <c r="F80" i="19" a="1"/>
  <c r="F138" i="19" a="1"/>
  <c r="L205" i="19" a="1"/>
  <c r="F295" i="19" a="1"/>
  <c r="F179" i="19" a="1"/>
  <c r="F79" i="19" a="1"/>
  <c r="F21" i="19" a="1"/>
  <c r="F194" i="19" a="1"/>
  <c r="F577" i="19" a="1"/>
  <c r="C127" i="19" a="1"/>
  <c r="L822" i="19" a="1"/>
  <c r="L767" i="19" a="1"/>
  <c r="L660" i="19" a="1"/>
  <c r="L311" i="19" a="1"/>
  <c r="L931" i="19" a="1"/>
  <c r="L820" i="19" a="1"/>
  <c r="L1057" i="19" a="1"/>
  <c r="L685" i="19" a="1"/>
  <c r="F962" i="19" a="1"/>
  <c r="L981" i="19" a="1"/>
  <c r="L1065" i="19" a="1"/>
  <c r="L69" i="19" a="1"/>
  <c r="F912" i="19" a="1"/>
  <c r="L399" i="19" a="1"/>
  <c r="L27" i="19" a="1"/>
  <c r="F1034" i="19" a="1"/>
  <c r="F997" i="19" a="1"/>
  <c r="F960" i="19" a="1"/>
  <c r="F923" i="19" a="1"/>
  <c r="F886" i="19" a="1"/>
  <c r="F849" i="19" a="1"/>
  <c r="F812" i="19" a="1"/>
  <c r="F775" i="19" a="1"/>
  <c r="L587" i="19" a="1"/>
  <c r="L321" i="19" a="1"/>
  <c r="L118" i="19" a="1"/>
  <c r="F730" i="19" a="1"/>
  <c r="F674" i="19" a="1"/>
  <c r="L769" i="19" a="1"/>
  <c r="L390" i="19" a="1"/>
  <c r="L190" i="19" a="1"/>
  <c r="L30" i="19" a="1"/>
  <c r="F1103" i="19" a="1"/>
  <c r="F1029" i="19" a="1"/>
  <c r="F955" i="19" a="1"/>
  <c r="L817" i="19" a="1"/>
  <c r="L388" i="19" a="1"/>
  <c r="L189" i="19" a="1"/>
  <c r="F755" i="19" a="1"/>
  <c r="F702" i="19" a="1"/>
  <c r="L928" i="19" a="1"/>
  <c r="L501" i="19" a="1"/>
  <c r="L258" i="19" a="1"/>
  <c r="L74" i="19" a="1"/>
  <c r="L644" i="19" a="1"/>
  <c r="L303" i="19" a="1"/>
  <c r="L547" i="19" a="1"/>
  <c r="L34" i="19" a="1"/>
  <c r="F1033" i="19" a="1"/>
  <c r="F848" i="19" a="1"/>
  <c r="F684" i="19" a="1"/>
  <c r="F629" i="19" a="1"/>
  <c r="F592" i="19" a="1"/>
  <c r="F555" i="19" a="1"/>
  <c r="F518" i="19" a="1"/>
  <c r="F481" i="19" a="1"/>
  <c r="F444" i="19" a="1"/>
  <c r="F407" i="19" a="1"/>
  <c r="F370" i="19" a="1"/>
  <c r="F333" i="19" a="1"/>
  <c r="F296" i="19" a="1"/>
  <c r="L1055" i="19" a="1"/>
  <c r="L129" i="19" a="1"/>
  <c r="F721" i="19" a="1"/>
  <c r="L369" i="19" a="1"/>
  <c r="F889" i="19" a="1"/>
  <c r="F661" i="19" a="1"/>
  <c r="F624" i="19" a="1"/>
  <c r="F587" i="19" a="1"/>
  <c r="F550" i="19" a="1"/>
  <c r="F513" i="19" a="1"/>
  <c r="F476" i="19" a="1"/>
  <c r="F439" i="19" a="1"/>
  <c r="F402" i="19" a="1"/>
  <c r="F365" i="19" a="1"/>
  <c r="F328" i="19" a="1"/>
  <c r="L425" i="19" a="1"/>
  <c r="F918" i="19" a="1"/>
  <c r="F696" i="19" a="1"/>
  <c r="L221" i="19" a="1"/>
  <c r="F1099" i="19" a="1"/>
  <c r="F951" i="19" a="1"/>
  <c r="F675" i="19" a="1"/>
  <c r="F635" i="19" a="1"/>
  <c r="F598" i="19" a="1"/>
  <c r="F561" i="19" a="1"/>
  <c r="F524" i="19" a="1"/>
  <c r="F487" i="19" a="1"/>
  <c r="F450" i="19" a="1"/>
  <c r="F413" i="19" a="1"/>
  <c r="F376" i="19" a="1"/>
  <c r="F339" i="19" a="1"/>
  <c r="L203" i="19" a="1"/>
  <c r="F515" i="19" a="1"/>
  <c r="F301" i="19" a="1"/>
  <c r="F184" i="19" a="1"/>
  <c r="L329" i="19" a="1"/>
  <c r="F560" i="19" a="1"/>
  <c r="F299" i="19" a="1"/>
  <c r="F172" i="19" a="1"/>
  <c r="L42" i="19" a="1"/>
  <c r="F511" i="19" a="1"/>
  <c r="F279" i="19" a="1"/>
  <c r="F224" i="19" a="1"/>
  <c r="F177" i="19" a="1"/>
  <c r="F129" i="19" a="1"/>
  <c r="L670" i="19" a="1"/>
  <c r="F618" i="19" a="1"/>
  <c r="F322" i="19" a="1"/>
  <c r="F217" i="19" a="1"/>
  <c r="L744" i="19" a="1"/>
  <c r="F315" i="19" a="1"/>
  <c r="F66" i="19" a="1"/>
  <c r="F17" i="19" a="1"/>
  <c r="L276" i="19" a="1"/>
  <c r="F266" i="19" a="1"/>
  <c r="F170" i="19" a="1"/>
  <c r="F71" i="19" a="1"/>
  <c r="F101" i="19" a="1"/>
  <c r="F807" i="19" a="1"/>
  <c r="F282" i="19" a="1"/>
  <c r="F169" i="19" a="1"/>
  <c r="F64" i="19" a="1"/>
  <c r="F16" i="19" a="1"/>
  <c r="F109" i="19" a="1"/>
  <c r="F503" i="19" a="1"/>
  <c r="L1137" i="19" a="1"/>
  <c r="L1149" i="19" a="1"/>
  <c r="L693" i="19" a="1"/>
  <c r="L586" i="19" a="1"/>
  <c r="L274" i="19" a="1"/>
  <c r="L848" i="19" a="1"/>
  <c r="L742" i="19" a="1"/>
  <c r="L941" i="19" a="1"/>
  <c r="L506" i="19" a="1"/>
  <c r="F925" i="19" a="1"/>
  <c r="L736" i="19" a="1"/>
  <c r="L830" i="19" a="1"/>
  <c r="L24" i="19" a="1"/>
  <c r="F875" i="19" a="1"/>
  <c r="L325" i="19" a="1"/>
  <c r="F1137" i="19" a="1"/>
  <c r="F1030" i="19" a="1"/>
  <c r="F993" i="19" a="1"/>
  <c r="F956" i="19" a="1"/>
  <c r="F919" i="19" a="1"/>
  <c r="F882" i="19" a="1"/>
  <c r="F845" i="19" a="1"/>
  <c r="F808" i="19" a="1"/>
  <c r="F771" i="19" a="1"/>
  <c r="L510" i="19" a="1"/>
  <c r="L293" i="19" a="1"/>
  <c r="L102" i="19" a="1"/>
  <c r="F725" i="19" a="1"/>
  <c r="F670" i="19" a="1"/>
  <c r="L657" i="19" a="1"/>
  <c r="L366" i="19" a="1"/>
  <c r="L168" i="19" a="1"/>
  <c r="L22" i="19" a="1"/>
  <c r="F1095" i="19" a="1"/>
  <c r="F1021" i="19" a="1"/>
  <c r="F947" i="19" a="1"/>
  <c r="L727" i="19" a="1"/>
  <c r="L361" i="19" a="1"/>
  <c r="L166" i="19" a="1"/>
  <c r="F745" i="19" a="1"/>
  <c r="F697" i="19" a="1"/>
  <c r="L870" i="19" a="1"/>
  <c r="L472" i="19" a="1"/>
  <c r="L239" i="19" a="1"/>
  <c r="F686" i="19" a="1"/>
  <c r="L498" i="19" a="1"/>
  <c r="L284" i="19" a="1"/>
  <c r="L375" i="19" a="1"/>
  <c r="L18" i="19" a="1"/>
  <c r="F1017" i="19" a="1"/>
  <c r="F836" i="19" a="1"/>
  <c r="F662" i="19" a="1"/>
  <c r="F625" i="19" a="1"/>
  <c r="F588" i="19" a="1"/>
  <c r="F551" i="19" a="1"/>
  <c r="F514" i="19" a="1"/>
  <c r="F477" i="19" a="1"/>
  <c r="F440" i="19" a="1"/>
  <c r="F403" i="19" a="1"/>
  <c r="F366" i="19" a="1"/>
  <c r="F329" i="19" a="1"/>
  <c r="F292" i="19" a="1"/>
  <c r="L858" i="19" a="1"/>
  <c r="L91" i="19" a="1"/>
  <c r="F706" i="19" a="1"/>
  <c r="L300" i="19" a="1"/>
  <c r="F832" i="19" a="1"/>
  <c r="F657" i="19" a="1"/>
  <c r="F620" i="19" a="1"/>
  <c r="F583" i="19" a="1"/>
  <c r="F546" i="19" a="1"/>
  <c r="F509" i="19" a="1"/>
  <c r="F472" i="19" a="1"/>
  <c r="F435" i="19" a="1"/>
  <c r="F398" i="19" a="1"/>
  <c r="F361" i="19" a="1"/>
  <c r="F324" i="19" a="1"/>
  <c r="L353" i="19" a="1"/>
  <c r="F856" i="19" a="1"/>
  <c r="L984" i="19" a="1"/>
  <c r="L153" i="19" a="1"/>
  <c r="F1078" i="19" a="1"/>
  <c r="F930" i="19" a="1"/>
  <c r="F669" i="19" a="1"/>
  <c r="F631" i="19" a="1"/>
  <c r="F594" i="19" a="1"/>
  <c r="F557" i="19" a="1"/>
  <c r="F520" i="19" a="1"/>
  <c r="F483" i="19" a="1"/>
  <c r="F446" i="19" a="1"/>
  <c r="F409" i="19" a="1"/>
  <c r="F372" i="19" a="1"/>
  <c r="F335" i="19" a="1"/>
  <c r="L71" i="19" a="1"/>
  <c r="F478" i="19" a="1"/>
  <c r="F294" i="19" a="1"/>
  <c r="F168" i="19" a="1"/>
  <c r="L152" i="19" a="1"/>
  <c r="F523" i="19" a="1"/>
  <c r="F293" i="19" a="1"/>
  <c r="F151" i="19" a="1"/>
  <c r="F897" i="19" a="1"/>
  <c r="F474" i="19" a="1"/>
  <c r="F268" i="19" a="1"/>
  <c r="F219" i="19" a="1"/>
  <c r="F171" i="19" a="1"/>
  <c r="F119" i="19" a="1"/>
  <c r="L403" i="19" a="1"/>
  <c r="F581" i="19" a="1"/>
  <c r="F314" i="19" a="1"/>
  <c r="F201" i="19" a="1"/>
  <c r="L277" i="19" a="1"/>
  <c r="F285" i="19" a="1"/>
  <c r="F59" i="19" a="1"/>
  <c r="F202" i="19" a="1"/>
  <c r="F893" i="19" a="1"/>
  <c r="F255" i="19" a="1"/>
  <c r="F154" i="19" a="1"/>
  <c r="F65" i="19" a="1"/>
  <c r="F68" i="19" a="1"/>
  <c r="F733" i="19" a="1"/>
  <c r="F253" i="19" a="1"/>
  <c r="F153" i="19" a="1"/>
  <c r="F58" i="19" a="1"/>
  <c r="F519" i="19" a="1"/>
  <c r="F74" i="19" a="1"/>
  <c r="F429" i="19" a="1"/>
  <c r="L1063" i="19" a="1"/>
  <c r="L1073" i="19" a="1"/>
  <c r="L619" i="19" a="1"/>
  <c r="L533" i="19" a="1"/>
  <c r="L237" i="19" a="1"/>
  <c r="L747" i="19" a="1"/>
  <c r="L668" i="19" a="1"/>
  <c r="L866" i="19" a="1"/>
  <c r="L37" i="19" a="1"/>
  <c r="F888" i="19" a="1"/>
  <c r="L526" i="19" a="1"/>
  <c r="L611" i="19" a="1"/>
  <c r="F1134" i="19" a="1"/>
  <c r="F838" i="19" a="1"/>
  <c r="L251" i="19" a="1"/>
  <c r="F1116" i="19" a="1"/>
  <c r="F1026" i="19" a="1"/>
  <c r="F989" i="19" a="1"/>
  <c r="F952" i="19" a="1"/>
  <c r="F915" i="19" a="1"/>
  <c r="F878" i="19" a="1"/>
  <c r="F841" i="19" a="1"/>
  <c r="F804" i="19" a="1"/>
  <c r="F767" i="19" a="1"/>
  <c r="L481" i="19" a="1"/>
  <c r="L266" i="19" a="1"/>
  <c r="L81" i="19" a="1"/>
  <c r="F719" i="19" a="1"/>
  <c r="F666" i="19" a="1"/>
  <c r="L616" i="19" a="1"/>
  <c r="L338" i="19" a="1"/>
  <c r="L144" i="19" a="1"/>
  <c r="F1156" i="19" a="1"/>
  <c r="F1082" i="19" a="1"/>
  <c r="F1008" i="19" a="1"/>
  <c r="F934" i="19" a="1"/>
  <c r="L689" i="19" a="1"/>
  <c r="L337" i="19" a="1"/>
  <c r="L139" i="19" a="1"/>
  <c r="F739" i="19" a="1"/>
  <c r="F692" i="19" a="1"/>
  <c r="L759" i="19" a="1"/>
  <c r="L406" i="19" a="1"/>
  <c r="L211" i="19" a="1"/>
  <c r="L992" i="19" a="1"/>
  <c r="L464" i="19" a="1"/>
  <c r="L256" i="19" a="1"/>
  <c r="L322" i="19" a="1"/>
  <c r="F1144" i="19" a="1"/>
  <c r="F996" i="19" a="1"/>
  <c r="F774" i="19" a="1"/>
  <c r="F658" i="19" a="1"/>
  <c r="F621" i="19" a="1"/>
  <c r="F584" i="19" a="1"/>
  <c r="F547" i="19" a="1"/>
  <c r="F510" i="19" a="1"/>
  <c r="F473" i="19" a="1"/>
  <c r="F436" i="19" a="1"/>
  <c r="F399" i="19" a="1"/>
  <c r="F362" i="19" a="1"/>
  <c r="F325" i="19" a="1"/>
  <c r="F288" i="19" a="1"/>
  <c r="L740" i="19" a="1"/>
  <c r="L58" i="19" a="1"/>
  <c r="F683" i="19" a="1"/>
  <c r="L227" i="19" a="1"/>
  <c r="F815" i="19" a="1"/>
  <c r="F653" i="19" a="1"/>
  <c r="F616" i="19" a="1"/>
  <c r="F579" i="19" a="1"/>
  <c r="F542" i="19" a="1"/>
  <c r="F505" i="19" a="1"/>
  <c r="F468" i="19" a="1"/>
  <c r="F431" i="19" a="1"/>
  <c r="F394" i="19" a="1"/>
  <c r="F357" i="19" a="1"/>
  <c r="F320" i="19" a="1"/>
  <c r="L295" i="19" a="1"/>
  <c r="F844" i="19" a="1"/>
  <c r="L796" i="19" a="1"/>
  <c r="L108" i="19" a="1"/>
  <c r="F1062" i="19" a="1"/>
  <c r="F885" i="19" a="1"/>
  <c r="F664" i="19" a="1"/>
  <c r="F627" i="19" a="1"/>
  <c r="F590" i="19" a="1"/>
  <c r="F553" i="19" a="1"/>
  <c r="F516" i="19" a="1"/>
  <c r="F479" i="19" a="1"/>
  <c r="F442" i="19" a="1"/>
  <c r="F405" i="19" a="1"/>
  <c r="F368" i="19" a="1"/>
  <c r="F331" i="19" a="1"/>
  <c r="F914" i="19" a="1"/>
  <c r="F441" i="19" a="1"/>
  <c r="F275" i="19" a="1"/>
  <c r="F147" i="19" a="1"/>
  <c r="L60" i="19" a="1"/>
  <c r="F486" i="19" a="1"/>
  <c r="F286" i="19" a="1"/>
  <c r="F135" i="19" a="1"/>
  <c r="F694" i="19" a="1"/>
  <c r="F437" i="19" a="1"/>
  <c r="F261" i="19" a="1"/>
  <c r="F214" i="19" a="1"/>
  <c r="F166" i="19" a="1"/>
  <c r="F113" i="19" a="1"/>
  <c r="L255" i="19" a="1"/>
  <c r="F544" i="19" a="1"/>
  <c r="F302" i="19" a="1"/>
  <c r="F180" i="19" a="1"/>
  <c r="F819" i="19" a="1"/>
  <c r="F229" i="19" a="1"/>
  <c r="F54" i="19" a="1"/>
  <c r="F149" i="19" a="1"/>
  <c r="F630" i="19" a="1"/>
  <c r="F244" i="19" a="1"/>
  <c r="F144" i="19" a="1"/>
  <c r="F53" i="19" a="1"/>
  <c r="F40" i="19" a="1"/>
  <c r="F685" i="19" a="1"/>
  <c r="F243" i="19" a="1"/>
  <c r="F142" i="19" a="1"/>
  <c r="F52" i="19" a="1"/>
  <c r="F260" i="19" a="1"/>
  <c r="L559" i="19" a="1"/>
  <c r="F355" i="19" a="1"/>
  <c r="L989" i="19" a="1"/>
  <c r="L999" i="19" a="1"/>
  <c r="L1146" i="19" a="1"/>
  <c r="L496" i="19" a="1"/>
  <c r="L200" i="19" a="1"/>
  <c r="L673" i="19" a="1"/>
  <c r="L594" i="19" a="1"/>
  <c r="L770" i="19" a="1"/>
  <c r="F1147" i="19" a="1"/>
  <c r="F851" i="19" a="1"/>
  <c r="L402" i="19" a="1"/>
  <c r="L440" i="19" a="1"/>
  <c r="F1097" i="19" a="1"/>
  <c r="F801" i="19" a="1"/>
  <c r="L177" i="19" a="1"/>
  <c r="F1100" i="19" a="1"/>
  <c r="F1022" i="19" a="1"/>
  <c r="F985" i="19" a="1"/>
  <c r="F948" i="19" a="1"/>
  <c r="F911" i="19" a="1"/>
  <c r="F874" i="19" a="1"/>
  <c r="F837" i="19" a="1"/>
  <c r="F800" i="19" a="1"/>
  <c r="F763" i="19" a="1"/>
  <c r="L447" i="19" a="1"/>
  <c r="L247" i="19" a="1"/>
  <c r="L66" i="19" a="1"/>
  <c r="F709" i="19" a="1"/>
  <c r="L1111" i="19" a="1"/>
  <c r="L578" i="19" a="1"/>
  <c r="L316" i="19" a="1"/>
  <c r="L116" i="19" a="1"/>
  <c r="F1148" i="19" a="1"/>
  <c r="F1074" i="19" a="1"/>
  <c r="F1000" i="19" a="1"/>
  <c r="F926" i="19" a="1"/>
  <c r="L648" i="19" a="1"/>
  <c r="L314" i="19" a="1"/>
  <c r="L115" i="19" a="1"/>
  <c r="F734" i="19" a="1"/>
  <c r="F687" i="19" a="1"/>
  <c r="L718" i="19" a="1"/>
  <c r="L387" i="19" a="1"/>
  <c r="L184" i="19" a="1"/>
  <c r="L860" i="19" a="1"/>
  <c r="L435" i="19" a="1"/>
  <c r="L229" i="19" a="1"/>
  <c r="L250" i="19" a="1"/>
  <c r="F1128" i="19" a="1"/>
  <c r="F980" i="19" a="1"/>
  <c r="F762" i="19" a="1"/>
  <c r="F654" i="19" a="1"/>
  <c r="F617" i="19" a="1"/>
  <c r="F580" i="19" a="1"/>
  <c r="F543" i="19" a="1"/>
  <c r="F506" i="19" a="1"/>
  <c r="F469" i="19" a="1"/>
  <c r="F432" i="19" a="1"/>
  <c r="F395" i="19" a="1"/>
  <c r="F358" i="19" a="1"/>
  <c r="F321" i="19" a="1"/>
  <c r="F284" i="19" a="1"/>
  <c r="L629" i="19" a="1"/>
  <c r="F877" i="19" a="1"/>
  <c r="F671" i="19" a="1"/>
  <c r="L174" i="19" a="1"/>
  <c r="F737" i="19" a="1"/>
  <c r="F649" i="19" a="1"/>
  <c r="F612" i="19" a="1"/>
  <c r="F575" i="19" a="1"/>
  <c r="F538" i="19" a="1"/>
  <c r="F501" i="19" a="1"/>
  <c r="F464" i="19" a="1"/>
  <c r="F427" i="19" a="1"/>
  <c r="F390" i="19" a="1"/>
  <c r="F353" i="19" a="1"/>
  <c r="F316" i="19" a="1"/>
  <c r="L226" i="19" a="1"/>
  <c r="F782" i="19" a="1"/>
  <c r="L699" i="19" a="1"/>
  <c r="L72" i="19" a="1"/>
  <c r="F1041" i="19" a="1"/>
  <c r="F873" i="19" a="1"/>
  <c r="F660" i="19" a="1"/>
  <c r="F623" i="19" a="1"/>
  <c r="F586" i="19" a="1"/>
  <c r="F549" i="19" a="1"/>
  <c r="F512" i="19" a="1"/>
  <c r="F475" i="19" a="1"/>
  <c r="F438" i="19" a="1"/>
  <c r="F401" i="19" a="1"/>
  <c r="F364" i="19" a="1"/>
  <c r="F327" i="19" a="1"/>
  <c r="F881" i="19" a="1"/>
  <c r="F404" i="19" a="1"/>
  <c r="F264" i="19" a="1"/>
  <c r="F131" i="19" a="1"/>
  <c r="F869" i="19" a="1"/>
  <c r="F449" i="19" a="1"/>
  <c r="F262" i="19" a="1"/>
  <c r="F114" i="19" a="1"/>
  <c r="F672" i="19" a="1"/>
  <c r="F400" i="19" a="1"/>
  <c r="F256" i="19" a="1"/>
  <c r="F208" i="19" a="1"/>
  <c r="F156" i="19" a="1"/>
  <c r="F108" i="19" a="1"/>
  <c r="L103" i="19" a="1"/>
  <c r="F507" i="19" a="1"/>
  <c r="F283" i="19" a="1"/>
  <c r="F164" i="19" a="1"/>
  <c r="F742" i="19" a="1"/>
  <c r="F192" i="19" a="1"/>
  <c r="F43" i="19" a="1"/>
  <c r="F91" i="19" a="1"/>
  <c r="F556" i="19" a="1"/>
  <c r="F228" i="19" a="1"/>
  <c r="F133" i="19" a="1"/>
  <c r="F32" i="19" a="1"/>
  <c r="F274" i="19" a="1"/>
  <c r="F601" i="19" a="1"/>
  <c r="F227" i="19" a="1"/>
  <c r="F132" i="19" a="1"/>
  <c r="F42" i="19" a="1"/>
  <c r="F212" i="19" a="1"/>
  <c r="L202" i="19" a="1"/>
  <c r="F311" i="19" a="1"/>
  <c r="L1118" i="19" a="1"/>
  <c r="F1110" i="19" a="1"/>
  <c r="F1018" i="19" a="1"/>
  <c r="L414" i="19" a="1"/>
  <c r="F1140" i="19" a="1"/>
  <c r="F682" i="19" a="1"/>
  <c r="F1107" i="19" a="1"/>
  <c r="F465" i="19" a="1"/>
  <c r="L1053" i="19" a="1"/>
  <c r="F460" i="19" a="1"/>
  <c r="L26" i="19" a="1"/>
  <c r="F471" i="19" a="1"/>
  <c r="F110" i="19" a="1"/>
  <c r="F203" i="19" a="1"/>
  <c r="F155" i="19" a="1"/>
  <c r="F527" i="19" a="1"/>
  <c r="F241" i="19" a="1"/>
  <c r="F141" i="19" a="1"/>
  <c r="F57" i="19" a="1"/>
  <c r="F247" i="19" a="1"/>
  <c r="F668" i="19" a="1"/>
  <c r="F250" i="19" a="1"/>
  <c r="F46" i="19" a="1"/>
  <c r="F445" i="19" a="1"/>
  <c r="F157" i="19" a="1"/>
  <c r="F490" i="19" a="1"/>
  <c r="F211" i="19" a="1"/>
  <c r="F111" i="19" a="1"/>
  <c r="F39" i="19" a="1"/>
  <c r="F614" i="19" a="1"/>
  <c r="F729" i="19" a="1"/>
  <c r="F610" i="19" a="1"/>
  <c r="F56" i="19" a="1"/>
  <c r="F701" i="19" a="1"/>
  <c r="L1140" i="19" a="1"/>
  <c r="F814" i="19" a="1"/>
  <c r="F981" i="19" a="1"/>
  <c r="L219" i="19" a="1"/>
  <c r="F1066" i="19" a="1"/>
  <c r="L647" i="19" a="1"/>
  <c r="F959" i="19" a="1"/>
  <c r="F428" i="19" a="1"/>
  <c r="L128" i="19" a="1"/>
  <c r="F423" i="19" a="1"/>
  <c r="F1025" i="19" a="1"/>
  <c r="F434" i="19" a="1"/>
  <c r="F823" i="19" a="1"/>
  <c r="F150" i="19" a="1"/>
  <c r="F38" i="19" a="1"/>
  <c r="F216" i="19" a="1"/>
  <c r="F226" i="19" a="1"/>
  <c r="F130" i="19" a="1"/>
  <c r="F36" i="19" a="1"/>
  <c r="F183" i="19" a="1"/>
  <c r="F647" i="19" a="1"/>
  <c r="F213" i="19" a="1"/>
  <c r="F41" i="19" a="1"/>
  <c r="F290" i="19" a="1"/>
  <c r="F99" i="19" a="1"/>
  <c r="F416" i="19" a="1"/>
  <c r="F200" i="19" a="1"/>
  <c r="F100" i="19" a="1"/>
  <c r="F34" i="19" a="1"/>
  <c r="F540" i="19" a="1"/>
  <c r="L100" i="19" a="1"/>
  <c r="F252" i="19" a="1"/>
  <c r="F564" i="19" a="1"/>
  <c r="L1024" i="19" a="1"/>
  <c r="L328" i="19" a="1"/>
  <c r="F944" i="19" a="1"/>
  <c r="F756" i="19" a="1"/>
  <c r="F992" i="19" a="1"/>
  <c r="L359" i="19" a="1"/>
  <c r="F747" i="19" a="1"/>
  <c r="F391" i="19" a="1"/>
  <c r="F727" i="19" a="1"/>
  <c r="F386" i="19" a="1"/>
  <c r="F811" i="19" a="1"/>
  <c r="F397" i="19" a="1"/>
  <c r="F412" i="19" a="1"/>
  <c r="F103" i="19" a="1"/>
  <c r="F24" i="19" a="1"/>
  <c r="F116" i="19" a="1"/>
  <c r="F215" i="19" a="1"/>
  <c r="F115" i="19" a="1"/>
  <c r="F20" i="19" a="1"/>
  <c r="F136" i="19" a="1"/>
  <c r="F573" i="19" a="1"/>
  <c r="F176" i="19" a="1"/>
  <c r="F35" i="19" a="1"/>
  <c r="F223" i="19" a="1"/>
  <c r="F44" i="19" a="1"/>
  <c r="F342" i="19" a="1"/>
  <c r="F185" i="19" a="1"/>
  <c r="F89" i="19" a="1"/>
  <c r="F29" i="19" a="1"/>
  <c r="F466" i="19" a="1"/>
  <c r="L695" i="19" a="1"/>
  <c r="F112" i="19" a="1"/>
  <c r="F45" i="19" a="1"/>
  <c r="L459" i="19" a="1"/>
  <c r="L363" i="19" a="1"/>
  <c r="F907" i="19" a="1"/>
  <c r="F704" i="19" a="1"/>
  <c r="L1109" i="19" a="1"/>
  <c r="L165" i="19" a="1"/>
  <c r="F650" i="19" a="1"/>
  <c r="F354" i="19" a="1"/>
  <c r="F645" i="19" a="1"/>
  <c r="F349" i="19" a="1"/>
  <c r="F656" i="19" a="1"/>
  <c r="F360" i="19" a="1"/>
  <c r="F246" i="19" a="1"/>
  <c r="F766" i="19" a="1"/>
  <c r="F482" i="19" a="1"/>
  <c r="F37" i="19" a="1"/>
  <c r="F204" i="19" a="1"/>
  <c r="F104" i="19" a="1"/>
  <c r="L107" i="19" a="1"/>
  <c r="F60" i="19" a="1"/>
  <c r="F499" i="19" a="1"/>
  <c r="F139" i="19" a="1"/>
  <c r="F30" i="19" a="1"/>
  <c r="F186" i="19" a="1"/>
  <c r="L398" i="19" a="1"/>
  <c r="F289" i="19" a="1"/>
  <c r="F174" i="19" a="1"/>
  <c r="F75" i="19" a="1"/>
  <c r="F23" i="19" a="1"/>
  <c r="F287" i="19" a="1"/>
  <c r="L1125" i="19" a="1"/>
  <c r="F152" i="19" a="1"/>
  <c r="L461" i="19" a="1"/>
  <c r="L163" i="19" a="1"/>
  <c r="F1060" i="19" a="1"/>
  <c r="F870" i="19" a="1"/>
  <c r="L1027" i="19" a="1"/>
  <c r="L538" i="19" a="1"/>
  <c r="L801" i="19" a="1"/>
  <c r="F613" i="19" a="1"/>
  <c r="F317" i="19" a="1"/>
  <c r="F608" i="19" a="1"/>
  <c r="L991" i="19" a="1"/>
  <c r="F619" i="19" a="1"/>
  <c r="F323" i="19" a="1"/>
  <c r="F98" i="19" a="1"/>
  <c r="F470" i="19" a="1"/>
  <c r="F218" i="19" a="1"/>
  <c r="F165" i="19" a="1"/>
  <c r="F189" i="19" a="1"/>
  <c r="F93" i="19" a="1"/>
  <c r="F593" i="19" a="1"/>
  <c r="L484" i="19" a="1"/>
  <c r="F425" i="19" a="1"/>
  <c r="F102" i="19" a="1"/>
  <c r="F25" i="19" a="1"/>
  <c r="F175" i="19" a="1"/>
  <c r="L94" i="19" a="1"/>
  <c r="F259" i="19" a="1"/>
  <c r="F163" i="19" a="1"/>
  <c r="F67" i="19" a="1"/>
  <c r="F18" i="19" a="1"/>
  <c r="F231" i="19" a="1"/>
  <c r="L181" i="19" a="1"/>
  <c r="F251" i="19" a="1"/>
  <c r="F722" i="19" a="1"/>
  <c r="F126" i="19" a="1"/>
  <c r="L599" i="19" a="1"/>
  <c r="F764" i="19" a="1"/>
  <c r="F833" i="19" a="1"/>
  <c r="L546" i="19" a="1"/>
  <c r="L287" i="19" a="1"/>
  <c r="L404" i="19" a="1"/>
  <c r="F576" i="19" a="1"/>
  <c r="F280" i="19" a="1"/>
  <c r="F571" i="19" a="1"/>
  <c r="L155" i="19" a="1"/>
  <c r="F582" i="19" a="1"/>
  <c r="F663" i="19" a="1"/>
  <c r="F659" i="19" a="1"/>
  <c r="F277" i="19" a="1"/>
  <c r="F117" i="19" a="1"/>
  <c r="F795" i="19" a="1"/>
  <c r="F178" i="19" a="1"/>
  <c r="F78" i="19" a="1"/>
  <c r="F303" i="19" a="1"/>
  <c r="L136" i="19" a="1"/>
  <c r="F351" i="19" a="1"/>
  <c r="F76" i="19" a="1"/>
  <c r="F19" i="19" a="1"/>
  <c r="F62" i="19" a="1"/>
  <c r="F840" i="19" a="1"/>
  <c r="F248" i="19" a="1"/>
  <c r="F148" i="19" a="1"/>
  <c r="F61" i="19" a="1"/>
  <c r="L350" i="19" a="1"/>
  <c r="F120" i="19" a="1"/>
  <c r="F502" i="19" a="1"/>
  <c r="L588" i="19" a="1"/>
  <c r="F258" i="19" a="1"/>
  <c r="F63" i="19" a="1"/>
  <c r="F220" i="19" a="1"/>
  <c r="L540" i="19" a="1"/>
  <c r="L1028" i="19" a="1"/>
  <c r="F796" i="19" a="1"/>
  <c r="L292" i="19" a="1"/>
  <c r="L99" i="19" a="1"/>
  <c r="L210" i="19" a="1"/>
  <c r="F539" i="19" a="1"/>
  <c r="L374" i="19" a="1"/>
  <c r="F534" i="19" a="1"/>
  <c r="F770" i="19" a="1"/>
  <c r="F545" i="19" a="1"/>
  <c r="F367" i="19" a="1"/>
  <c r="F363" i="19" a="1"/>
  <c r="F143" i="19" a="1"/>
  <c r="F852" i="19" a="1"/>
  <c r="F281" i="19" a="1"/>
  <c r="F167" i="19" a="1"/>
  <c r="F70" i="19" a="1"/>
  <c r="F249" i="19" a="1"/>
  <c r="F778" i="19" a="1"/>
  <c r="F291" i="19" a="1"/>
  <c r="F69" i="19" a="1"/>
  <c r="F15" i="19" a="1"/>
  <c r="F257" i="19" a="1"/>
  <c r="F638" i="19" a="1"/>
  <c r="F237" i="19" a="1"/>
  <c r="F137" i="19" a="1"/>
  <c r="F55" i="19" a="1"/>
  <c r="L68" i="19" a="1"/>
  <c r="F1079" i="19" a="1"/>
  <c r="F860" i="19" a="1"/>
  <c r="F497" i="19" a="1"/>
  <c r="F508" i="19" a="1"/>
  <c r="F173" i="19" a="1"/>
  <c r="F278" i="19" a="1"/>
  <c r="F222" i="19" a="1"/>
  <c r="B275" i="19" a="1"/>
  <c r="B978" i="19" a="1"/>
  <c r="B460" i="19" a="1"/>
  <c r="B793" i="19" a="1"/>
  <c r="B645" i="19" a="1"/>
  <c r="B867" i="19" a="1"/>
  <c r="B164" i="19" a="1"/>
  <c r="B1052" i="19" a="1"/>
  <c r="B127" i="19" a="1"/>
  <c r="B90" i="19" a="1"/>
  <c r="B238" i="19" a="1"/>
  <c r="B1126" i="19" a="1"/>
  <c r="B534" i="19" a="1"/>
  <c r="B941" i="19" a="1"/>
  <c r="B904" i="19" a="1"/>
  <c r="B16" i="19" a="1"/>
  <c r="B423" i="19" a="1"/>
  <c r="B719" i="19" a="1"/>
  <c r="B312" i="19" a="1"/>
  <c r="B1015" i="19" a="1"/>
  <c r="B386" i="19" a="1"/>
  <c r="B497" i="19" a="1"/>
  <c r="B756" i="19" a="1"/>
  <c r="B608" i="19" a="1"/>
  <c r="B682" i="19" a="1"/>
  <c r="B349" i="19" a="1"/>
  <c r="B1089" i="19" a="1"/>
  <c r="B201" i="19" a="1"/>
  <c r="B53" i="19" a="1"/>
  <c r="B571" i="19" a="1"/>
  <c r="B830" i="19" a="1"/>
  <c r="F222" i="19" l="1"/>
  <c r="F278" i="19"/>
  <c r="F173" i="19"/>
  <c r="F508" i="19"/>
  <c r="F497" i="19"/>
  <c r="F860" i="19"/>
  <c r="F1079" i="19"/>
  <c r="L68" i="19"/>
  <c r="F55" i="19"/>
  <c r="F137" i="19"/>
  <c r="F237" i="19"/>
  <c r="F638" i="19"/>
  <c r="F257" i="19"/>
  <c r="F15" i="19"/>
  <c r="F69" i="19"/>
  <c r="F291" i="19"/>
  <c r="F778" i="19"/>
  <c r="F249" i="19"/>
  <c r="F70" i="19"/>
  <c r="F167" i="19"/>
  <c r="F281" i="19"/>
  <c r="F852" i="19"/>
  <c r="F143" i="19"/>
  <c r="F363" i="19"/>
  <c r="F367" i="19"/>
  <c r="F545" i="19"/>
  <c r="F770" i="19"/>
  <c r="F534" i="19"/>
  <c r="L374" i="19"/>
  <c r="F539" i="19"/>
  <c r="L210" i="19"/>
  <c r="L99" i="19"/>
  <c r="L292" i="19"/>
  <c r="F796" i="19"/>
  <c r="L1028" i="19"/>
  <c r="L540" i="19"/>
  <c r="F220" i="19"/>
  <c r="F63" i="19"/>
  <c r="F258" i="19"/>
  <c r="L588" i="19"/>
  <c r="F502" i="19"/>
  <c r="F120" i="19"/>
  <c r="L350" i="19"/>
  <c r="F61" i="19"/>
  <c r="F148" i="19"/>
  <c r="F248" i="19"/>
  <c r="F840" i="19"/>
  <c r="F62" i="19"/>
  <c r="F19" i="19"/>
  <c r="F76" i="19"/>
  <c r="F351" i="19"/>
  <c r="L136" i="19"/>
  <c r="F303" i="19"/>
  <c r="F78" i="19"/>
  <c r="F178" i="19"/>
  <c r="F795" i="19"/>
  <c r="F117" i="19"/>
  <c r="F277" i="19"/>
  <c r="F659" i="19"/>
  <c r="F663" i="19"/>
  <c r="F582" i="19"/>
  <c r="L155" i="19"/>
  <c r="F571" i="19"/>
  <c r="F280" i="19"/>
  <c r="F576" i="19"/>
  <c r="L404" i="19"/>
  <c r="L287" i="19"/>
  <c r="L546" i="19"/>
  <c r="F833" i="19"/>
  <c r="F764" i="19"/>
  <c r="L599" i="19"/>
  <c r="F126" i="19"/>
  <c r="F722" i="19"/>
  <c r="F251" i="19"/>
  <c r="L181" i="19"/>
  <c r="F231" i="19"/>
  <c r="F18" i="19"/>
  <c r="F67" i="19"/>
  <c r="F163" i="19"/>
  <c r="F259" i="19"/>
  <c r="L94" i="19"/>
  <c r="F175" i="19"/>
  <c r="F25" i="19"/>
  <c r="F102" i="19"/>
  <c r="F425" i="19"/>
  <c r="L484" i="19"/>
  <c r="F593" i="19"/>
  <c r="F93" i="19"/>
  <c r="F189" i="19"/>
  <c r="F165" i="19"/>
  <c r="F218" i="19"/>
  <c r="F470" i="19"/>
  <c r="F98" i="19"/>
  <c r="F323" i="19"/>
  <c r="F619" i="19"/>
  <c r="L991" i="19"/>
  <c r="F608" i="19"/>
  <c r="F317" i="19"/>
  <c r="F613" i="19"/>
  <c r="L801" i="19"/>
  <c r="L538" i="19"/>
  <c r="L1027" i="19"/>
  <c r="F870" i="19"/>
  <c r="F1060" i="19"/>
  <c r="L163" i="19"/>
  <c r="L461" i="19"/>
  <c r="F152" i="19"/>
  <c r="L1125" i="19"/>
  <c r="F287" i="19"/>
  <c r="F23" i="19"/>
  <c r="F75" i="19"/>
  <c r="F174" i="19"/>
  <c r="F289" i="19"/>
  <c r="L398" i="19"/>
  <c r="F186" i="19"/>
  <c r="F30" i="19"/>
  <c r="F139" i="19"/>
  <c r="F499" i="19"/>
  <c r="F60" i="19"/>
  <c r="L107" i="19"/>
  <c r="F104" i="19"/>
  <c r="F204" i="19"/>
  <c r="F37" i="19"/>
  <c r="F482" i="19"/>
  <c r="F766" i="19"/>
  <c r="F246" i="19"/>
  <c r="F360" i="19"/>
  <c r="F656" i="19"/>
  <c r="F349" i="19"/>
  <c r="F645" i="19"/>
  <c r="F354" i="19"/>
  <c r="F650" i="19"/>
  <c r="L165" i="19"/>
  <c r="L1109" i="19"/>
  <c r="F704" i="19"/>
  <c r="F907" i="19"/>
  <c r="L363" i="19"/>
  <c r="L459" i="19"/>
  <c r="F45" i="19"/>
  <c r="F112" i="19"/>
  <c r="L695" i="19"/>
  <c r="F466" i="19"/>
  <c r="F29" i="19"/>
  <c r="F89" i="19"/>
  <c r="F185" i="19"/>
  <c r="F342" i="19"/>
  <c r="F44" i="19"/>
  <c r="F223" i="19"/>
  <c r="F35" i="19"/>
  <c r="F176" i="19"/>
  <c r="F573" i="19"/>
  <c r="F136" i="19"/>
  <c r="F20" i="19"/>
  <c r="F115" i="19"/>
  <c r="F215" i="19"/>
  <c r="F116" i="19"/>
  <c r="F24" i="19"/>
  <c r="F103" i="19"/>
  <c r="F412" i="19"/>
  <c r="F397" i="19"/>
  <c r="F811" i="19"/>
  <c r="F386" i="19"/>
  <c r="F727" i="19"/>
  <c r="F391" i="19"/>
  <c r="F747" i="19"/>
  <c r="L359" i="19"/>
  <c r="F992" i="19"/>
  <c r="F756" i="19"/>
  <c r="F944" i="19"/>
  <c r="L328" i="19"/>
  <c r="L1024" i="19"/>
  <c r="F564" i="19"/>
  <c r="F252" i="19"/>
  <c r="L100" i="19"/>
  <c r="F540" i="19"/>
  <c r="F34" i="19"/>
  <c r="F100" i="19"/>
  <c r="F200" i="19"/>
  <c r="F416" i="19"/>
  <c r="F99" i="19"/>
  <c r="F290" i="19"/>
  <c r="F41" i="19"/>
  <c r="F213" i="19"/>
  <c r="F647" i="19"/>
  <c r="F183" i="19"/>
  <c r="F36" i="19"/>
  <c r="F130" i="19"/>
  <c r="F226" i="19"/>
  <c r="F216" i="19"/>
  <c r="F38" i="19"/>
  <c r="F150" i="19"/>
  <c r="F823" i="19"/>
  <c r="F434" i="19"/>
  <c r="F1025" i="19"/>
  <c r="F423" i="19"/>
  <c r="L128" i="19"/>
  <c r="F428" i="19"/>
  <c r="F959" i="19"/>
  <c r="L647" i="19"/>
  <c r="F1066" i="19"/>
  <c r="L219" i="19"/>
  <c r="F981" i="19"/>
  <c r="F814" i="19"/>
  <c r="L1140" i="19"/>
  <c r="F701" i="19"/>
  <c r="F56" i="19"/>
  <c r="F610" i="19"/>
  <c r="F729" i="19"/>
  <c r="F614" i="19"/>
  <c r="F39" i="19"/>
  <c r="F111" i="19"/>
  <c r="F211" i="19"/>
  <c r="F490" i="19"/>
  <c r="F157" i="19"/>
  <c r="F445" i="19"/>
  <c r="F46" i="19"/>
  <c r="F250" i="19"/>
  <c r="F668" i="19"/>
  <c r="F247" i="19"/>
  <c r="F57" i="19"/>
  <c r="F141" i="19"/>
  <c r="F241" i="19"/>
  <c r="F527" i="19"/>
  <c r="F155" i="19"/>
  <c r="F203" i="19"/>
  <c r="F110" i="19"/>
  <c r="F471" i="19"/>
  <c r="L26" i="19"/>
  <c r="F460" i="19"/>
  <c r="L1053" i="19"/>
  <c r="F465" i="19"/>
  <c r="F1107" i="19"/>
  <c r="F682" i="19"/>
  <c r="F1140" i="19"/>
  <c r="L414" i="19"/>
  <c r="F1018" i="19"/>
  <c r="F1110" i="19"/>
  <c r="L1118" i="19"/>
  <c r="F311" i="19"/>
  <c r="L202" i="19"/>
  <c r="F212" i="19"/>
  <c r="F42" i="19"/>
  <c r="F132" i="19"/>
  <c r="F227" i="19"/>
  <c r="F601" i="19"/>
  <c r="F274" i="19"/>
  <c r="F32" i="19"/>
  <c r="F133" i="19"/>
  <c r="F228" i="19"/>
  <c r="F556" i="19"/>
  <c r="F91" i="19"/>
  <c r="F43" i="19"/>
  <c r="F192" i="19"/>
  <c r="F742" i="19"/>
  <c r="F164" i="19"/>
  <c r="F283" i="19"/>
  <c r="F507" i="19"/>
  <c r="L103" i="19"/>
  <c r="F108" i="19"/>
  <c r="F156" i="19"/>
  <c r="F208" i="19"/>
  <c r="F256" i="19"/>
  <c r="F400" i="19"/>
  <c r="F672" i="19"/>
  <c r="F114" i="19"/>
  <c r="F262" i="19"/>
  <c r="F449" i="19"/>
  <c r="F869" i="19"/>
  <c r="F131" i="19"/>
  <c r="F264" i="19"/>
  <c r="F404" i="19"/>
  <c r="F881" i="19"/>
  <c r="F327" i="19"/>
  <c r="F364" i="19"/>
  <c r="F401" i="19"/>
  <c r="F438" i="19"/>
  <c r="F475" i="19"/>
  <c r="F512" i="19"/>
  <c r="F549" i="19"/>
  <c r="F586" i="19"/>
  <c r="F623" i="19"/>
  <c r="F660" i="19"/>
  <c r="F873" i="19"/>
  <c r="F1041" i="19"/>
  <c r="L72" i="19"/>
  <c r="L699" i="19"/>
  <c r="F782" i="19"/>
  <c r="L226" i="19"/>
  <c r="F316" i="19"/>
  <c r="F353" i="19"/>
  <c r="F390" i="19"/>
  <c r="F427" i="19"/>
  <c r="F464" i="19"/>
  <c r="F501" i="19"/>
  <c r="F538" i="19"/>
  <c r="F575" i="19"/>
  <c r="F612" i="19"/>
  <c r="F649" i="19"/>
  <c r="F737" i="19"/>
  <c r="L174" i="19"/>
  <c r="F671" i="19"/>
  <c r="F877" i="19"/>
  <c r="L629" i="19"/>
  <c r="F284" i="19"/>
  <c r="F321" i="19"/>
  <c r="F358" i="19"/>
  <c r="F395" i="19"/>
  <c r="F432" i="19"/>
  <c r="F469" i="19"/>
  <c r="F506" i="19"/>
  <c r="F543" i="19"/>
  <c r="F580" i="19"/>
  <c r="F617" i="19"/>
  <c r="F654" i="19"/>
  <c r="F762" i="19"/>
  <c r="F980" i="19"/>
  <c r="F1128" i="19"/>
  <c r="L250" i="19"/>
  <c r="L229" i="19"/>
  <c r="L435" i="19"/>
  <c r="L860" i="19"/>
  <c r="L184" i="19"/>
  <c r="L387" i="19"/>
  <c r="L718" i="19"/>
  <c r="F687" i="19"/>
  <c r="F734" i="19"/>
  <c r="L115" i="19"/>
  <c r="L314" i="19"/>
  <c r="L648" i="19"/>
  <c r="F926" i="19"/>
  <c r="F1000" i="19"/>
  <c r="F1074" i="19"/>
  <c r="F1148" i="19"/>
  <c r="L116" i="19"/>
  <c r="L316" i="19"/>
  <c r="L578" i="19"/>
  <c r="L1111" i="19"/>
  <c r="F709" i="19"/>
  <c r="L66" i="19"/>
  <c r="L247" i="19"/>
  <c r="L447" i="19"/>
  <c r="F763" i="19"/>
  <c r="F800" i="19"/>
  <c r="F837" i="19"/>
  <c r="F874" i="19"/>
  <c r="F911" i="19"/>
  <c r="F948" i="19"/>
  <c r="F985" i="19"/>
  <c r="F1022" i="19"/>
  <c r="F1100" i="19"/>
  <c r="L177" i="19"/>
  <c r="F801" i="19"/>
  <c r="F1097" i="19"/>
  <c r="L440" i="19"/>
  <c r="L402" i="19"/>
  <c r="F851" i="19"/>
  <c r="F1147" i="19"/>
  <c r="L770" i="19"/>
  <c r="L594" i="19"/>
  <c r="L673" i="19"/>
  <c r="L200" i="19"/>
  <c r="L496" i="19"/>
  <c r="L1146" i="19"/>
  <c r="L999" i="19"/>
  <c r="L989" i="19"/>
  <c r="F355" i="19"/>
  <c r="L559" i="19"/>
  <c r="F260" i="19"/>
  <c r="F52" i="19"/>
  <c r="F142" i="19"/>
  <c r="F243" i="19"/>
  <c r="F685" i="19"/>
  <c r="F40" i="19"/>
  <c r="F53" i="19"/>
  <c r="F144" i="19"/>
  <c r="F244" i="19"/>
  <c r="F630" i="19"/>
  <c r="F149" i="19"/>
  <c r="F54" i="19"/>
  <c r="F229" i="19"/>
  <c r="F819" i="19"/>
  <c r="F180" i="19"/>
  <c r="F302" i="19"/>
  <c r="F544" i="19"/>
  <c r="L255" i="19"/>
  <c r="F113" i="19"/>
  <c r="F166" i="19"/>
  <c r="F214" i="19"/>
  <c r="F261" i="19"/>
  <c r="F437" i="19"/>
  <c r="F694" i="19"/>
  <c r="F135" i="19"/>
  <c r="F286" i="19"/>
  <c r="F486" i="19"/>
  <c r="L60" i="19"/>
  <c r="F147" i="19"/>
  <c r="F275" i="19"/>
  <c r="F441" i="19"/>
  <c r="F914" i="19"/>
  <c r="F331" i="19"/>
  <c r="F368" i="19"/>
  <c r="F405" i="19"/>
  <c r="F442" i="19"/>
  <c r="F479" i="19"/>
  <c r="F516" i="19"/>
  <c r="F553" i="19"/>
  <c r="F590" i="19"/>
  <c r="F627" i="19"/>
  <c r="F664" i="19"/>
  <c r="F885" i="19"/>
  <c r="F1062" i="19"/>
  <c r="L108" i="19"/>
  <c r="L796" i="19"/>
  <c r="F844" i="19"/>
  <c r="L295" i="19"/>
  <c r="F320" i="19"/>
  <c r="F357" i="19"/>
  <c r="F394" i="19"/>
  <c r="F431" i="19"/>
  <c r="F468" i="19"/>
  <c r="F505" i="19"/>
  <c r="F542" i="19"/>
  <c r="F579" i="19"/>
  <c r="F616" i="19"/>
  <c r="F653" i="19"/>
  <c r="F815" i="19"/>
  <c r="L227" i="19"/>
  <c r="F683" i="19"/>
  <c r="L58" i="19"/>
  <c r="L740" i="19"/>
  <c r="F288" i="19"/>
  <c r="F325" i="19"/>
  <c r="F362" i="19"/>
  <c r="F399" i="19"/>
  <c r="F436" i="19"/>
  <c r="F473" i="19"/>
  <c r="F510" i="19"/>
  <c r="F547" i="19"/>
  <c r="F584" i="19"/>
  <c r="F621" i="19"/>
  <c r="F658" i="19"/>
  <c r="F774" i="19"/>
  <c r="F996" i="19"/>
  <c r="F1144" i="19"/>
  <c r="L322" i="19"/>
  <c r="L256" i="19"/>
  <c r="L464" i="19"/>
  <c r="L992" i="19"/>
  <c r="L211" i="19"/>
  <c r="L406" i="19"/>
  <c r="L759" i="19"/>
  <c r="F692" i="19"/>
  <c r="F739" i="19"/>
  <c r="L139" i="19"/>
  <c r="L337" i="19"/>
  <c r="L689" i="19"/>
  <c r="F934" i="19"/>
  <c r="F1008" i="19"/>
  <c r="F1082" i="19"/>
  <c r="F1156" i="19"/>
  <c r="L144" i="19"/>
  <c r="L338" i="19"/>
  <c r="L616" i="19"/>
  <c r="F666" i="19"/>
  <c r="F719" i="19"/>
  <c r="L81" i="19"/>
  <c r="L266" i="19"/>
  <c r="L481" i="19"/>
  <c r="F767" i="19"/>
  <c r="F804" i="19"/>
  <c r="F841" i="19"/>
  <c r="F878" i="19"/>
  <c r="F915" i="19"/>
  <c r="F952" i="19"/>
  <c r="F989" i="19"/>
  <c r="F1026" i="19"/>
  <c r="F1116" i="19"/>
  <c r="L251" i="19"/>
  <c r="F838" i="19"/>
  <c r="F1134" i="19"/>
  <c r="L611" i="19"/>
  <c r="L526" i="19"/>
  <c r="F888" i="19"/>
  <c r="L37" i="19"/>
  <c r="L866" i="19"/>
  <c r="L668" i="19"/>
  <c r="L747" i="19"/>
  <c r="L237" i="19"/>
  <c r="L533" i="19"/>
  <c r="L619" i="19"/>
  <c r="L1073" i="19"/>
  <c r="L1063" i="19"/>
  <c r="F429" i="19"/>
  <c r="F74" i="19"/>
  <c r="F519" i="19"/>
  <c r="F58" i="19"/>
  <c r="F153" i="19"/>
  <c r="F253" i="19"/>
  <c r="F733" i="19"/>
  <c r="F68" i="19"/>
  <c r="F65" i="19"/>
  <c r="F154" i="19"/>
  <c r="F255" i="19"/>
  <c r="F893" i="19"/>
  <c r="F202" i="19"/>
  <c r="F59" i="19"/>
  <c r="F285" i="19"/>
  <c r="L277" i="19"/>
  <c r="F201" i="19"/>
  <c r="F314" i="19"/>
  <c r="F581" i="19"/>
  <c r="L403" i="19"/>
  <c r="F119" i="19"/>
  <c r="F171" i="19"/>
  <c r="F219" i="19"/>
  <c r="F268" i="19"/>
  <c r="F474" i="19"/>
  <c r="F897" i="19"/>
  <c r="F151" i="19"/>
  <c r="F293" i="19"/>
  <c r="F523" i="19"/>
  <c r="L152" i="19"/>
  <c r="F168" i="19"/>
  <c r="F294" i="19"/>
  <c r="F478" i="19"/>
  <c r="L71" i="19"/>
  <c r="F335" i="19"/>
  <c r="F372" i="19"/>
  <c r="F409" i="19"/>
  <c r="F446" i="19"/>
  <c r="F483" i="19"/>
  <c r="F520" i="19"/>
  <c r="F557" i="19"/>
  <c r="F594" i="19"/>
  <c r="F631" i="19"/>
  <c r="F669" i="19"/>
  <c r="F930" i="19"/>
  <c r="F1078" i="19"/>
  <c r="L153" i="19"/>
  <c r="L984" i="19"/>
  <c r="F856" i="19"/>
  <c r="L353" i="19"/>
  <c r="F324" i="19"/>
  <c r="F361" i="19"/>
  <c r="F398" i="19"/>
  <c r="F435" i="19"/>
  <c r="F472" i="19"/>
  <c r="F509" i="19"/>
  <c r="F546" i="19"/>
  <c r="F583" i="19"/>
  <c r="F620" i="19"/>
  <c r="F657" i="19"/>
  <c r="F832" i="19"/>
  <c r="L300" i="19"/>
  <c r="F706" i="19"/>
  <c r="L91" i="19"/>
  <c r="L858" i="19"/>
  <c r="F292" i="19"/>
  <c r="F329" i="19"/>
  <c r="F366" i="19"/>
  <c r="F403" i="19"/>
  <c r="F440" i="19"/>
  <c r="F477" i="19"/>
  <c r="F514" i="19"/>
  <c r="F551" i="19"/>
  <c r="F588" i="19"/>
  <c r="F625" i="19"/>
  <c r="F662" i="19"/>
  <c r="F836" i="19"/>
  <c r="F1017" i="19"/>
  <c r="L18" i="19"/>
  <c r="L375" i="19"/>
  <c r="L284" i="19"/>
  <c r="L498" i="19"/>
  <c r="F686" i="19"/>
  <c r="L239" i="19"/>
  <c r="L472" i="19"/>
  <c r="L870" i="19"/>
  <c r="F697" i="19"/>
  <c r="F745" i="19"/>
  <c r="L166" i="19"/>
  <c r="L361" i="19"/>
  <c r="L727" i="19"/>
  <c r="F947" i="19"/>
  <c r="F1021" i="19"/>
  <c r="F1095" i="19"/>
  <c r="L22" i="19"/>
  <c r="L168" i="19"/>
  <c r="L366" i="19"/>
  <c r="L657" i="19"/>
  <c r="F670" i="19"/>
  <c r="F725" i="19"/>
  <c r="L102" i="19"/>
  <c r="L293" i="19"/>
  <c r="L510" i="19"/>
  <c r="F771" i="19"/>
  <c r="F808" i="19"/>
  <c r="F845" i="19"/>
  <c r="F882" i="19"/>
  <c r="F919" i="19"/>
  <c r="F956" i="19"/>
  <c r="F993" i="19"/>
  <c r="F1030" i="19"/>
  <c r="F1137" i="19"/>
  <c r="L325" i="19"/>
  <c r="F875" i="19"/>
  <c r="L24" i="19"/>
  <c r="L830" i="19"/>
  <c r="L736" i="19"/>
  <c r="F925" i="19"/>
  <c r="L506" i="19"/>
  <c r="L941" i="19"/>
  <c r="L742" i="19"/>
  <c r="L848" i="19"/>
  <c r="L274" i="19"/>
  <c r="L586" i="19"/>
  <c r="L693" i="19"/>
  <c r="L1149" i="19"/>
  <c r="L1137" i="19"/>
  <c r="F503" i="19"/>
  <c r="F109" i="19"/>
  <c r="F16" i="19"/>
  <c r="F64" i="19"/>
  <c r="F169" i="19"/>
  <c r="F282" i="19"/>
  <c r="F807" i="19"/>
  <c r="F101" i="19"/>
  <c r="F71" i="19"/>
  <c r="F170" i="19"/>
  <c r="F266" i="19"/>
  <c r="L276" i="19"/>
  <c r="F17" i="19"/>
  <c r="F66" i="19"/>
  <c r="F315" i="19"/>
  <c r="L744" i="19"/>
  <c r="F217" i="19"/>
  <c r="F322" i="19"/>
  <c r="F618" i="19"/>
  <c r="L670" i="19"/>
  <c r="F129" i="19"/>
  <c r="F177" i="19"/>
  <c r="F224" i="19"/>
  <c r="F279" i="19"/>
  <c r="F511" i="19"/>
  <c r="L42" i="19"/>
  <c r="F172" i="19"/>
  <c r="F299" i="19"/>
  <c r="F560" i="19"/>
  <c r="L329" i="19"/>
  <c r="F184" i="19"/>
  <c r="F301" i="19"/>
  <c r="F515" i="19"/>
  <c r="L203" i="19"/>
  <c r="F339" i="19"/>
  <c r="F376" i="19"/>
  <c r="F413" i="19"/>
  <c r="F450" i="19"/>
  <c r="F487" i="19"/>
  <c r="F524" i="19"/>
  <c r="F561" i="19"/>
  <c r="F598" i="19"/>
  <c r="F635" i="19"/>
  <c r="F675" i="19"/>
  <c r="F951" i="19"/>
  <c r="F1099" i="19"/>
  <c r="L221" i="19"/>
  <c r="F696" i="19"/>
  <c r="F918" i="19"/>
  <c r="L425" i="19"/>
  <c r="F328" i="19"/>
  <c r="F365" i="19"/>
  <c r="F402" i="19"/>
  <c r="F439" i="19"/>
  <c r="F476" i="19"/>
  <c r="F513" i="19"/>
  <c r="F550" i="19"/>
  <c r="F587" i="19"/>
  <c r="F624" i="19"/>
  <c r="F661" i="19"/>
  <c r="F889" i="19"/>
  <c r="L369" i="19"/>
  <c r="F721" i="19"/>
  <c r="L129" i="19"/>
  <c r="L1055" i="19"/>
  <c r="F296" i="19"/>
  <c r="F333" i="19"/>
  <c r="F370" i="19"/>
  <c r="F407" i="19"/>
  <c r="F444" i="19"/>
  <c r="F481" i="19"/>
  <c r="F518" i="19"/>
  <c r="F555" i="19"/>
  <c r="F592" i="19"/>
  <c r="F629" i="19"/>
  <c r="F684" i="19"/>
  <c r="F848" i="19"/>
  <c r="F1033" i="19"/>
  <c r="L34" i="19"/>
  <c r="L547" i="19"/>
  <c r="L303" i="19"/>
  <c r="L644" i="19"/>
  <c r="L74" i="19"/>
  <c r="L258" i="19"/>
  <c r="L501" i="19"/>
  <c r="L928" i="19"/>
  <c r="F702" i="19"/>
  <c r="F755" i="19"/>
  <c r="L189" i="19"/>
  <c r="L388" i="19"/>
  <c r="L817" i="19"/>
  <c r="F955" i="19"/>
  <c r="F1029" i="19"/>
  <c r="F1103" i="19"/>
  <c r="L30" i="19"/>
  <c r="L190" i="19"/>
  <c r="L390" i="19"/>
  <c r="L769" i="19"/>
  <c r="F674" i="19"/>
  <c r="F730" i="19"/>
  <c r="L118" i="19"/>
  <c r="L321" i="19"/>
  <c r="L587" i="19"/>
  <c r="F775" i="19"/>
  <c r="F812" i="19"/>
  <c r="F849" i="19"/>
  <c r="F886" i="19"/>
  <c r="F923" i="19"/>
  <c r="F960" i="19"/>
  <c r="F997" i="19"/>
  <c r="F1034" i="19"/>
  <c r="L27" i="19"/>
  <c r="L399" i="19"/>
  <c r="F912" i="19"/>
  <c r="L69" i="19"/>
  <c r="L1065" i="19"/>
  <c r="L981" i="19"/>
  <c r="F962" i="19"/>
  <c r="L685" i="19"/>
  <c r="L1057" i="19"/>
  <c r="L820" i="19"/>
  <c r="L931" i="19"/>
  <c r="L311" i="19"/>
  <c r="L660" i="19"/>
  <c r="L767" i="19"/>
  <c r="L822" i="19"/>
  <c r="C127" i="19"/>
  <c r="F577" i="19"/>
  <c r="F194" i="19"/>
  <c r="F21" i="19"/>
  <c r="F79" i="19"/>
  <c r="F179" i="19"/>
  <c r="F295" i="19"/>
  <c r="L205" i="19"/>
  <c r="F138" i="19"/>
  <c r="F80" i="19"/>
  <c r="F181" i="19"/>
  <c r="F297" i="19"/>
  <c r="F28" i="19"/>
  <c r="F22" i="19"/>
  <c r="F72" i="19"/>
  <c r="F388" i="19"/>
  <c r="F90" i="19"/>
  <c r="F238" i="19"/>
  <c r="F359" i="19"/>
  <c r="F655" i="19"/>
  <c r="F82" i="19"/>
  <c r="F134" i="19"/>
  <c r="F182" i="19"/>
  <c r="F230" i="19"/>
  <c r="F298" i="19"/>
  <c r="F548" i="19"/>
  <c r="L147" i="19"/>
  <c r="F188" i="19"/>
  <c r="F318" i="19"/>
  <c r="F597" i="19"/>
  <c r="L795" i="19"/>
  <c r="F205" i="19"/>
  <c r="F312" i="19"/>
  <c r="F552" i="19"/>
  <c r="L396" i="19"/>
  <c r="F348" i="19"/>
  <c r="F385" i="19"/>
  <c r="F422" i="19"/>
  <c r="F459" i="19"/>
  <c r="F496" i="19"/>
  <c r="F533" i="19"/>
  <c r="F570" i="19"/>
  <c r="F607" i="19"/>
  <c r="F644" i="19"/>
  <c r="F712" i="19"/>
  <c r="F967" i="19"/>
  <c r="F1115" i="19"/>
  <c r="L279" i="19"/>
  <c r="F705" i="19"/>
  <c r="L43" i="19"/>
  <c r="L518" i="19"/>
  <c r="F332" i="19"/>
  <c r="F369" i="19"/>
  <c r="F406" i="19"/>
  <c r="F443" i="19"/>
  <c r="F480" i="19"/>
  <c r="F517" i="19"/>
  <c r="F554" i="19"/>
  <c r="F591" i="19"/>
  <c r="F628" i="19"/>
  <c r="F665" i="19"/>
  <c r="F906" i="19"/>
  <c r="L427" i="19"/>
  <c r="F759" i="19"/>
  <c r="L176" i="19"/>
  <c r="F263" i="19"/>
  <c r="F300" i="19"/>
  <c r="F337" i="19"/>
  <c r="F374" i="19"/>
  <c r="F411" i="19"/>
  <c r="F448" i="19"/>
  <c r="F485" i="19"/>
  <c r="F522" i="19"/>
  <c r="F559" i="19"/>
  <c r="F596" i="19"/>
  <c r="F633" i="19"/>
  <c r="F690" i="19"/>
  <c r="F910" i="19"/>
  <c r="F1054" i="19"/>
  <c r="L59" i="19"/>
  <c r="L906" i="19"/>
  <c r="L330" i="19"/>
  <c r="L671" i="19"/>
  <c r="L95" i="19"/>
  <c r="L285" i="19"/>
  <c r="L535" i="19"/>
  <c r="L1018" i="19"/>
  <c r="F708" i="19"/>
  <c r="L52" i="19"/>
  <c r="L213" i="19"/>
  <c r="L411" i="19"/>
  <c r="L885" i="19"/>
  <c r="F963" i="19"/>
  <c r="F1037" i="19"/>
  <c r="F1111" i="19"/>
  <c r="L38" i="19"/>
  <c r="L218" i="19"/>
  <c r="L412" i="19"/>
  <c r="L818" i="19"/>
  <c r="F688" i="19"/>
  <c r="F735" i="19"/>
  <c r="L145" i="19"/>
  <c r="L340" i="19"/>
  <c r="L731" i="19"/>
  <c r="F779" i="19"/>
  <c r="F816" i="19"/>
  <c r="F853" i="19"/>
  <c r="F890" i="19"/>
  <c r="F927" i="19"/>
  <c r="F964" i="19"/>
  <c r="F1001" i="19"/>
  <c r="F1038" i="19"/>
  <c r="L439" i="19"/>
  <c r="L525" i="19"/>
  <c r="F949" i="19"/>
  <c r="L141" i="19"/>
  <c r="L106" i="19"/>
  <c r="F703" i="19"/>
  <c r="F999" i="19"/>
  <c r="L879" i="19"/>
  <c r="L429" i="19"/>
  <c r="L895" i="19"/>
  <c r="L1070" i="19"/>
  <c r="L348" i="19"/>
  <c r="L734" i="19"/>
  <c r="L842" i="19"/>
  <c r="L896" i="19"/>
  <c r="C756" i="19"/>
  <c r="F651" i="19"/>
  <c r="F392" i="19"/>
  <c r="F26" i="19"/>
  <c r="F95" i="19"/>
  <c r="F190" i="19"/>
  <c r="F379" i="19"/>
  <c r="L661" i="19"/>
  <c r="F239" i="19"/>
  <c r="F96" i="19"/>
  <c r="F191" i="19"/>
  <c r="F334" i="19"/>
  <c r="F146" i="19"/>
  <c r="F27" i="19"/>
  <c r="F81" i="19"/>
  <c r="F462" i="19"/>
  <c r="F106" i="19"/>
  <c r="F254" i="19"/>
  <c r="F396" i="19"/>
  <c r="F667" i="19"/>
  <c r="F92" i="19"/>
  <c r="F140" i="19"/>
  <c r="F187" i="19"/>
  <c r="F240" i="19"/>
  <c r="F305" i="19"/>
  <c r="F585" i="19"/>
  <c r="L324" i="19"/>
  <c r="F209" i="19"/>
  <c r="F338" i="19"/>
  <c r="F634" i="19"/>
  <c r="F73" i="19"/>
  <c r="F221" i="19"/>
  <c r="F319" i="19"/>
  <c r="F589" i="19"/>
  <c r="L959" i="19"/>
  <c r="F352" i="19"/>
  <c r="F389" i="19"/>
  <c r="F426" i="19"/>
  <c r="F463" i="19"/>
  <c r="F500" i="19"/>
  <c r="F537" i="19"/>
  <c r="F574" i="19"/>
  <c r="F611" i="19"/>
  <c r="F648" i="19"/>
  <c r="F726" i="19"/>
  <c r="F988" i="19"/>
  <c r="F1136" i="19"/>
  <c r="L351" i="19"/>
  <c r="F743" i="19"/>
  <c r="L73" i="19"/>
  <c r="L597" i="19"/>
  <c r="F336" i="19"/>
  <c r="F373" i="19"/>
  <c r="F410" i="19"/>
  <c r="F447" i="19"/>
  <c r="F484" i="19"/>
  <c r="F521" i="19"/>
  <c r="F558" i="19"/>
  <c r="F595" i="19"/>
  <c r="F632" i="19"/>
  <c r="F681" i="19"/>
  <c r="L55" i="19"/>
  <c r="L521" i="19"/>
  <c r="F786" i="19"/>
  <c r="L248" i="19"/>
  <c r="F267" i="19"/>
  <c r="F304" i="19"/>
  <c r="F341" i="19"/>
  <c r="F378" i="19"/>
  <c r="F415" i="19"/>
  <c r="F452" i="19"/>
  <c r="F489" i="19"/>
  <c r="F526" i="19"/>
  <c r="F563" i="19"/>
  <c r="F600" i="19"/>
  <c r="F637" i="19"/>
  <c r="F700" i="19"/>
  <c r="F922" i="19"/>
  <c r="F1070" i="19"/>
  <c r="L92" i="19"/>
  <c r="L1076" i="19"/>
  <c r="L358" i="19"/>
  <c r="L712" i="19"/>
  <c r="L111" i="19"/>
  <c r="L313" i="19"/>
  <c r="L574" i="19"/>
  <c r="L1089" i="19"/>
  <c r="F718" i="19"/>
  <c r="L65" i="19"/>
  <c r="L240" i="19"/>
  <c r="L436" i="19"/>
  <c r="L934" i="19"/>
  <c r="F971" i="19"/>
  <c r="F1045" i="19"/>
  <c r="F1119" i="19"/>
  <c r="L53" i="19"/>
  <c r="L242" i="19"/>
  <c r="L444" i="19"/>
  <c r="L886" i="19"/>
  <c r="F693" i="19"/>
  <c r="F741" i="19"/>
  <c r="L173" i="19"/>
  <c r="L367" i="19"/>
  <c r="L775" i="19"/>
  <c r="F783" i="19"/>
  <c r="F820" i="19"/>
  <c r="F857" i="19"/>
  <c r="F894" i="19"/>
  <c r="F931" i="19"/>
  <c r="F968" i="19"/>
  <c r="F1005" i="19"/>
  <c r="F1042" i="19"/>
  <c r="L607" i="19"/>
  <c r="L722" i="19"/>
  <c r="F986" i="19"/>
  <c r="L215" i="19"/>
  <c r="L180" i="19"/>
  <c r="F740" i="19"/>
  <c r="F1036" i="19"/>
  <c r="L1138" i="19"/>
  <c r="L466" i="19"/>
  <c r="L1006" i="19"/>
  <c r="L89" i="19"/>
  <c r="L385" i="19"/>
  <c r="L814" i="19"/>
  <c r="L925" i="19"/>
  <c r="L970" i="19"/>
  <c r="C238" i="19"/>
  <c r="F731" i="19"/>
  <c r="F128" i="19"/>
  <c r="F31" i="19"/>
  <c r="F105" i="19"/>
  <c r="F206" i="19"/>
  <c r="F453" i="19"/>
  <c r="F83" i="19"/>
  <c r="F371" i="19"/>
  <c r="F107" i="19"/>
  <c r="F207" i="19"/>
  <c r="F408" i="19"/>
  <c r="F210" i="19"/>
  <c r="F33" i="19"/>
  <c r="F118" i="19"/>
  <c r="F536" i="19"/>
  <c r="F127" i="19"/>
  <c r="F265" i="19"/>
  <c r="F433" i="19"/>
  <c r="F710" i="19"/>
  <c r="F97" i="19"/>
  <c r="F145" i="19"/>
  <c r="F193" i="19"/>
  <c r="F245" i="19"/>
  <c r="F326" i="19"/>
  <c r="F622" i="19"/>
  <c r="F77" i="19"/>
  <c r="F225" i="19"/>
  <c r="F375" i="19"/>
  <c r="F749" i="19"/>
  <c r="F94" i="19"/>
  <c r="F242" i="19"/>
  <c r="F330" i="19"/>
  <c r="F626" i="19"/>
  <c r="L912" i="19"/>
  <c r="F356" i="19"/>
  <c r="F393" i="19"/>
  <c r="F430" i="19"/>
  <c r="F467" i="19"/>
  <c r="F504" i="19"/>
  <c r="F541" i="19"/>
  <c r="F578" i="19"/>
  <c r="F615" i="19"/>
  <c r="F652" i="19"/>
  <c r="F799" i="19"/>
  <c r="F1004" i="19"/>
  <c r="F1152" i="19"/>
  <c r="L424" i="19"/>
  <c r="F758" i="19"/>
  <c r="L110" i="19"/>
  <c r="L843" i="19"/>
  <c r="F340" i="19"/>
  <c r="F377" i="19"/>
  <c r="F414" i="19"/>
  <c r="F451" i="19"/>
  <c r="F488" i="19"/>
  <c r="F525" i="19"/>
  <c r="F562" i="19"/>
  <c r="F599" i="19"/>
  <c r="F636" i="19"/>
  <c r="F689" i="19"/>
  <c r="L82" i="19"/>
  <c r="L844" i="19"/>
  <c r="F803" i="19"/>
  <c r="L301" i="19"/>
  <c r="F276" i="19"/>
  <c r="F313" i="19"/>
  <c r="F350" i="19"/>
  <c r="F387" i="19"/>
  <c r="F424" i="19"/>
  <c r="F461" i="19"/>
  <c r="F498" i="19"/>
  <c r="F535" i="19"/>
  <c r="F572" i="19"/>
  <c r="F609" i="19"/>
  <c r="F646" i="19"/>
  <c r="F738" i="19"/>
  <c r="F943" i="19"/>
  <c r="F1091" i="19"/>
  <c r="L131" i="19"/>
  <c r="L182" i="19"/>
  <c r="L377" i="19"/>
  <c r="L758" i="19"/>
  <c r="L137" i="19"/>
  <c r="L332" i="19"/>
  <c r="L601" i="19"/>
  <c r="F673" i="19"/>
  <c r="F723" i="19"/>
  <c r="L78" i="19"/>
  <c r="L263" i="19"/>
  <c r="L509" i="19"/>
  <c r="L1020" i="19"/>
  <c r="F984" i="19"/>
  <c r="F1058" i="19"/>
  <c r="F1132" i="19"/>
  <c r="L79" i="19"/>
  <c r="L264" i="19"/>
  <c r="L473" i="19"/>
  <c r="L955" i="19"/>
  <c r="F698" i="19"/>
  <c r="F746" i="19"/>
  <c r="L192" i="19"/>
  <c r="L395" i="19"/>
  <c r="L1052" i="19"/>
  <c r="F792" i="19"/>
  <c r="F829" i="19"/>
  <c r="F866" i="19"/>
  <c r="F903" i="19"/>
  <c r="F940" i="19"/>
  <c r="F977" i="19"/>
  <c r="F1014" i="19"/>
  <c r="F1063" i="19"/>
  <c r="L802" i="19"/>
  <c r="L919" i="19"/>
  <c r="F1023" i="19"/>
  <c r="L289" i="19"/>
  <c r="L254" i="19"/>
  <c r="F777" i="19"/>
  <c r="F1073" i="19"/>
  <c r="L621" i="19"/>
  <c r="L503" i="19"/>
  <c r="L1114" i="19"/>
  <c r="L126" i="19"/>
  <c r="L422" i="19"/>
  <c r="L910" i="19"/>
  <c r="L1015" i="19"/>
  <c r="L1044" i="19"/>
  <c r="C645" i="19"/>
  <c r="F1067" i="19"/>
  <c r="F1104" i="19"/>
  <c r="F1141" i="19"/>
  <c r="L31" i="19"/>
  <c r="L448" i="19"/>
  <c r="L620" i="19"/>
  <c r="L829" i="19"/>
  <c r="L1090" i="19"/>
  <c r="L185" i="19"/>
  <c r="L259" i="19"/>
  <c r="L333" i="19"/>
  <c r="L407" i="19"/>
  <c r="L539" i="19"/>
  <c r="L735" i="19"/>
  <c r="L967" i="19"/>
  <c r="F768" i="19"/>
  <c r="F805" i="19"/>
  <c r="F842" i="19"/>
  <c r="F879" i="19"/>
  <c r="F916" i="19"/>
  <c r="F953" i="19"/>
  <c r="F990" i="19"/>
  <c r="F1027" i="19"/>
  <c r="F1064" i="19"/>
  <c r="F1101" i="19"/>
  <c r="F1138" i="19"/>
  <c r="L28" i="19"/>
  <c r="L75" i="19"/>
  <c r="L149" i="19"/>
  <c r="L223" i="19"/>
  <c r="L297" i="19"/>
  <c r="L371" i="19"/>
  <c r="L468" i="19"/>
  <c r="L624" i="19"/>
  <c r="L851" i="19"/>
  <c r="L1135" i="19"/>
  <c r="L114" i="19"/>
  <c r="L188" i="19"/>
  <c r="L262" i="19"/>
  <c r="L336" i="19"/>
  <c r="L410" i="19"/>
  <c r="L570" i="19"/>
  <c r="L749" i="19"/>
  <c r="L1004" i="19"/>
  <c r="F707" i="19"/>
  <c r="F744" i="19"/>
  <c r="F781" i="19"/>
  <c r="F818" i="19"/>
  <c r="F855" i="19"/>
  <c r="F892" i="19"/>
  <c r="F929" i="19"/>
  <c r="F966" i="19"/>
  <c r="F1003" i="19"/>
  <c r="F1040" i="19"/>
  <c r="F1077" i="19"/>
  <c r="F1114" i="19"/>
  <c r="F1151" i="19"/>
  <c r="L41" i="19"/>
  <c r="L534" i="19"/>
  <c r="L698" i="19"/>
  <c r="L905" i="19"/>
  <c r="L556" i="19"/>
  <c r="L630" i="19"/>
  <c r="L704" i="19"/>
  <c r="L777" i="19"/>
  <c r="L873" i="19"/>
  <c r="L960" i="19"/>
  <c r="L1066" i="19"/>
  <c r="L433" i="19"/>
  <c r="L470" i="19"/>
  <c r="L507" i="19"/>
  <c r="L544" i="19"/>
  <c r="L608" i="19"/>
  <c r="L682" i="19"/>
  <c r="L756" i="19"/>
  <c r="L832" i="19"/>
  <c r="L908" i="19"/>
  <c r="L1022" i="19"/>
  <c r="L1129" i="19"/>
  <c r="L613" i="19"/>
  <c r="L687" i="19"/>
  <c r="L761" i="19"/>
  <c r="L855" i="19"/>
  <c r="L943" i="19"/>
  <c r="L1079" i="19"/>
  <c r="L93" i="19"/>
  <c r="L130" i="19"/>
  <c r="L167" i="19"/>
  <c r="L204" i="19"/>
  <c r="L241" i="19"/>
  <c r="L278" i="19"/>
  <c r="L315" i="19"/>
  <c r="L352" i="19"/>
  <c r="L389" i="19"/>
  <c r="L426" i="19"/>
  <c r="L463" i="19"/>
  <c r="L500" i="19"/>
  <c r="L537" i="19"/>
  <c r="L595" i="19"/>
  <c r="L669" i="19"/>
  <c r="L743" i="19"/>
  <c r="L821" i="19"/>
  <c r="L917" i="19"/>
  <c r="L1051" i="19"/>
  <c r="L554" i="19"/>
  <c r="L628" i="19"/>
  <c r="L702" i="19"/>
  <c r="L774" i="19"/>
  <c r="L857" i="19"/>
  <c r="L932" i="19"/>
  <c r="L1035" i="19"/>
  <c r="L1148" i="19"/>
  <c r="L1017" i="19"/>
  <c r="L1091" i="19"/>
  <c r="L1150" i="19"/>
  <c r="L840" i="19"/>
  <c r="L914" i="19"/>
  <c r="L988" i="19"/>
  <c r="L1062" i="19"/>
  <c r="L1136" i="19"/>
  <c r="L995" i="19"/>
  <c r="L1069" i="19"/>
  <c r="L1144" i="19"/>
  <c r="C423" i="19"/>
  <c r="C1052" i="19"/>
  <c r="C534" i="19"/>
  <c r="C16" i="19"/>
  <c r="F1071" i="19"/>
  <c r="F1108" i="19"/>
  <c r="F1145" i="19"/>
  <c r="L35" i="19"/>
  <c r="L476" i="19"/>
  <c r="L633" i="19"/>
  <c r="L845" i="19"/>
  <c r="L119" i="19"/>
  <c r="L193" i="19"/>
  <c r="L267" i="19"/>
  <c r="L341" i="19"/>
  <c r="L415" i="19"/>
  <c r="L579" i="19"/>
  <c r="L745" i="19"/>
  <c r="L1002" i="19"/>
  <c r="F772" i="19"/>
  <c r="F809" i="19"/>
  <c r="F846" i="19"/>
  <c r="F883" i="19"/>
  <c r="F920" i="19"/>
  <c r="F957" i="19"/>
  <c r="F994" i="19"/>
  <c r="F1031" i="19"/>
  <c r="F1068" i="19"/>
  <c r="F1105" i="19"/>
  <c r="F1142" i="19"/>
  <c r="L32" i="19"/>
  <c r="L83" i="19"/>
  <c r="L157" i="19"/>
  <c r="L231" i="19"/>
  <c r="L305" i="19"/>
  <c r="L379" i="19"/>
  <c r="L477" i="19"/>
  <c r="L634" i="19"/>
  <c r="L878" i="19"/>
  <c r="L46" i="19"/>
  <c r="L127" i="19"/>
  <c r="L201" i="19"/>
  <c r="L275" i="19"/>
  <c r="L349" i="19"/>
  <c r="L423" i="19"/>
  <c r="L583" i="19"/>
  <c r="L810" i="19"/>
  <c r="L1039" i="19"/>
  <c r="F711" i="19"/>
  <c r="F748" i="19"/>
  <c r="F785" i="19"/>
  <c r="F822" i="19"/>
  <c r="F859" i="19"/>
  <c r="F896" i="19"/>
  <c r="F933" i="19"/>
  <c r="F970" i="19"/>
  <c r="F1007" i="19"/>
  <c r="F1044" i="19"/>
  <c r="F1081" i="19"/>
  <c r="F1118" i="19"/>
  <c r="F1155" i="19"/>
  <c r="L64" i="19"/>
  <c r="L543" i="19"/>
  <c r="L708" i="19"/>
  <c r="L926" i="19"/>
  <c r="L561" i="19"/>
  <c r="L635" i="19"/>
  <c r="L709" i="19"/>
  <c r="L784" i="19"/>
  <c r="L880" i="19"/>
  <c r="L969" i="19"/>
  <c r="L1077" i="19"/>
  <c r="L437" i="19"/>
  <c r="L474" i="19"/>
  <c r="L511" i="19"/>
  <c r="L548" i="19"/>
  <c r="L617" i="19"/>
  <c r="L691" i="19"/>
  <c r="L765" i="19"/>
  <c r="L839" i="19"/>
  <c r="L923" i="19"/>
  <c r="L1033" i="19"/>
  <c r="L1142" i="19"/>
  <c r="L622" i="19"/>
  <c r="L696" i="19"/>
  <c r="L792" i="19"/>
  <c r="L867" i="19"/>
  <c r="L961" i="19"/>
  <c r="L1095" i="19"/>
  <c r="L97" i="19"/>
  <c r="L134" i="19"/>
  <c r="L171" i="19"/>
  <c r="L208" i="19"/>
  <c r="L245" i="19"/>
  <c r="L282" i="19"/>
  <c r="L319" i="19"/>
  <c r="L356" i="19"/>
  <c r="L393" i="19"/>
  <c r="L430" i="19"/>
  <c r="L467" i="19"/>
  <c r="L504" i="19"/>
  <c r="L541" i="19"/>
  <c r="L609" i="19"/>
  <c r="L683" i="19"/>
  <c r="L757" i="19"/>
  <c r="L834" i="19"/>
  <c r="L924" i="19"/>
  <c r="L1071" i="19"/>
  <c r="L563" i="19"/>
  <c r="L637" i="19"/>
  <c r="L711" i="19"/>
  <c r="L781" i="19"/>
  <c r="L869" i="19"/>
  <c r="L945" i="19"/>
  <c r="L1061" i="19"/>
  <c r="L949" i="19"/>
  <c r="L1023" i="19"/>
  <c r="L1097" i="19"/>
  <c r="L772" i="19"/>
  <c r="L846" i="19"/>
  <c r="L920" i="19"/>
  <c r="L994" i="19"/>
  <c r="L1068" i="19"/>
  <c r="L1143" i="19"/>
  <c r="L1008" i="19"/>
  <c r="L1082" i="19"/>
  <c r="L1152" i="19"/>
  <c r="C719" i="19"/>
  <c r="C978" i="19"/>
  <c r="C830" i="19"/>
  <c r="C312" i="19"/>
  <c r="F1075" i="19"/>
  <c r="F1112" i="19"/>
  <c r="F1149" i="19"/>
  <c r="L39" i="19"/>
  <c r="L485" i="19"/>
  <c r="L690" i="19"/>
  <c r="L871" i="19"/>
  <c r="L132" i="19"/>
  <c r="L206" i="19"/>
  <c r="L280" i="19"/>
  <c r="L354" i="19"/>
  <c r="L428" i="19"/>
  <c r="L592" i="19"/>
  <c r="L782" i="19"/>
  <c r="L1029" i="19"/>
  <c r="F776" i="19"/>
  <c r="F813" i="19"/>
  <c r="F850" i="19"/>
  <c r="F887" i="19"/>
  <c r="F924" i="19"/>
  <c r="F961" i="19"/>
  <c r="F998" i="19"/>
  <c r="F1035" i="19"/>
  <c r="F1072" i="19"/>
  <c r="F1109" i="19"/>
  <c r="F1146" i="19"/>
  <c r="L36" i="19"/>
  <c r="L96" i="19"/>
  <c r="L170" i="19"/>
  <c r="L244" i="19"/>
  <c r="L318" i="19"/>
  <c r="L392" i="19"/>
  <c r="L505" i="19"/>
  <c r="L681" i="19"/>
  <c r="L894" i="19"/>
  <c r="L57" i="19"/>
  <c r="L135" i="19"/>
  <c r="L209" i="19"/>
  <c r="L283" i="19"/>
  <c r="L357" i="19"/>
  <c r="L443" i="19"/>
  <c r="L596" i="19"/>
  <c r="L836" i="19"/>
  <c r="L1072" i="19"/>
  <c r="F720" i="19"/>
  <c r="F757" i="19"/>
  <c r="F794" i="19"/>
  <c r="F831" i="19"/>
  <c r="F868" i="19"/>
  <c r="F905" i="19"/>
  <c r="F942" i="19"/>
  <c r="F979" i="19"/>
  <c r="F1016" i="19"/>
  <c r="F1053" i="19"/>
  <c r="F1090" i="19"/>
  <c r="F1127" i="19"/>
  <c r="L17" i="19"/>
  <c r="L70" i="19"/>
  <c r="L555" i="19"/>
  <c r="L755" i="19"/>
  <c r="L948" i="19"/>
  <c r="L575" i="19"/>
  <c r="L649" i="19"/>
  <c r="L723" i="19"/>
  <c r="L797" i="19"/>
  <c r="L887" i="19"/>
  <c r="L985" i="19"/>
  <c r="L1092" i="19"/>
  <c r="L441" i="19"/>
  <c r="L478" i="19"/>
  <c r="L515" i="19"/>
  <c r="L552" i="19"/>
  <c r="L626" i="19"/>
  <c r="L700" i="19"/>
  <c r="L771" i="19"/>
  <c r="L847" i="19"/>
  <c r="L930" i="19"/>
  <c r="L1042" i="19"/>
  <c r="L553" i="19"/>
  <c r="L627" i="19"/>
  <c r="L701" i="19"/>
  <c r="L799" i="19"/>
  <c r="L882" i="19"/>
  <c r="L987" i="19"/>
  <c r="L1115" i="19"/>
  <c r="L101" i="19"/>
  <c r="L138" i="19"/>
  <c r="L175" i="19"/>
  <c r="L212" i="19"/>
  <c r="L249" i="19"/>
  <c r="L286" i="19"/>
  <c r="L323" i="19"/>
  <c r="L360" i="19"/>
  <c r="L397" i="19"/>
  <c r="L434" i="19"/>
  <c r="L471" i="19"/>
  <c r="L508" i="19"/>
  <c r="L545" i="19"/>
  <c r="L618" i="19"/>
  <c r="L692" i="19"/>
  <c r="L766" i="19"/>
  <c r="L849" i="19"/>
  <c r="L944" i="19"/>
  <c r="L1080" i="19"/>
  <c r="L577" i="19"/>
  <c r="L651" i="19"/>
  <c r="L725" i="19"/>
  <c r="L793" i="19"/>
  <c r="L876" i="19"/>
  <c r="L954" i="19"/>
  <c r="L1088" i="19"/>
  <c r="L956" i="19"/>
  <c r="L1030" i="19"/>
  <c r="L1104" i="19"/>
  <c r="L779" i="19"/>
  <c r="L853" i="19"/>
  <c r="L927" i="19"/>
  <c r="L1001" i="19"/>
  <c r="L1075" i="19"/>
  <c r="L1151" i="19"/>
  <c r="L1019" i="19"/>
  <c r="L1093" i="19"/>
  <c r="L1153" i="19"/>
  <c r="C1015" i="19"/>
  <c r="C201" i="19"/>
  <c r="C1126" i="19"/>
  <c r="C608" i="19"/>
  <c r="F1153" i="19"/>
  <c r="L44" i="19"/>
  <c r="L513" i="19"/>
  <c r="L703" i="19"/>
  <c r="L892" i="19"/>
  <c r="L140" i="19"/>
  <c r="L214" i="19"/>
  <c r="L288" i="19"/>
  <c r="L362" i="19"/>
  <c r="L451" i="19"/>
  <c r="L610" i="19"/>
  <c r="L804" i="19"/>
  <c r="L1064" i="19"/>
  <c r="F780" i="19"/>
  <c r="F817" i="19"/>
  <c r="F854" i="19"/>
  <c r="F891" i="19"/>
  <c r="F928" i="19"/>
  <c r="F965" i="19"/>
  <c r="F1002" i="19"/>
  <c r="F1039" i="19"/>
  <c r="F1076" i="19"/>
  <c r="F1113" i="19"/>
  <c r="F1150" i="19"/>
  <c r="L40" i="19"/>
  <c r="L104" i="19"/>
  <c r="L178" i="19"/>
  <c r="L252" i="19"/>
  <c r="L326" i="19"/>
  <c r="L400" i="19"/>
  <c r="L514" i="19"/>
  <c r="L694" i="19"/>
  <c r="L946" i="19"/>
  <c r="L63" i="19"/>
  <c r="L143" i="19"/>
  <c r="L217" i="19"/>
  <c r="L291" i="19"/>
  <c r="L365" i="19"/>
  <c r="L452" i="19"/>
  <c r="L653" i="19"/>
  <c r="L852" i="19"/>
  <c r="L1101" i="19"/>
  <c r="F724" i="19"/>
  <c r="F761" i="19"/>
  <c r="F798" i="19"/>
  <c r="F835" i="19"/>
  <c r="F872" i="19"/>
  <c r="F909" i="19"/>
  <c r="F946" i="19"/>
  <c r="F983" i="19"/>
  <c r="F1020" i="19"/>
  <c r="F1057" i="19"/>
  <c r="F1094" i="19"/>
  <c r="F1131" i="19"/>
  <c r="L21" i="19"/>
  <c r="L432" i="19"/>
  <c r="L573" i="19"/>
  <c r="L768" i="19"/>
  <c r="L983" i="19"/>
  <c r="L584" i="19"/>
  <c r="L658" i="19"/>
  <c r="L732" i="19"/>
  <c r="L812" i="19"/>
  <c r="L907" i="19"/>
  <c r="L996" i="19"/>
  <c r="L1102" i="19"/>
  <c r="L445" i="19"/>
  <c r="L482" i="19"/>
  <c r="L519" i="19"/>
  <c r="L557" i="19"/>
  <c r="L631" i="19"/>
  <c r="L705" i="19"/>
  <c r="L778" i="19"/>
  <c r="L854" i="19"/>
  <c r="L942" i="19"/>
  <c r="L1058" i="19"/>
  <c r="L562" i="19"/>
  <c r="L636" i="19"/>
  <c r="L710" i="19"/>
  <c r="L806" i="19"/>
  <c r="L889" i="19"/>
  <c r="L1014" i="19"/>
  <c r="L1131" i="19"/>
  <c r="L105" i="19"/>
  <c r="L142" i="19"/>
  <c r="L179" i="19"/>
  <c r="L216" i="19"/>
  <c r="L253" i="19"/>
  <c r="L290" i="19"/>
  <c r="L327" i="19"/>
  <c r="L364" i="19"/>
  <c r="L401" i="19"/>
  <c r="L438" i="19"/>
  <c r="L475" i="19"/>
  <c r="L512" i="19"/>
  <c r="L549" i="19"/>
  <c r="L623" i="19"/>
  <c r="L697" i="19"/>
  <c r="L773" i="19"/>
  <c r="L856" i="19"/>
  <c r="L953" i="19"/>
  <c r="L1096" i="19"/>
  <c r="L582" i="19"/>
  <c r="L656" i="19"/>
  <c r="L730" i="19"/>
  <c r="L808" i="19"/>
  <c r="L884" i="19"/>
  <c r="L965" i="19"/>
  <c r="L1108" i="19"/>
  <c r="L962" i="19"/>
  <c r="L1036" i="19"/>
  <c r="L1110" i="19"/>
  <c r="L785" i="19"/>
  <c r="L859" i="19"/>
  <c r="L933" i="19"/>
  <c r="L1007" i="19"/>
  <c r="L1081" i="19"/>
  <c r="L952" i="19"/>
  <c r="L1026" i="19"/>
  <c r="L1100" i="19"/>
  <c r="L1154" i="19"/>
  <c r="C349" i="19"/>
  <c r="C497" i="19"/>
  <c r="C941" i="19"/>
  <c r="C904" i="19"/>
  <c r="F1051" i="19"/>
  <c r="F1088" i="19"/>
  <c r="F1125" i="19"/>
  <c r="L15" i="19"/>
  <c r="L54" i="19"/>
  <c r="L522" i="19"/>
  <c r="L721" i="19"/>
  <c r="L913" i="19"/>
  <c r="L148" i="19"/>
  <c r="L222" i="19"/>
  <c r="L296" i="19"/>
  <c r="L370" i="19"/>
  <c r="L465" i="19"/>
  <c r="L652" i="19"/>
  <c r="L850" i="19"/>
  <c r="L1098" i="19"/>
  <c r="F784" i="19"/>
  <c r="F821" i="19"/>
  <c r="F858" i="19"/>
  <c r="F895" i="19"/>
  <c r="F932" i="19"/>
  <c r="F969" i="19"/>
  <c r="F1006" i="19"/>
  <c r="F1043" i="19"/>
  <c r="F1080" i="19"/>
  <c r="F1117" i="19"/>
  <c r="F1154" i="19"/>
  <c r="L45" i="19"/>
  <c r="L112" i="19"/>
  <c r="L186" i="19"/>
  <c r="L260" i="19"/>
  <c r="L334" i="19"/>
  <c r="L408" i="19"/>
  <c r="L542" i="19"/>
  <c r="L707" i="19"/>
  <c r="L968" i="19"/>
  <c r="L77" i="19"/>
  <c r="L151" i="19"/>
  <c r="L225" i="19"/>
  <c r="L299" i="19"/>
  <c r="L373" i="19"/>
  <c r="L480" i="19"/>
  <c r="L666" i="19"/>
  <c r="L904" i="19"/>
  <c r="F691" i="19"/>
  <c r="F728" i="19"/>
  <c r="F765" i="19"/>
  <c r="F802" i="19"/>
  <c r="F839" i="19"/>
  <c r="F876" i="19"/>
  <c r="F913" i="19"/>
  <c r="F950" i="19"/>
  <c r="F987" i="19"/>
  <c r="F1024" i="19"/>
  <c r="F1061" i="19"/>
  <c r="F1098" i="19"/>
  <c r="F1135" i="19"/>
  <c r="L25" i="19"/>
  <c r="L460" i="19"/>
  <c r="L615" i="19"/>
  <c r="L794" i="19"/>
  <c r="L1016" i="19"/>
  <c r="L593" i="19"/>
  <c r="L667" i="19"/>
  <c r="L741" i="19"/>
  <c r="L819" i="19"/>
  <c r="L915" i="19"/>
  <c r="L1005" i="19"/>
  <c r="L1113" i="19"/>
  <c r="L449" i="19"/>
  <c r="L486" i="19"/>
  <c r="L523" i="19"/>
  <c r="L571" i="19"/>
  <c r="L645" i="19"/>
  <c r="L719" i="19"/>
  <c r="L786" i="19"/>
  <c r="L874" i="19"/>
  <c r="L950" i="19"/>
  <c r="L1078" i="19"/>
  <c r="L576" i="19"/>
  <c r="L650" i="19"/>
  <c r="L724" i="19"/>
  <c r="L813" i="19"/>
  <c r="L897" i="19"/>
  <c r="L1034" i="19"/>
  <c r="L1145" i="19"/>
  <c r="L109" i="19"/>
  <c r="L146" i="19"/>
  <c r="L183" i="19"/>
  <c r="L220" i="19"/>
  <c r="L257" i="19"/>
  <c r="L294" i="19"/>
  <c r="L331" i="19"/>
  <c r="L368" i="19"/>
  <c r="L405" i="19"/>
  <c r="L442" i="19"/>
  <c r="L479" i="19"/>
  <c r="L516" i="19"/>
  <c r="L558" i="19"/>
  <c r="L632" i="19"/>
  <c r="L706" i="19"/>
  <c r="L780" i="19"/>
  <c r="L868" i="19"/>
  <c r="L963" i="19"/>
  <c r="L1107" i="19"/>
  <c r="L591" i="19"/>
  <c r="L665" i="19"/>
  <c r="L739" i="19"/>
  <c r="L815" i="19"/>
  <c r="L891" i="19"/>
  <c r="L979" i="19"/>
  <c r="L1117" i="19"/>
  <c r="L980" i="19"/>
  <c r="L1054" i="19"/>
  <c r="L1128" i="19"/>
  <c r="L803" i="19"/>
  <c r="L877" i="19"/>
  <c r="L951" i="19"/>
  <c r="L1025" i="19"/>
  <c r="L1099" i="19"/>
  <c r="L958" i="19"/>
  <c r="L1032" i="19"/>
  <c r="L1106" i="19"/>
  <c r="L1155" i="19"/>
  <c r="C90" i="19"/>
  <c r="C793" i="19"/>
  <c r="C275" i="19"/>
  <c r="C53" i="19"/>
  <c r="F1055" i="19"/>
  <c r="F1092" i="19"/>
  <c r="F1129" i="19"/>
  <c r="L19" i="19"/>
  <c r="L61" i="19"/>
  <c r="L550" i="19"/>
  <c r="L763" i="19"/>
  <c r="L940" i="19"/>
  <c r="L156" i="19"/>
  <c r="L230" i="19"/>
  <c r="L304" i="19"/>
  <c r="L378" i="19"/>
  <c r="L488" i="19"/>
  <c r="L662" i="19"/>
  <c r="L872" i="19"/>
  <c r="L1126" i="19"/>
  <c r="F793" i="19"/>
  <c r="F830" i="19"/>
  <c r="F867" i="19"/>
  <c r="F904" i="19"/>
  <c r="F941" i="19"/>
  <c r="F978" i="19"/>
  <c r="F1015" i="19"/>
  <c r="F1052" i="19"/>
  <c r="F1089" i="19"/>
  <c r="F1126" i="19"/>
  <c r="L16" i="19"/>
  <c r="L56" i="19"/>
  <c r="L120" i="19"/>
  <c r="L194" i="19"/>
  <c r="L268" i="19"/>
  <c r="L342" i="19"/>
  <c r="L416" i="19"/>
  <c r="L551" i="19"/>
  <c r="L764" i="19"/>
  <c r="L1003" i="19"/>
  <c r="L90" i="19"/>
  <c r="L164" i="19"/>
  <c r="L238" i="19"/>
  <c r="L312" i="19"/>
  <c r="L386" i="19"/>
  <c r="L489" i="19"/>
  <c r="L684" i="19"/>
  <c r="L921" i="19"/>
  <c r="F695" i="19"/>
  <c r="F732" i="19"/>
  <c r="F769" i="19"/>
  <c r="F806" i="19"/>
  <c r="F843" i="19"/>
  <c r="F880" i="19"/>
  <c r="F917" i="19"/>
  <c r="F954" i="19"/>
  <c r="F991" i="19"/>
  <c r="F1028" i="19"/>
  <c r="F1065" i="19"/>
  <c r="F1102" i="19"/>
  <c r="F1139" i="19"/>
  <c r="L29" i="19"/>
  <c r="L469" i="19"/>
  <c r="L625" i="19"/>
  <c r="L811" i="19"/>
  <c r="L1040" i="19"/>
  <c r="L598" i="19"/>
  <c r="L672" i="19"/>
  <c r="L746" i="19"/>
  <c r="L831" i="19"/>
  <c r="L922" i="19"/>
  <c r="L1021" i="19"/>
  <c r="L1127" i="19"/>
  <c r="L453" i="19"/>
  <c r="L490" i="19"/>
  <c r="L527" i="19"/>
  <c r="L580" i="19"/>
  <c r="L654" i="19"/>
  <c r="L728" i="19"/>
  <c r="L798" i="19"/>
  <c r="L881" i="19"/>
  <c r="L977" i="19"/>
  <c r="L1094" i="19"/>
  <c r="L585" i="19"/>
  <c r="L659" i="19"/>
  <c r="L733" i="19"/>
  <c r="L833" i="19"/>
  <c r="L909" i="19"/>
  <c r="L1043" i="19"/>
  <c r="L76" i="19"/>
  <c r="L113" i="19"/>
  <c r="L150" i="19"/>
  <c r="L187" i="19"/>
  <c r="L224" i="19"/>
  <c r="L261" i="19"/>
  <c r="L298" i="19"/>
  <c r="L335" i="19"/>
  <c r="L372" i="19"/>
  <c r="L409" i="19"/>
  <c r="L446" i="19"/>
  <c r="L483" i="19"/>
  <c r="L520" i="19"/>
  <c r="L572" i="19"/>
  <c r="L646" i="19"/>
  <c r="L720" i="19"/>
  <c r="L800" i="19"/>
  <c r="L875" i="19"/>
  <c r="L978" i="19"/>
  <c r="L1116" i="19"/>
  <c r="L600" i="19"/>
  <c r="L674" i="19"/>
  <c r="L748" i="19"/>
  <c r="L823" i="19"/>
  <c r="L911" i="19"/>
  <c r="L990" i="19"/>
  <c r="L1133" i="19"/>
  <c r="L986" i="19"/>
  <c r="L1060" i="19"/>
  <c r="L1134" i="19"/>
  <c r="L809" i="19"/>
  <c r="L883" i="19"/>
  <c r="L957" i="19"/>
  <c r="L1031" i="19"/>
  <c r="L1105" i="19"/>
  <c r="L971" i="19"/>
  <c r="L1045" i="19"/>
  <c r="L1119" i="19"/>
  <c r="L1156" i="19"/>
  <c r="C164" i="19"/>
  <c r="C1089" i="19"/>
  <c r="C571" i="19"/>
  <c r="F1059" i="19"/>
  <c r="F1096" i="19"/>
  <c r="F1133" i="19"/>
  <c r="L23" i="19"/>
  <c r="L67" i="19"/>
  <c r="L560" i="19"/>
  <c r="L776" i="19"/>
  <c r="L966" i="19"/>
  <c r="L169" i="19"/>
  <c r="L243" i="19"/>
  <c r="L317" i="19"/>
  <c r="L391" i="19"/>
  <c r="L502" i="19"/>
  <c r="L675" i="19"/>
  <c r="L893" i="19"/>
  <c r="F760" i="19"/>
  <c r="F797" i="19"/>
  <c r="F834" i="19"/>
  <c r="F871" i="19"/>
  <c r="F908" i="19"/>
  <c r="F945" i="19"/>
  <c r="F982" i="19"/>
  <c r="F1019" i="19"/>
  <c r="F1056" i="19"/>
  <c r="F1093" i="19"/>
  <c r="F1130" i="19"/>
  <c r="L20" i="19"/>
  <c r="L62" i="19"/>
  <c r="L133" i="19"/>
  <c r="L207" i="19"/>
  <c r="L281" i="19"/>
  <c r="L355" i="19"/>
  <c r="L431" i="19"/>
  <c r="L564" i="19"/>
  <c r="L783" i="19"/>
  <c r="L1037" i="19"/>
  <c r="L98" i="19"/>
  <c r="L172" i="19"/>
  <c r="L246" i="19"/>
  <c r="L320" i="19"/>
  <c r="L394" i="19"/>
  <c r="L517" i="19"/>
  <c r="L726" i="19"/>
  <c r="L947" i="19"/>
  <c r="F699" i="19"/>
  <c r="F736" i="19"/>
  <c r="F773" i="19"/>
  <c r="F810" i="19"/>
  <c r="F847" i="19"/>
  <c r="F884" i="19"/>
  <c r="F921" i="19"/>
  <c r="F958" i="19"/>
  <c r="F995" i="19"/>
  <c r="F1032" i="19"/>
  <c r="F1069" i="19"/>
  <c r="F1106" i="19"/>
  <c r="F1143" i="19"/>
  <c r="L33" i="19"/>
  <c r="L497" i="19"/>
  <c r="L638" i="19"/>
  <c r="L837" i="19"/>
  <c r="L1074" i="19"/>
  <c r="L612" i="19"/>
  <c r="L686" i="19"/>
  <c r="L760" i="19"/>
  <c r="L838" i="19"/>
  <c r="L929" i="19"/>
  <c r="L1041" i="19"/>
  <c r="L1139" i="19"/>
  <c r="L462" i="19"/>
  <c r="L499" i="19"/>
  <c r="L536" i="19"/>
  <c r="L589" i="19"/>
  <c r="L663" i="19"/>
  <c r="L737" i="19"/>
  <c r="L805" i="19"/>
  <c r="L888" i="19"/>
  <c r="L997" i="19"/>
  <c r="L1103" i="19"/>
  <c r="L590" i="19"/>
  <c r="L664" i="19"/>
  <c r="L738" i="19"/>
  <c r="L841" i="19"/>
  <c r="L916" i="19"/>
  <c r="L1059" i="19"/>
  <c r="L80" i="19"/>
  <c r="L117" i="19"/>
  <c r="L154" i="19"/>
  <c r="L191" i="19"/>
  <c r="L228" i="19"/>
  <c r="L265" i="19"/>
  <c r="L302" i="19"/>
  <c r="L339" i="19"/>
  <c r="L376" i="19"/>
  <c r="L413" i="19"/>
  <c r="L450" i="19"/>
  <c r="L487" i="19"/>
  <c r="L524" i="19"/>
  <c r="L581" i="19"/>
  <c r="L655" i="19"/>
  <c r="L729" i="19"/>
  <c r="L807" i="19"/>
  <c r="L903" i="19"/>
  <c r="L998" i="19"/>
  <c r="L1132" i="19"/>
  <c r="L614" i="19"/>
  <c r="L688" i="19"/>
  <c r="L762" i="19"/>
  <c r="L835" i="19"/>
  <c r="L918" i="19"/>
  <c r="L1000" i="19"/>
  <c r="L1147" i="19"/>
  <c r="L993" i="19"/>
  <c r="L1067" i="19"/>
  <c r="L1141" i="19"/>
  <c r="L816" i="19"/>
  <c r="L890" i="19"/>
  <c r="L964" i="19"/>
  <c r="L1038" i="19"/>
  <c r="L1112" i="19"/>
  <c r="L982" i="19"/>
  <c r="L1056" i="19"/>
  <c r="L1130" i="19"/>
  <c r="C386" i="19"/>
  <c r="C460" i="19"/>
  <c r="C682" i="19"/>
  <c r="C867" i="19"/>
  <c r="B53" i="19"/>
  <c r="B90" i="19"/>
  <c r="B127" i="19"/>
  <c r="B423" i="19"/>
  <c r="B719" i="19"/>
  <c r="B1015" i="19"/>
  <c r="B460" i="19"/>
  <c r="B756" i="19"/>
  <c r="B1052" i="19"/>
  <c r="B497" i="19"/>
  <c r="B793" i="19"/>
  <c r="B1089" i="19"/>
  <c r="B571" i="19"/>
  <c r="B867" i="19"/>
  <c r="B16" i="19"/>
  <c r="B312" i="19"/>
  <c r="B978" i="19"/>
  <c r="B349" i="19"/>
  <c r="B941" i="19"/>
  <c r="B682" i="19"/>
  <c r="B164" i="19"/>
  <c r="B201" i="19"/>
  <c r="B238" i="19"/>
  <c r="B534" i="19"/>
  <c r="B830" i="19"/>
  <c r="B1126" i="19"/>
  <c r="B608" i="19"/>
  <c r="B645" i="19"/>
  <c r="B386" i="19"/>
  <c r="B904" i="19"/>
  <c r="B275" i="19"/>
  <c r="B9" i="18"/>
  <c r="B9" i="17"/>
  <c r="B9" i="16"/>
  <c r="B9" i="14"/>
  <c r="G1092" i="19" a="1"/>
  <c r="B529" i="19" a="1"/>
  <c r="C465" i="19" a="1"/>
  <c r="C794" i="19" a="1"/>
  <c r="C250" i="19" a="1"/>
  <c r="O914" i="19" a="1"/>
  <c r="C946" i="19" a="1"/>
  <c r="O922" i="19" a="1"/>
  <c r="H908" i="19" a="1"/>
  <c r="A346" i="19" a="1"/>
  <c r="M1000" i="19" a="1"/>
  <c r="H544" i="19" a="1"/>
  <c r="H766" i="19" a="1"/>
  <c r="I1057" i="19" a="1"/>
  <c r="M941" i="19" a="1"/>
  <c r="C278" i="19" a="1"/>
  <c r="N723" i="19" a="1"/>
  <c r="C163" i="19" a="1"/>
  <c r="H1067" i="19" a="1"/>
  <c r="H1089" i="19" a="1"/>
  <c r="M1027" i="19" a="1"/>
  <c r="O1129" i="19" a="1"/>
  <c r="C464" i="19" a="1"/>
  <c r="C1056" i="19" a="1"/>
  <c r="I943" i="19" a="1"/>
  <c r="C915" i="19" a="1"/>
  <c r="G719" i="19" a="1"/>
  <c r="O1090" i="19" a="1"/>
  <c r="C987" i="19" a="1"/>
  <c r="H233" i="19" a="1"/>
  <c r="I967" i="19" a="1"/>
  <c r="N497" i="19" a="1"/>
  <c r="F901" i="19" a="1"/>
  <c r="G755" i="19" a="1"/>
  <c r="C134" i="19" a="1"/>
  <c r="C1100" i="19" a="1"/>
  <c r="I1139" i="19" a="1"/>
  <c r="C868" i="19" a="1"/>
  <c r="M614" i="19" a="1"/>
  <c r="C724" i="19" a="1"/>
  <c r="C833" i="19" a="1"/>
  <c r="C58" i="19" a="1"/>
  <c r="I1096" i="19" a="1"/>
  <c r="C321" i="19" a="1"/>
  <c r="L1086" i="19" a="1"/>
  <c r="O879" i="19" a="1"/>
  <c r="G1059" i="19" a="1"/>
  <c r="N22" i="19" a="1"/>
  <c r="H1053" i="19" a="1"/>
  <c r="M780" i="19" a="1"/>
  <c r="I1088" i="19" a="1"/>
  <c r="C545" i="19" a="1"/>
  <c r="N411" i="19" a="1"/>
  <c r="G928" i="19" a="1"/>
  <c r="C284" i="19" a="1"/>
  <c r="C52" i="19" a="1"/>
  <c r="M1105" i="19" a="1"/>
  <c r="G496" i="19" a="1"/>
  <c r="C688" i="19" a="1"/>
  <c r="H668" i="19" a="1"/>
  <c r="M1152" i="19" a="1"/>
  <c r="C54" i="19" a="1"/>
  <c r="I924" i="19" a="1"/>
  <c r="H91" i="19" a="1"/>
  <c r="H816" i="19" a="1"/>
  <c r="C1019" i="19" a="1"/>
  <c r="I980" i="19" a="1"/>
  <c r="O971" i="19" a="1"/>
  <c r="H1150" i="19" a="1"/>
  <c r="G1125" i="19" a="1"/>
  <c r="H387" i="19" a="1"/>
  <c r="O697" i="19" a="1"/>
  <c r="M558" i="19" a="1"/>
  <c r="G504" i="19" a="1"/>
  <c r="N1035" i="19" a="1"/>
  <c r="O669" i="19" a="1"/>
  <c r="C165" i="19" a="1"/>
  <c r="C653" i="19" a="1"/>
  <c r="C428" i="19" a="1"/>
  <c r="O1135" i="19" a="1"/>
  <c r="O747" i="19" a="1"/>
  <c r="O667" i="19" a="1"/>
  <c r="O821" i="19" a="1"/>
  <c r="C729" i="19" a="1"/>
  <c r="M1077" i="19" a="1"/>
  <c r="M117" i="19" a="1"/>
  <c r="O782" i="19" a="1"/>
  <c r="C805" i="19" a="1"/>
  <c r="H795" i="19" a="1"/>
  <c r="H719" i="19" a="1"/>
  <c r="G1079" i="19" a="1"/>
  <c r="C538" i="19" a="1"/>
  <c r="N1128" i="19" a="1"/>
  <c r="B237" i="19" a="1"/>
  <c r="M165" i="19" a="1"/>
  <c r="B311" i="19" a="1"/>
  <c r="C170" i="19" a="1"/>
  <c r="B677" i="19" a="1"/>
  <c r="C311" i="19" a="1"/>
  <c r="O1068" i="19" a="1"/>
  <c r="I183" i="19" a="1"/>
  <c r="H771" i="19" a="1"/>
  <c r="M1053" i="19" a="1"/>
  <c r="C842" i="19" a="1"/>
  <c r="M1022" i="19" a="1"/>
  <c r="H1139" i="19" a="1"/>
  <c r="C389" i="19" a="1"/>
  <c r="B1122" i="19" a="1"/>
  <c r="I1086" i="19" a="1"/>
  <c r="N170" i="19" a="1"/>
  <c r="G823" i="19" a="1"/>
  <c r="I1090" i="19" a="1"/>
  <c r="C537" i="19" a="1"/>
  <c r="C61" i="19" a="1"/>
  <c r="M1114" i="19" a="1"/>
  <c r="O539" i="19" a="1"/>
  <c r="O1091" i="19" a="1"/>
  <c r="G841" i="19" a="1"/>
  <c r="M657" i="19" a="1"/>
  <c r="I1138" i="19" a="1"/>
  <c r="C649" i="19" a="1"/>
  <c r="B1125" i="19" a="1"/>
  <c r="C762" i="19" a="1"/>
  <c r="N989" i="19" a="1"/>
  <c r="I86" i="19" a="1"/>
  <c r="M509" i="19" a="1"/>
  <c r="G871" i="19" a="1"/>
  <c r="C387" i="19" a="1"/>
  <c r="C424" i="19" a="1"/>
  <c r="M738" i="19" a="1"/>
  <c r="I560" i="19" a="1"/>
  <c r="H604" i="19" a="1"/>
  <c r="N1134" i="19" a="1"/>
  <c r="G1039" i="19" a="1"/>
  <c r="N879" i="19" a="1"/>
  <c r="H1146" i="19" a="1"/>
  <c r="O498" i="19" a="1"/>
  <c r="H747" i="19" a="1"/>
  <c r="N1099" i="19" a="1"/>
  <c r="I834" i="19" a="1"/>
  <c r="O1019" i="19" a="1"/>
  <c r="G806" i="19" a="1"/>
  <c r="C644" i="19" a="1"/>
  <c r="N978" i="19" a="1"/>
  <c r="M691" i="19" a="1"/>
  <c r="G288" i="19" a="1"/>
  <c r="M904" i="19" a="1"/>
  <c r="H749" i="19" a="1"/>
  <c r="N472" i="19" a="1"/>
  <c r="O126" i="19" a="1"/>
  <c r="I1147" i="19" a="1"/>
  <c r="G721" i="19" a="1"/>
  <c r="O476" i="19" a="1"/>
  <c r="N847" i="19" a="1"/>
  <c r="M908" i="19" a="1"/>
  <c r="C949" i="19" a="1"/>
  <c r="C352" i="19" a="1"/>
  <c r="O1053" i="19" a="1"/>
  <c r="C427" i="19" a="1"/>
  <c r="N415" i="19" a="1"/>
  <c r="O537" i="19" a="1"/>
  <c r="C1138" i="19" a="1"/>
  <c r="A861" i="19" a="1"/>
  <c r="C726" i="19" a="1"/>
  <c r="O398" i="19" a="1"/>
  <c r="B1011" i="19" a="1"/>
  <c r="I984" i="19" a="1"/>
  <c r="M1051" i="19" a="1"/>
  <c r="N1056" i="19" a="1"/>
  <c r="H623" i="19" a="1"/>
  <c r="C1018" i="19" a="1"/>
  <c r="G911" i="19" a="1"/>
  <c r="I743" i="19" a="1"/>
  <c r="C905" i="19" a="1"/>
  <c r="H1016" i="19" a="1"/>
  <c r="M192" i="19" a="1"/>
  <c r="B1047" i="19" a="1"/>
  <c r="N1117" i="19" a="1"/>
  <c r="I915" i="19" a="1"/>
  <c r="C1093" i="19" a="1"/>
  <c r="N832" i="19" a="1"/>
  <c r="G299" i="19" a="1"/>
  <c r="N663" i="19" a="1"/>
  <c r="H1072" i="19" a="1"/>
  <c r="O870" i="19" a="1"/>
  <c r="N328" i="19" a="1"/>
  <c r="I1079" i="19" a="1"/>
  <c r="I1152" i="19" a="1"/>
  <c r="O1043" i="19" a="1"/>
  <c r="O794" i="19" a="1"/>
  <c r="M954" i="19" a="1"/>
  <c r="C913" i="19" a="1"/>
  <c r="G1127" i="19" a="1"/>
  <c r="H509" i="19" a="1"/>
  <c r="H1094" i="19" a="1"/>
  <c r="H1073" i="19" a="1"/>
  <c r="C879" i="19" a="1"/>
  <c r="B937" i="19" a="1"/>
  <c r="O560" i="19" a="1"/>
  <c r="C500" i="19" a="1"/>
  <c r="C799" i="19" a="1"/>
  <c r="C243" i="19" a="1"/>
  <c r="O1093" i="19" a="1"/>
  <c r="G1076" i="19" a="1"/>
  <c r="H429" i="19" a="1"/>
  <c r="I997" i="19" a="1"/>
  <c r="I89" i="19" a="1"/>
  <c r="C213" i="19" a="1"/>
  <c r="B568" i="19" a="1"/>
  <c r="N890" i="19" a="1"/>
  <c r="G700" i="19" a="1"/>
  <c r="I1095" i="19" a="1"/>
  <c r="C1058" i="19" a="1"/>
  <c r="I914" i="19" a="1"/>
  <c r="C1061" i="19" a="1"/>
  <c r="G710" i="19" a="1"/>
  <c r="N27" i="19" a="1"/>
  <c r="I350" i="19" a="1"/>
  <c r="H796" i="19" a="1"/>
  <c r="C990" i="19" a="1"/>
  <c r="C877" i="19" a="1"/>
  <c r="M1129" i="19" a="1"/>
  <c r="O1155" i="19" a="1"/>
  <c r="H592" i="19" a="1"/>
  <c r="M697" i="19" a="1"/>
  <c r="O1119" i="19" a="1"/>
  <c r="I1125" i="19" a="1"/>
  <c r="G970" i="19" a="1"/>
  <c r="M682" i="19" a="1"/>
  <c r="G1089" i="19" a="1"/>
  <c r="H1156" i="19" a="1"/>
  <c r="O1015" i="19" a="1"/>
  <c r="M91" i="19" a="1"/>
  <c r="H971" i="19" a="1"/>
  <c r="C279" i="19" a="1"/>
  <c r="B1123" i="19" a="1"/>
  <c r="N707" i="19" a="1"/>
  <c r="G1144" i="19" a="1"/>
  <c r="H742" i="19" a="1"/>
  <c r="C583" i="19" a="1"/>
  <c r="M877" i="19" a="1"/>
  <c r="N743" i="19" a="1"/>
  <c r="C542" i="19" a="1"/>
  <c r="O1038" i="19" a="1"/>
  <c r="N1059" i="19" a="1"/>
  <c r="M1091" i="19" a="1"/>
  <c r="H960" i="19" a="1"/>
  <c r="G946" i="19" a="1"/>
  <c r="H1096" i="19" a="1"/>
  <c r="C544" i="19" a="1"/>
  <c r="C1014" i="19" a="1"/>
  <c r="N1108" i="19" a="1"/>
  <c r="H682" i="19" a="1"/>
  <c r="B792" i="19" a="1"/>
  <c r="G906" i="19" a="1"/>
  <c r="C572" i="19" a="1"/>
  <c r="G837" i="19" a="1"/>
  <c r="O775" i="19" a="1"/>
  <c r="C800" i="19" a="1"/>
  <c r="G772" i="19" a="1"/>
  <c r="C693" i="19" a="1"/>
  <c r="K1123" i="19" a="1"/>
  <c r="H497" i="19" a="1"/>
  <c r="H55" i="19" a="1"/>
  <c r="N625" i="19" a="1"/>
  <c r="G766" i="19" a="1"/>
  <c r="H879" i="19" a="1"/>
  <c r="G408" i="19" a="1"/>
  <c r="N944" i="19" a="1"/>
  <c r="C766" i="19" a="1"/>
  <c r="C391" i="19" a="1"/>
  <c r="G1080" i="19" a="1"/>
  <c r="C498" i="19" a="1"/>
  <c r="G342" i="19" a="1"/>
  <c r="I610" i="19" a="1"/>
  <c r="O1125" i="19" a="1"/>
  <c r="M550" i="19" a="1"/>
  <c r="C1057" i="19" a="1"/>
  <c r="N225" i="19" a="1"/>
  <c r="O774" i="19" a="1"/>
  <c r="G891" i="19" a="1"/>
  <c r="C461" i="19" a="1"/>
  <c r="M663" i="19" a="1"/>
  <c r="C422" i="19" a="1"/>
  <c r="M1140" i="19" a="1"/>
  <c r="N1150" i="19" a="1"/>
  <c r="N1041" i="19" a="1"/>
  <c r="C841" i="19" a="1"/>
  <c r="I430" i="19" a="1"/>
  <c r="M776" i="19" a="1"/>
  <c r="C101" i="19" a="1"/>
  <c r="N712" i="19" a="1"/>
  <c r="C831" i="19" a="1"/>
  <c r="O1082" i="19" a="1"/>
  <c r="N729" i="19" a="1"/>
  <c r="C646" i="19" a="1"/>
  <c r="O885" i="19" a="1"/>
  <c r="H685" i="19" a="1"/>
  <c r="O1081" i="19" a="1"/>
  <c r="O645" i="19" a="1"/>
  <c r="O366" i="19" a="1"/>
  <c r="G89" i="19" a="1"/>
  <c r="I1149" i="19" a="1"/>
  <c r="G526" i="19" a="1"/>
  <c r="C133" i="19" a="1"/>
  <c r="N1114" i="19" a="1"/>
  <c r="C1096" i="19" a="1"/>
  <c r="C174" i="19" a="1"/>
  <c r="C241" i="19" a="1"/>
  <c r="O964" i="19" a="1"/>
  <c r="C759" i="19" a="1"/>
  <c r="I80" i="19" a="1"/>
  <c r="N855" i="19" a="1"/>
  <c r="C694" i="19" a="1"/>
  <c r="C19" i="19" a="1"/>
  <c r="M969" i="19" a="1"/>
  <c r="O818" i="19" a="1"/>
  <c r="C463" i="19" a="1"/>
  <c r="M1029" i="19" a="1"/>
  <c r="C348" i="19" a="1"/>
  <c r="M732" i="19" a="1"/>
  <c r="C953" i="19" a="1"/>
  <c r="G1102" i="19" a="1"/>
  <c r="C431" i="19" a="1"/>
  <c r="G587" i="19" a="1"/>
  <c r="L827" i="19" a="1"/>
  <c r="N1111" i="19" a="1"/>
  <c r="C866" i="19" a="1"/>
  <c r="I517" i="19" a="1"/>
  <c r="N1127" i="19" a="1"/>
  <c r="A1083" i="19" a="1"/>
  <c r="M564" i="19" a="1"/>
  <c r="N1148" i="19" a="1"/>
  <c r="M1076" i="19" a="1"/>
  <c r="C535" i="19" a="1"/>
  <c r="N722" i="19" a="1"/>
  <c r="N979" i="19" a="1"/>
  <c r="M1128" i="19" a="1"/>
  <c r="I964" i="19" a="1"/>
  <c r="B200" i="19" a="1"/>
  <c r="G518" i="19" a="1"/>
  <c r="K975" i="19" a="1"/>
  <c r="G864" i="19" a="1"/>
  <c r="M689" i="19" a="1"/>
  <c r="I1129" i="19" a="1"/>
  <c r="B11" i="19" a="1"/>
  <c r="C472" i="19" a="1"/>
  <c r="B718" i="19" a="1"/>
  <c r="G706" i="19" a="1"/>
  <c r="M739" i="19" a="1"/>
  <c r="H983" i="19" a="1"/>
  <c r="M425" i="19" a="1"/>
  <c r="G851" i="19" a="1"/>
  <c r="C834" i="19" a="1"/>
  <c r="M1097" i="19" a="1"/>
  <c r="C616" i="19" a="1"/>
  <c r="H938" i="19" a="1"/>
  <c r="H1054" i="19" a="1"/>
  <c r="G839" i="19" a="1"/>
  <c r="M720" i="19" a="1"/>
  <c r="C470" i="19" a="1"/>
  <c r="G959" i="19" a="1"/>
  <c r="N1070" i="19" a="1"/>
  <c r="N772" i="19" a="1"/>
  <c r="I911" i="19" a="1"/>
  <c r="I1150" i="19" a="1"/>
  <c r="N1023" i="19" a="1"/>
  <c r="G1070" i="19" a="1"/>
  <c r="H599" i="19" a="1"/>
  <c r="O291" i="19" a="1"/>
  <c r="G683" i="19" a="1"/>
  <c r="N1036" i="19" a="1"/>
  <c r="H1093" i="19" a="1"/>
  <c r="O955" i="19" a="1"/>
  <c r="B825" i="19" a="1"/>
  <c r="H1021" i="19" a="1"/>
  <c r="O1143" i="19" a="1"/>
  <c r="C390" i="19" a="1"/>
  <c r="C501" i="19" a="1"/>
  <c r="M770" i="19" a="1"/>
  <c r="G1142" i="19" a="1"/>
  <c r="H1143" i="19" a="1"/>
  <c r="M1004" i="19" a="1"/>
  <c r="C360" i="19" a="1"/>
  <c r="M879" i="19" a="1"/>
  <c r="A864" i="19" a="1"/>
  <c r="N117" i="19" a="1"/>
  <c r="G1139" i="19" a="1"/>
  <c r="M834" i="19" a="1"/>
  <c r="N611" i="19" a="1"/>
  <c r="I873" i="19" a="1"/>
  <c r="I263" i="19" a="1"/>
  <c r="I605" i="19" a="1"/>
  <c r="C828" i="19" a="1"/>
  <c r="N803" i="19" a="1"/>
  <c r="C205" i="19" a="1"/>
  <c r="O960" i="19" a="1"/>
  <c r="O701" i="19" a="1"/>
  <c r="M598" i="19" a="1"/>
  <c r="G1045" i="19" a="1"/>
  <c r="I524" i="19" a="1"/>
  <c r="M1154" i="19" a="1"/>
  <c r="O135" i="19" a="1"/>
  <c r="H246" i="19" a="1"/>
  <c r="O928" i="19" a="1"/>
  <c r="I931" i="19" a="1"/>
  <c r="O743" i="19" a="1"/>
  <c r="N500" i="19" a="1"/>
  <c r="M1066" i="19" a="1"/>
  <c r="N1031" i="19" a="1"/>
  <c r="C210" i="19" a="1"/>
  <c r="B788" i="19" a="1"/>
  <c r="G986" i="19" a="1"/>
  <c r="I848" i="19" a="1"/>
  <c r="H1038" i="19" a="1"/>
  <c r="N503" i="19" a="1"/>
  <c r="B681" i="19" a="1"/>
  <c r="I919" i="19" a="1"/>
  <c r="C907" i="19" a="1"/>
  <c r="O1070" i="19" a="1"/>
  <c r="H904" i="19" a="1"/>
  <c r="N912" i="19" a="1"/>
  <c r="H450" i="19" a="1"/>
  <c r="B1012" i="19" a="1"/>
  <c r="O1147" i="19" a="1"/>
  <c r="N667" i="19" a="1"/>
  <c r="N427" i="19" a="1"/>
  <c r="M812" i="19" a="1"/>
  <c r="N1017" i="19" a="1"/>
  <c r="I502" i="19" a="1"/>
  <c r="C613" i="19" a="1"/>
  <c r="C358" i="19" a="1"/>
  <c r="G1031" i="19" a="1"/>
  <c r="G955" i="19" a="1"/>
  <c r="G962" i="19" a="1"/>
  <c r="C723" i="19" a="1"/>
  <c r="G1135" i="19" a="1"/>
  <c r="M778" i="19" a="1"/>
  <c r="C870" i="19" a="1"/>
  <c r="O555" i="19" a="1"/>
  <c r="G724" i="19" a="1"/>
  <c r="H1076" i="19" a="1"/>
  <c r="M597" i="19" a="1"/>
  <c r="C618" i="19" a="1"/>
  <c r="I891" i="19" a="1"/>
  <c r="I592" i="19" a="1"/>
  <c r="B1088" i="19" a="1"/>
  <c r="I1074" i="19" a="1"/>
  <c r="G1145" i="19" a="1"/>
  <c r="C136" i="19" a="1"/>
  <c r="N781" i="19" a="1"/>
  <c r="G423" i="19" a="1"/>
  <c r="C982" i="19" a="1"/>
  <c r="G1036" i="19" a="1"/>
  <c r="C398" i="19" a="1"/>
  <c r="O321" i="19" a="1"/>
  <c r="G784" i="19" a="1"/>
  <c r="O999" i="19" a="1"/>
  <c r="N802" i="19" a="1"/>
  <c r="B163" i="19" a="1"/>
  <c r="C169" i="19" a="1"/>
  <c r="C242" i="19" a="1"/>
  <c r="N1071" i="19" a="1"/>
  <c r="G858" i="19" a="1"/>
  <c r="G697" i="19" a="1"/>
  <c r="M795" i="19" a="1"/>
  <c r="H980" i="19" a="1"/>
  <c r="G1098" i="19" a="1"/>
  <c r="M958" i="19" a="1"/>
  <c r="I1055" i="19" a="1"/>
  <c r="H985" i="19" a="1"/>
  <c r="C945" i="19" a="1"/>
  <c r="G1110" i="19" a="1"/>
  <c r="C508" i="19" a="1"/>
  <c r="I90" i="19" a="1"/>
  <c r="I950" i="19" a="1"/>
  <c r="O1080" i="19" a="1"/>
  <c r="M584" i="19" a="1"/>
  <c r="N1016" i="19" a="1"/>
  <c r="G631" i="19" a="1"/>
  <c r="N1082" i="19" a="1"/>
  <c r="G1112" i="19" a="1"/>
  <c r="H1041" i="19" a="1"/>
  <c r="N669" i="19" a="1"/>
  <c r="N998" i="19" a="1"/>
  <c r="N1058" i="19" a="1"/>
  <c r="G737" i="19" a="1"/>
  <c r="O886" i="19" a="1"/>
  <c r="G709" i="19" a="1"/>
  <c r="O877" i="19" a="1"/>
  <c r="C1025" i="19" a="1"/>
  <c r="G554" i="19" a="1"/>
  <c r="I739" i="19" a="1"/>
  <c r="B789" i="19" a="1"/>
  <c r="H978" i="19" a="1"/>
  <c r="G947" i="19" a="1"/>
  <c r="F457" i="19" a="1"/>
  <c r="O1056" i="19" a="1"/>
  <c r="M794" i="19" a="1"/>
  <c r="C471" i="19" a="1"/>
  <c r="I800" i="19" a="1"/>
  <c r="G22" i="19" a="1"/>
  <c r="I1156" i="19" a="1"/>
  <c r="M772" i="19" a="1"/>
  <c r="O1034" i="19" a="1"/>
  <c r="C878" i="19" a="1"/>
  <c r="G887" i="19" a="1"/>
  <c r="H900" i="19" a="1"/>
  <c r="C981" i="19" a="1"/>
  <c r="G1149" i="19" a="1"/>
  <c r="N737" i="19" a="1"/>
  <c r="G797" i="19" a="1"/>
  <c r="C951" i="19" a="1"/>
  <c r="C1026" i="19" a="1"/>
  <c r="H657" i="19" a="1"/>
  <c r="I1141" i="19" a="1"/>
  <c r="A605" i="19" a="1"/>
  <c r="O633" i="19" a="1"/>
  <c r="G332" i="19" a="1"/>
  <c r="M1071" i="19" a="1"/>
  <c r="I1018" i="19" a="1"/>
  <c r="I697" i="19" a="1"/>
  <c r="C947" i="19" a="1"/>
  <c r="B126" i="19" a="1"/>
  <c r="H663" i="19" a="1"/>
  <c r="H811" i="19" a="1"/>
  <c r="N940" i="19" a="1"/>
  <c r="M985" i="19" a="1"/>
  <c r="G926" i="19" a="1"/>
  <c r="I1014" i="19" a="1"/>
  <c r="C546" i="19" a="1"/>
  <c r="I1044" i="19" a="1"/>
  <c r="H506" i="19" a="1"/>
  <c r="M991" i="19" a="1"/>
  <c r="N1088" i="19" a="1"/>
  <c r="M1136" i="19" a="1"/>
  <c r="H800" i="19" a="1"/>
  <c r="I1137" i="19" a="1"/>
  <c r="C274" i="19" a="1"/>
  <c r="O1151" i="19" a="1"/>
  <c r="M1043" i="19" a="1"/>
  <c r="M832" i="19" a="1"/>
  <c r="N1136" i="19" a="1"/>
  <c r="C91" i="19" a="1"/>
  <c r="C687" i="19" a="1"/>
  <c r="N1151" i="19" a="1"/>
  <c r="I684" i="19" a="1"/>
  <c r="O508" i="19" a="1"/>
  <c r="C286" i="19" a="1"/>
  <c r="I611" i="19" a="1"/>
  <c r="C56" i="19" a="1"/>
  <c r="O1094" i="19" a="1"/>
  <c r="G654" i="19" a="1"/>
  <c r="N325" i="19" a="1"/>
  <c r="N505" i="19" a="1"/>
  <c r="H820" i="19" a="1"/>
  <c r="C872" i="19" a="1"/>
  <c r="B607" i="19" a="1"/>
  <c r="M239" i="19" a="1"/>
  <c r="B533" i="19" a="1"/>
  <c r="C1132" i="19" a="1"/>
  <c r="M857" i="19" a="1"/>
  <c r="M779" i="19" a="1"/>
  <c r="I716" i="19" a="1"/>
  <c r="M645" i="19" a="1"/>
  <c r="O781" i="19" a="1"/>
  <c r="I965" i="19" a="1"/>
  <c r="H1102" i="19" a="1"/>
  <c r="I974" i="19" a="1"/>
  <c r="O837" i="19" a="1"/>
  <c r="G391" i="19" a="1"/>
  <c r="C727" i="19" a="1"/>
  <c r="G785" i="19" a="1"/>
  <c r="N974" i="19" a="1"/>
  <c r="H1152" i="19" a="1"/>
  <c r="O1007" i="19" a="1"/>
  <c r="N835" i="19" a="1"/>
  <c r="N698" i="19" a="1"/>
  <c r="G929" i="19" a="1"/>
  <c r="H1121" i="19" a="1"/>
  <c r="H64" i="19" a="1"/>
  <c r="H808" i="19" a="1"/>
  <c r="C1024" i="19" a="1"/>
  <c r="C93" i="19" a="1"/>
  <c r="M907" i="19" a="1"/>
  <c r="C582" i="19" a="1"/>
  <c r="C685" i="19" a="1"/>
  <c r="N1065" i="19" a="1"/>
  <c r="N962" i="19" a="1"/>
  <c r="N1090" i="19" a="1"/>
  <c r="C435" i="19" a="1"/>
  <c r="G767" i="19" a="1"/>
  <c r="I1078" i="19" a="1"/>
  <c r="G997" i="19" a="1"/>
  <c r="M793" i="19" a="1"/>
  <c r="M1092" i="19" a="1"/>
  <c r="C503" i="19" a="1"/>
  <c r="G907" i="19" a="1"/>
  <c r="G1022" i="19" a="1"/>
  <c r="O970" i="19" a="1"/>
  <c r="C617" i="19" a="1"/>
  <c r="H770" i="19" a="1"/>
  <c r="C202" i="19" a="1"/>
  <c r="I921" i="19" a="1"/>
  <c r="O968" i="19" a="1"/>
  <c r="O890" i="19" a="1"/>
  <c r="C1027" i="19" a="1"/>
  <c r="H631" i="19" a="1"/>
  <c r="M90" i="19" a="1"/>
  <c r="C691" i="19" a="1"/>
  <c r="M1145" i="19" a="1"/>
  <c r="H1049" i="19" a="1"/>
  <c r="N1033" i="19" a="1"/>
  <c r="N857" i="19" a="1"/>
  <c r="H1147" i="19" a="1"/>
  <c r="H1017" i="19" a="1"/>
  <c r="N1103" i="19" a="1"/>
  <c r="C689" i="19" a="1"/>
  <c r="C207" i="19" a="1"/>
  <c r="A824" i="19" a="1"/>
  <c r="I1031" i="19" a="1"/>
  <c r="M1101" i="19" a="1"/>
  <c r="G1075" i="19" a="1"/>
  <c r="N955" i="19" a="1"/>
  <c r="N52" i="19" a="1"/>
  <c r="C720" i="19" a="1"/>
  <c r="C316" i="19" a="1"/>
  <c r="N868" i="19" a="1"/>
  <c r="O1116" i="19" a="1"/>
  <c r="N929" i="19" a="1"/>
  <c r="H950" i="19" a="1"/>
  <c r="B52" i="19" a="1"/>
  <c r="G440" i="19" a="1"/>
  <c r="C620" i="19" a="1"/>
  <c r="M1100" i="19" a="1"/>
  <c r="O1031" i="19" a="1"/>
  <c r="H1015" i="19" a="1"/>
  <c r="O934" i="19" a="1"/>
  <c r="C204" i="19" a="1"/>
  <c r="B492" i="19" a="1"/>
  <c r="N963" i="19" a="1"/>
  <c r="H1078" i="19" a="1"/>
  <c r="C1051" i="19" a="1"/>
  <c r="I1012" i="19" a="1"/>
  <c r="G1101" i="19" a="1"/>
  <c r="C952" i="19" a="1"/>
  <c r="I1001" i="19" a="1"/>
  <c r="N1138" i="19" a="1"/>
  <c r="C361" i="19" a="1"/>
  <c r="C984" i="19" a="1"/>
  <c r="C1098" i="19" a="1"/>
  <c r="C840" i="19" a="1"/>
  <c r="O693" i="19" a="1"/>
  <c r="G1000" i="19" a="1"/>
  <c r="C836" i="19" a="1"/>
  <c r="N706" i="19" a="1"/>
  <c r="C837" i="19" a="1"/>
  <c r="C609" i="19" a="1"/>
  <c r="M1060" i="19" a="1"/>
  <c r="I1093" i="19" a="1"/>
  <c r="C1087" i="19" a="1"/>
  <c r="O168" i="19" a="1"/>
  <c r="I1069" i="19" a="1"/>
  <c r="M918" i="19" a="1"/>
  <c r="C767" i="19" a="1"/>
  <c r="M521" i="19" a="1"/>
  <c r="C839" i="19" a="1"/>
  <c r="B89" i="19" a="1"/>
  <c r="H1091" i="19" a="1"/>
  <c r="C801" i="19" a="1"/>
  <c r="O980" i="19" a="1"/>
  <c r="O966" i="19" a="1"/>
  <c r="O1074" i="19" a="1"/>
  <c r="O1062" i="19" a="1"/>
  <c r="C246" i="19" a="1"/>
  <c r="H979" i="19" a="1"/>
  <c r="C615" i="19" a="1"/>
  <c r="C731" i="19" a="1"/>
  <c r="K1049" i="19" a="1"/>
  <c r="H1122" i="19" a="1"/>
  <c r="C989" i="19" a="1"/>
  <c r="G1115" i="19" a="1"/>
  <c r="M1088" i="19" a="1"/>
  <c r="C65" i="19" a="1"/>
  <c r="I715" i="19" a="1"/>
  <c r="I1103" i="19" a="1"/>
  <c r="C1130" i="19" a="1"/>
  <c r="B85" i="19" a="1"/>
  <c r="O981" i="19" a="1"/>
  <c r="H1025" i="19" a="1"/>
  <c r="I239" i="19" a="1"/>
  <c r="O1149" i="19" a="1"/>
  <c r="O1152" i="19" a="1"/>
  <c r="N923" i="19" a="1"/>
  <c r="N711" i="19" a="1"/>
  <c r="M89" i="19" a="1"/>
  <c r="N896" i="19" a="1"/>
  <c r="O1023" i="19" a="1"/>
  <c r="I1135" i="19" a="1"/>
  <c r="K1012" i="19" a="1"/>
  <c r="M922" i="19" a="1"/>
  <c r="G427" i="19" a="1"/>
  <c r="M892" i="19" a="1"/>
  <c r="O843" i="19" a="1"/>
  <c r="L1123" i="19" a="1"/>
  <c r="G747" i="19" a="1"/>
  <c r="G1001" i="19" a="1"/>
  <c r="H1128" i="19" a="1"/>
  <c r="O941" i="19" a="1"/>
  <c r="I382" i="19" a="1"/>
  <c r="C612" i="19" a="1"/>
  <c r="N448" i="19" a="1"/>
  <c r="F938" i="19" a="1"/>
  <c r="I655" i="19" a="1"/>
  <c r="H90" i="19" a="1"/>
  <c r="H388" i="19" a="1"/>
  <c r="I1102" i="19" a="1"/>
  <c r="I1070" i="19" a="1"/>
  <c r="I722" i="19" a="1"/>
  <c r="H893" i="19" a="1"/>
  <c r="C467" i="19" a="1"/>
  <c r="I128" i="19" a="1"/>
  <c r="H899" i="19" a="1"/>
  <c r="I400" i="19" a="1"/>
  <c r="O1097" i="19" a="1"/>
  <c r="N985" i="19" a="1"/>
  <c r="G19" i="19" a="1"/>
  <c r="G916" i="19" a="1"/>
  <c r="C1062" i="19" a="1"/>
  <c r="N1109" i="19" a="1"/>
  <c r="M471" i="19" a="1"/>
  <c r="G666" i="19" a="1"/>
  <c r="M990" i="19" a="1"/>
  <c r="G1017" i="19" a="1"/>
  <c r="G1095" i="19" a="1"/>
  <c r="H765" i="19" a="1"/>
  <c r="G913" i="19" a="1"/>
  <c r="M1115" i="19" a="1"/>
  <c r="M968" i="19" a="1"/>
  <c r="H459" i="19" a="1"/>
  <c r="G980" i="19" a="1"/>
  <c r="O1054" i="19" a="1"/>
  <c r="I1110" i="19" a="1"/>
  <c r="G1032" i="19" a="1"/>
  <c r="G979" i="19" a="1"/>
  <c r="M397" i="19" a="1"/>
  <c r="C985" i="19" a="1"/>
  <c r="N775" i="19" a="1"/>
  <c r="M971" i="19" a="1"/>
  <c r="N152" i="19" a="1"/>
  <c r="N666" i="19" a="1"/>
  <c r="I1041" i="19" a="1"/>
  <c r="H372" i="19" a="1"/>
  <c r="H1127" i="19" a="1"/>
  <c r="L975" i="19" a="1"/>
  <c r="M1061" i="19" a="1"/>
  <c r="H907" i="19" a="1"/>
  <c r="M274" i="19" a="1"/>
  <c r="I1105" i="19" a="1"/>
  <c r="N736" i="19" a="1"/>
  <c r="G127" i="19" a="1"/>
  <c r="I929" i="19" a="1"/>
  <c r="O473" i="19" a="1"/>
  <c r="M705" i="19" a="1"/>
  <c r="G742" i="19" a="1"/>
  <c r="H910" i="19" a="1"/>
  <c r="C200" i="19" a="1"/>
  <c r="I69" i="19" a="1"/>
  <c r="M1017" i="19" a="1"/>
  <c r="O635" i="19" a="1"/>
  <c r="N752" i="19" a="1"/>
  <c r="O852" i="19" a="1"/>
  <c r="N738" i="19" a="1"/>
  <c r="I896" i="19" a="1"/>
  <c r="O910" i="19" a="1"/>
  <c r="I730" i="19" a="1"/>
  <c r="O507" i="19" a="1"/>
  <c r="C580" i="19" a="1"/>
  <c r="M868" i="19" a="1"/>
  <c r="M950" i="19" a="1"/>
  <c r="H849" i="19" a="1"/>
  <c r="I479" i="19" a="1"/>
  <c r="M333" i="19" a="1"/>
  <c r="N892" i="19" a="1"/>
  <c r="G1007" i="19" a="1"/>
  <c r="M1001" i="19" a="1"/>
  <c r="N97" i="19" a="1"/>
  <c r="G1014" i="19" a="1"/>
  <c r="N1034" i="19" a="1"/>
  <c r="M718" i="19" a="1"/>
  <c r="M765" i="19" a="1"/>
  <c r="N763" i="19" a="1"/>
  <c r="N990" i="19" a="1"/>
  <c r="G533" i="19" a="1"/>
  <c r="G1024" i="19" a="1"/>
  <c r="N646" i="19" a="1"/>
  <c r="G1100" i="19" a="1"/>
  <c r="H822" i="19" a="1"/>
  <c r="M541" i="19" a="1"/>
  <c r="G922" i="19" a="1"/>
  <c r="H1154" i="19" a="1"/>
  <c r="O52" i="19" a="1"/>
  <c r="N810" i="19" a="1"/>
  <c r="N632" i="19" a="1"/>
  <c r="C1060" i="19" a="1"/>
  <c r="N470" i="19" a="1"/>
  <c r="C322" i="19" a="1"/>
  <c r="H1125" i="19" a="1"/>
  <c r="M1008" i="19" a="1"/>
  <c r="M241" i="19" a="1"/>
  <c r="G728" i="19" a="1"/>
  <c r="A972" i="19" a="1"/>
  <c r="G1052" i="19" a="1"/>
  <c r="I1023" i="19" a="1"/>
  <c r="I1002" i="19" a="1"/>
  <c r="N430" i="19" a="1"/>
  <c r="H391" i="19" a="1"/>
  <c r="B829" i="19" a="1"/>
  <c r="G401" i="19" a="1"/>
  <c r="N392" i="19" a="1"/>
  <c r="I878" i="19" a="1"/>
  <c r="I1072" i="19" a="1"/>
  <c r="N410" i="19" a="1"/>
  <c r="N993" i="19" a="1"/>
  <c r="N1002" i="19" a="1"/>
  <c r="I769" i="19" a="1"/>
  <c r="I1026" i="19" a="1"/>
  <c r="M1108" i="19" a="1"/>
  <c r="N888" i="19" a="1"/>
  <c r="C763" i="19" a="1"/>
  <c r="C797" i="19" a="1"/>
  <c r="O1022" i="19" a="1"/>
  <c r="N1027" i="19" a="1"/>
  <c r="O949" i="19" a="1"/>
  <c r="G1049" i="19" a="1"/>
  <c r="I1019" i="19" a="1"/>
  <c r="C350" i="19" a="1"/>
  <c r="N1079" i="19" a="1"/>
  <c r="C276" i="19" a="1"/>
  <c r="C248" i="19" a="1"/>
  <c r="C760" i="19" a="1"/>
  <c r="I1097" i="19" a="1"/>
  <c r="N884" i="19" a="1"/>
  <c r="H1047" i="19" a="1"/>
  <c r="M953" i="19" a="1"/>
  <c r="I771" i="19" a="1"/>
  <c r="C802" i="19" a="1"/>
  <c r="O1067" i="19" a="1"/>
  <c r="M660" i="19" a="1"/>
  <c r="H301" i="19" a="1"/>
  <c r="M747" i="19" a="1"/>
  <c r="N916" i="19" a="1"/>
  <c r="M802" i="19" a="1"/>
  <c r="G617" i="19" a="1"/>
  <c r="O720" i="19" a="1"/>
  <c r="N1093" i="19" a="1"/>
  <c r="M931" i="19" a="1"/>
  <c r="N967" i="19" a="1"/>
  <c r="O1066" i="19" a="1"/>
  <c r="M294" i="19" a="1"/>
  <c r="I882" i="19" a="1"/>
  <c r="H833" i="19" a="1"/>
  <c r="H166" i="19" a="1"/>
  <c r="N1110" i="19" a="1"/>
  <c r="H1111" i="19" a="1"/>
  <c r="G1044" i="19" a="1"/>
  <c r="M838" i="19" a="1"/>
  <c r="O213" i="19" a="1"/>
  <c r="O915" i="19" a="1"/>
  <c r="G1107" i="19" a="1"/>
  <c r="L198" i="19" a="1"/>
  <c r="H1145" i="19" a="1"/>
  <c r="H362" i="19" a="1"/>
  <c r="H71" i="19" a="1"/>
  <c r="C504" i="19" a="1"/>
  <c r="I888" i="19" a="1"/>
  <c r="O756" i="19" a="1"/>
  <c r="H587" i="19" a="1"/>
  <c r="M761" i="19" a="1"/>
  <c r="H214" i="19" a="1"/>
  <c r="C95" i="19" a="1"/>
  <c r="N19" i="19" a="1"/>
  <c r="G441" i="19" a="1"/>
  <c r="A1012" i="19" a="1"/>
  <c r="I839" i="19" a="1"/>
  <c r="M534" i="19" a="1"/>
  <c r="M262" i="19" a="1"/>
  <c r="N437" i="19" a="1"/>
  <c r="G821" i="19" a="1"/>
  <c r="F346" i="19" a="1"/>
  <c r="N289" i="19" a="1"/>
  <c r="N465" i="19" a="1"/>
  <c r="I792" i="19" a="1"/>
  <c r="G921" i="19" a="1"/>
  <c r="G1065" i="19" a="1"/>
  <c r="H434" i="19" a="1"/>
  <c r="M712" i="19" a="1"/>
  <c r="N991" i="19" a="1"/>
  <c r="B864" i="19" a="1"/>
  <c r="M1113" i="19" a="1"/>
  <c r="N547" i="19" a="1"/>
  <c r="C426" i="19" a="1"/>
  <c r="M544" i="19" a="1"/>
  <c r="M549" i="19" a="1"/>
  <c r="G1072" i="19" a="1"/>
  <c r="H35" i="19" a="1"/>
  <c r="G611" i="19" a="1"/>
  <c r="M949" i="19" a="1"/>
  <c r="H330" i="19" a="1"/>
  <c r="B1014" i="19" a="1"/>
  <c r="I616" i="19" a="1"/>
  <c r="O817" i="19" a="1"/>
  <c r="M204" i="19" a="1"/>
  <c r="H474" i="19" a="1"/>
  <c r="H1063" i="19" a="1"/>
  <c r="N243" i="19" a="1"/>
  <c r="I1045" i="19" a="1"/>
  <c r="I1154" i="19" a="1"/>
  <c r="N1095" i="19" a="1"/>
  <c r="G800" i="19" a="1"/>
  <c r="G857" i="19" a="1"/>
  <c r="H727" i="19" a="1"/>
  <c r="O829" i="19" a="1"/>
  <c r="H936" i="19" a="1"/>
  <c r="O703" i="19" a="1"/>
  <c r="M635" i="19" a="1"/>
  <c r="N908" i="19" a="1"/>
  <c r="I588" i="19" a="1"/>
  <c r="N910" i="19" a="1"/>
  <c r="I712" i="19" a="1"/>
  <c r="O804" i="19" a="1"/>
  <c r="H1006" i="19" a="1"/>
  <c r="G732" i="19" a="1"/>
  <c r="C167" i="19" a="1"/>
  <c r="I15" i="19" a="1"/>
  <c r="I635" i="19" a="1"/>
  <c r="O718" i="19" a="1"/>
  <c r="O690" i="19" a="1"/>
  <c r="N1132" i="19" a="1"/>
  <c r="C57" i="19" a="1"/>
  <c r="N905" i="19" a="1"/>
  <c r="H992" i="19" a="1"/>
  <c r="G868" i="19" a="1"/>
  <c r="O688" i="19" a="1"/>
  <c r="G447" i="19" a="1"/>
  <c r="N951" i="19" a="1"/>
  <c r="I937" i="19" a="1"/>
  <c r="B899" i="19" a="1"/>
  <c r="I583" i="19" a="1"/>
  <c r="H959" i="19" a="1"/>
  <c r="H823" i="19" a="1"/>
  <c r="H1002" i="19" a="1"/>
  <c r="H1031" i="19" a="1"/>
  <c r="H1114" i="19" a="1"/>
  <c r="G1015" i="19" a="1"/>
  <c r="O1153" i="19" a="1"/>
  <c r="I897" i="19" a="1"/>
  <c r="N1113" i="19" a="1"/>
  <c r="M582" i="19" a="1"/>
  <c r="O1098" i="19" a="1"/>
  <c r="C607" i="19" a="1"/>
  <c r="G968" i="19" a="1"/>
  <c r="C657" i="19" a="1"/>
  <c r="C908" i="19" a="1"/>
  <c r="C578" i="19" a="1"/>
  <c r="H837" i="19" a="1"/>
  <c r="O767" i="19" a="1"/>
  <c r="G1126" i="19" a="1"/>
  <c r="N818" i="19" a="1"/>
  <c r="H21" i="19" a="1"/>
  <c r="A1049" i="19" a="1"/>
  <c r="C64" i="19" a="1"/>
  <c r="G1058" i="19" a="1"/>
  <c r="M1068" i="19" a="1"/>
  <c r="C690" i="19" a="1"/>
  <c r="M447" i="19" a="1"/>
  <c r="I981" i="19" a="1"/>
  <c r="A790" i="19" a="1"/>
  <c r="C313" i="19" a="1"/>
  <c r="O988" i="19" a="1"/>
  <c r="H598" i="19" a="1"/>
  <c r="N541" i="19" a="1"/>
  <c r="N1118" i="19" a="1"/>
  <c r="H872" i="19" a="1"/>
  <c r="C1021" i="19" a="1"/>
  <c r="C249" i="19" a="1"/>
  <c r="H1071" i="19" a="1"/>
  <c r="O1064" i="19" a="1"/>
  <c r="H660" i="19" a="1"/>
  <c r="O946" i="19" a="1"/>
  <c r="H957" i="19" a="1"/>
  <c r="C280" i="19" a="1"/>
  <c r="N999" i="19" a="1"/>
  <c r="I1068" i="19" a="1"/>
  <c r="C910" i="19" a="1"/>
  <c r="G1053" i="19" a="1"/>
  <c r="O1144" i="19" a="1"/>
  <c r="M1103" i="19" a="1"/>
  <c r="N544" i="19" a="1"/>
  <c r="M481" i="19" a="1"/>
  <c r="H335" i="19" a="1"/>
  <c r="H873" i="19" a="1"/>
  <c r="N806" i="19" a="1"/>
  <c r="G318" i="19" a="1"/>
  <c r="O1101" i="19" a="1"/>
  <c r="N275" i="19" a="1"/>
  <c r="G301" i="19" a="1"/>
  <c r="C876" i="19" a="1"/>
  <c r="O699" i="19" a="1"/>
  <c r="G844" i="19" a="1"/>
  <c r="G1117" i="19" a="1"/>
  <c r="I1123" i="19" a="1"/>
  <c r="I1114" i="19" a="1"/>
  <c r="O940" i="19" a="1"/>
  <c r="I770" i="19" a="1"/>
  <c r="M854" i="19" a="1"/>
  <c r="M785" i="19" a="1"/>
  <c r="N1156" i="19" a="1"/>
  <c r="H146" i="19" a="1"/>
  <c r="B900" i="19" a="1"/>
  <c r="I678" i="19" a="1"/>
  <c r="I952" i="19" a="1"/>
  <c r="G869" i="19" a="1"/>
  <c r="H1043" i="19" a="1"/>
  <c r="C916" i="19" a="1"/>
  <c r="C459" i="19" a="1"/>
  <c r="O58" i="19" a="1"/>
  <c r="H890" i="19" a="1"/>
  <c r="H672" i="19" a="1"/>
  <c r="M40" i="19" a="1"/>
  <c r="N732" i="19" a="1"/>
  <c r="C139" i="19" a="1"/>
  <c r="I141" i="19" a="1"/>
  <c r="I1065" i="19" a="1"/>
  <c r="M101" i="19" a="1"/>
  <c r="B1085" i="19" a="1"/>
  <c r="N193" i="19" a="1"/>
  <c r="G819" i="19" a="1"/>
  <c r="N249" i="19" a="1"/>
  <c r="I1015" i="19" a="1"/>
  <c r="I575" i="19" a="1"/>
  <c r="I786" i="19" a="1"/>
  <c r="O1132" i="19" a="1"/>
  <c r="O995" i="19" a="1"/>
  <c r="N800" i="19" a="1"/>
  <c r="C948" i="19" a="1"/>
  <c r="M848" i="19" a="1"/>
  <c r="I742" i="19" a="1"/>
  <c r="I856" i="19" a="1"/>
  <c r="N1094" i="19" a="1"/>
  <c r="O513" i="19" a="1"/>
  <c r="O574" i="19" a="1"/>
  <c r="N1154" i="19" a="1"/>
  <c r="M523" i="19" a="1"/>
  <c r="N320" i="19" a="1"/>
  <c r="H1044" i="19" a="1"/>
  <c r="G630" i="19" a="1"/>
  <c r="I886" i="19" a="1"/>
  <c r="C102" i="19" a="1"/>
  <c r="H1057" i="19" a="1"/>
  <c r="C392" i="19" a="1"/>
  <c r="I685" i="19" a="1"/>
  <c r="N511" i="19" a="1"/>
  <c r="O1037" i="19" a="1"/>
  <c r="O762" i="19" a="1"/>
  <c r="H768" i="19" a="1"/>
  <c r="I876" i="19" a="1"/>
  <c r="C393" i="19" a="1"/>
  <c r="O736" i="19" a="1"/>
  <c r="C983" i="19" a="1"/>
  <c r="C681" i="19" a="1"/>
  <c r="C359" i="19" a="1"/>
  <c r="N1043" i="19" a="1"/>
  <c r="C394" i="19" a="1"/>
  <c r="N1028" i="19" a="1"/>
  <c r="H901" i="19" a="1"/>
  <c r="N1100" i="19" a="1"/>
  <c r="C1135" i="19" a="1"/>
  <c r="N914" i="19" a="1"/>
  <c r="M1059" i="19" a="1"/>
  <c r="G1020" i="19" a="1"/>
  <c r="H1097" i="19" a="1"/>
  <c r="I288" i="19" a="1"/>
  <c r="O798" i="19" a="1"/>
  <c r="F1012" i="19" a="1"/>
  <c r="I928" i="19" a="1"/>
  <c r="O472" i="19" a="1"/>
  <c r="N1040" i="19" a="1"/>
  <c r="N915" i="19" a="1"/>
  <c r="O819" i="19" a="1"/>
  <c r="I191" i="19" a="1"/>
  <c r="N537" i="19" a="1"/>
  <c r="O796" i="19" a="1"/>
  <c r="H842" i="19" a="1"/>
  <c r="O663" i="19" a="1"/>
  <c r="H723" i="19" a="1"/>
  <c r="N1042" i="19" a="1"/>
  <c r="H275" i="19" a="1"/>
  <c r="O253" i="19" a="1"/>
  <c r="N949" i="19" a="1"/>
  <c r="M1134" i="19" a="1"/>
  <c r="H1035" i="19" a="1"/>
  <c r="M684" i="19" a="1"/>
  <c r="H793" i="19" a="1"/>
  <c r="B274" i="19" a="1"/>
  <c r="I383" i="19" a="1"/>
  <c r="I923" i="19" a="1"/>
  <c r="O1127" i="19" a="1"/>
  <c r="H705" i="19" a="1"/>
  <c r="G992" i="19" a="1"/>
  <c r="H710" i="19" a="1"/>
  <c r="O779" i="19" a="1"/>
  <c r="O212" i="19" a="1"/>
  <c r="I193" i="19" a="1"/>
  <c r="F753" i="19" a="1"/>
  <c r="I536" i="19" a="1"/>
  <c r="I556" i="19" a="1"/>
  <c r="O89" i="19" a="1"/>
  <c r="N581" i="19" a="1"/>
  <c r="H1059" i="19" a="1"/>
  <c r="O1008" i="19" a="1"/>
  <c r="C648" i="19" a="1"/>
  <c r="I1033" i="19" a="1"/>
  <c r="I738" i="19" a="1"/>
  <c r="N24" i="19" a="1"/>
  <c r="N1026" i="19" a="1"/>
  <c r="H759" i="19" a="1"/>
  <c r="G516" i="19" a="1"/>
  <c r="I391" i="19" a="1"/>
  <c r="M759" i="19" a="1"/>
  <c r="O704" i="19" a="1"/>
  <c r="G1086" i="19" a="1"/>
  <c r="O1134" i="19" a="1"/>
  <c r="I637" i="19" a="1"/>
  <c r="H428" i="19" a="1"/>
  <c r="N795" i="19" a="1"/>
  <c r="O1131" i="19" a="1"/>
  <c r="N684" i="19" a="1"/>
  <c r="M905" i="19" a="1"/>
  <c r="O1099" i="19" a="1"/>
  <c r="O979" i="19" a="1"/>
  <c r="M801" i="19" a="1"/>
  <c r="H225" i="19" a="1"/>
  <c r="G449" i="19" a="1"/>
  <c r="H460" i="19" a="1"/>
  <c r="G758" i="19" a="1"/>
  <c r="H969" i="19" a="1"/>
  <c r="G403" i="19" a="1"/>
  <c r="C1063" i="19" a="1"/>
  <c r="H164" i="19" a="1"/>
  <c r="O1060" i="19" a="1"/>
  <c r="H995" i="19" a="1"/>
  <c r="G464" i="19" a="1"/>
  <c r="G68" i="19" a="1"/>
  <c r="N67" i="19" a="1"/>
  <c r="I796" i="19" a="1"/>
  <c r="I867" i="19" a="1"/>
  <c r="G905" i="19" a="1"/>
  <c r="I863" i="19" a="1"/>
  <c r="M503" i="19" a="1"/>
  <c r="N573" i="19" a="1"/>
  <c r="B570" i="19" a="1"/>
  <c r="C1090" i="19" a="1"/>
  <c r="H202" i="19" a="1"/>
  <c r="M317" i="19" a="1"/>
  <c r="H547" i="19" a="1"/>
  <c r="N907" i="19" a="1"/>
  <c r="G945" i="19" a="1"/>
  <c r="I284" i="19" a="1"/>
  <c r="G956" i="19" a="1"/>
  <c r="I1048" i="19" a="1"/>
  <c r="I316" i="19" a="1"/>
  <c r="G392" i="19" a="1"/>
  <c r="H956" i="19" a="1"/>
  <c r="O627" i="19" a="1"/>
  <c r="I1140" i="19" a="1"/>
  <c r="H1130" i="19" a="1"/>
  <c r="O1071" i="19" a="1"/>
  <c r="M1135" i="19" a="1"/>
  <c r="G1067" i="19" a="1"/>
  <c r="O289" i="19" a="1"/>
  <c r="G880" i="19" a="1"/>
  <c r="G632" i="19" a="1"/>
  <c r="N562" i="19" a="1"/>
  <c r="M1042" i="19" a="1"/>
  <c r="O1079" i="19" a="1"/>
  <c r="O449" i="19" a="1"/>
  <c r="O792" i="19" a="1"/>
  <c r="I1115" i="19" a="1"/>
  <c r="O884" i="19" a="1"/>
  <c r="M340" i="19" a="1"/>
  <c r="M816" i="19" a="1"/>
  <c r="G1131" i="19" a="1"/>
  <c r="C979" i="19" a="1"/>
  <c r="G718" i="19" a="1"/>
  <c r="N629" i="19" a="1"/>
  <c r="G1109" i="19" a="1"/>
  <c r="M799" i="19" a="1"/>
  <c r="I773" i="19" a="1"/>
  <c r="N1112" i="19" a="1"/>
  <c r="C1097" i="19" a="1"/>
  <c r="C1020" i="19" a="1"/>
  <c r="F1123" i="19" a="1"/>
  <c r="C245" i="19" a="1"/>
  <c r="O322" i="19" a="1"/>
  <c r="H708" i="19" a="1"/>
  <c r="M852" i="19" a="1"/>
  <c r="H1045" i="19" a="1"/>
  <c r="N919" i="19" a="1"/>
  <c r="C1133" i="19" a="1"/>
  <c r="I1142" i="19" a="1"/>
  <c r="I190" i="19" a="1"/>
  <c r="M896" i="19" a="1"/>
  <c r="H812" i="19" a="1"/>
  <c r="C94" i="19" a="1"/>
  <c r="C135" i="19" a="1"/>
  <c r="C324" i="19" a="1"/>
  <c r="C838" i="19" a="1"/>
  <c r="I632" i="19" a="1"/>
  <c r="G951" i="19" a="1"/>
  <c r="O392" i="19" a="1"/>
  <c r="G185" i="19" a="1"/>
  <c r="G1038" i="19" a="1"/>
  <c r="C619" i="19" a="1"/>
  <c r="O664" i="19" a="1"/>
  <c r="I944" i="19" a="1"/>
  <c r="C287" i="19" a="1"/>
  <c r="I741" i="19" a="1"/>
  <c r="H993" i="19" a="1"/>
  <c r="L1049" i="19" a="1"/>
  <c r="C285" i="19" a="1"/>
  <c r="N509" i="19" a="1"/>
  <c r="O372" i="19" a="1"/>
  <c r="O769" i="19" a="1"/>
  <c r="O1069" i="19" a="1"/>
  <c r="I982" i="19" a="1"/>
  <c r="G204" i="19" a="1"/>
  <c r="H937" i="19" a="1"/>
  <c r="M929" i="19" a="1"/>
  <c r="G596" i="19" a="1"/>
  <c r="I1127" i="19" a="1"/>
  <c r="G707" i="19" a="1"/>
  <c r="N1107" i="19" a="1"/>
  <c r="H153" i="19" a="1"/>
  <c r="H913" i="19" a="1"/>
  <c r="G29" i="19" a="1"/>
  <c r="H132" i="19" a="1"/>
  <c r="H252" i="19" a="1"/>
  <c r="N331" i="19" a="1"/>
  <c r="N830" i="19" a="1"/>
  <c r="N747" i="19" a="1"/>
  <c r="I176" i="19" a="1"/>
  <c r="M264" i="19" a="1"/>
  <c r="H1141" i="19" a="1"/>
  <c r="N900" i="19" a="1"/>
  <c r="M1155" i="19" a="1"/>
  <c r="O683" i="19" a="1"/>
  <c r="N1029" i="19" a="1"/>
  <c r="C317" i="19" a="1"/>
  <c r="C175" i="19" a="1"/>
  <c r="I204" i="19" a="1"/>
  <c r="I794" i="19" a="1"/>
  <c r="I789" i="19" a="1"/>
  <c r="N530" i="19" a="1"/>
  <c r="N690" i="19" a="1"/>
  <c r="N538" i="19" a="1"/>
  <c r="N957" i="19" a="1"/>
  <c r="M817" i="19" a="1"/>
  <c r="G1037" i="19" a="1"/>
  <c r="I573" i="19" a="1"/>
  <c r="O927" i="19" a="1"/>
  <c r="H1136" i="19" a="1"/>
  <c r="C1053" i="19" a="1"/>
  <c r="I1151" i="19" a="1"/>
  <c r="A1086" i="19" a="1"/>
  <c r="O231" i="19" a="1"/>
  <c r="O770" i="19" a="1"/>
  <c r="G872" i="19" a="1"/>
  <c r="G949" i="19" a="1"/>
  <c r="G246" i="19" a="1"/>
  <c r="N30" i="19" a="1"/>
  <c r="H514" i="19" a="1"/>
  <c r="N1147" i="19" a="1"/>
  <c r="M1030" i="19" a="1"/>
  <c r="G160" i="19" a="1"/>
  <c r="M1131" i="19" a="1"/>
  <c r="I734" i="19" a="1"/>
  <c r="O953" i="19" a="1"/>
  <c r="G456" i="19" a="1"/>
  <c r="M1104" i="19" a="1"/>
  <c r="I844" i="19" a="1"/>
  <c r="I617" i="19" a="1"/>
  <c r="L50" i="19" a="1"/>
  <c r="O1004" i="19" a="1"/>
  <c r="N987" i="19" a="1"/>
  <c r="I538" i="19" a="1"/>
  <c r="G885" i="19" a="1"/>
  <c r="O748" i="19" a="1"/>
  <c r="N281" i="19" a="1"/>
  <c r="M250" i="19" a="1"/>
  <c r="M353" i="19" a="1"/>
  <c r="G1088" i="19" a="1"/>
  <c r="I379" i="19" a="1"/>
  <c r="H1028" i="19" a="1"/>
  <c r="G746" i="19" a="1"/>
  <c r="M886" i="19" a="1"/>
  <c r="O849" i="19" a="1"/>
  <c r="N660" i="19" a="1"/>
  <c r="N257" i="19" a="1"/>
  <c r="N501" i="19" a="1"/>
  <c r="O1024" i="19" a="1"/>
  <c r="H1037" i="19" a="1"/>
  <c r="H1030" i="19" a="1"/>
  <c r="H942" i="19" a="1"/>
  <c r="N623" i="19" a="1"/>
  <c r="O958" i="19" a="1"/>
  <c r="M926" i="19" a="1"/>
  <c r="H1086" i="19" a="1"/>
  <c r="O397" i="19" a="1"/>
  <c r="C429" i="19" a="1"/>
  <c r="O1141" i="19" a="1"/>
  <c r="O1146" i="19" a="1"/>
  <c r="C939" i="19" a="1"/>
  <c r="C1059" i="19" a="1"/>
  <c r="G1118" i="19" a="1"/>
  <c r="C909" i="19" a="1"/>
  <c r="C570" i="19" a="1"/>
  <c r="C176" i="19" a="1"/>
  <c r="M1143" i="19" a="1"/>
  <c r="G685" i="19" a="1"/>
  <c r="C1013" i="19" a="1"/>
  <c r="I745" i="19" a="1"/>
  <c r="C244" i="19" a="1"/>
  <c r="O1065" i="19" a="1"/>
  <c r="O428" i="19" a="1"/>
  <c r="I884" i="19" a="1"/>
  <c r="C757" i="19" a="1"/>
  <c r="C96" i="19" a="1"/>
  <c r="C62" i="19" a="1"/>
  <c r="I1117" i="19" a="1"/>
  <c r="C315" i="19" a="1"/>
  <c r="I900" i="19" a="1"/>
  <c r="M1080" i="19" a="1"/>
  <c r="N1064" i="19" a="1"/>
  <c r="C574" i="19" a="1"/>
  <c r="I811" i="19" a="1"/>
  <c r="M255" i="19" a="1"/>
  <c r="H958" i="19" a="1"/>
  <c r="G726" i="19" a="1"/>
  <c r="C874" i="19" a="1"/>
  <c r="C430" i="19" a="1"/>
  <c r="M214" i="19" a="1"/>
  <c r="I555" i="19" a="1"/>
  <c r="O806" i="19" a="1"/>
  <c r="G934" i="19" a="1"/>
  <c r="O917" i="19" a="1"/>
  <c r="C1137" i="19" a="1"/>
  <c r="M745" i="19" a="1"/>
  <c r="G918" i="19" a="1"/>
  <c r="C126" i="19" a="1"/>
  <c r="I252" i="19" a="1"/>
  <c r="M924" i="19" a="1"/>
  <c r="I1136" i="19" a="1"/>
  <c r="O280" i="19" a="1"/>
  <c r="H1108" i="19" a="1"/>
  <c r="M1014" i="19" a="1"/>
  <c r="H1003" i="19" a="1"/>
  <c r="O581" i="19" a="1"/>
  <c r="G971" i="19" a="1"/>
  <c r="M1096" i="19" a="1"/>
  <c r="O183" i="19" a="1"/>
  <c r="H30" i="19" a="1"/>
  <c r="B459" i="19" a="1"/>
  <c r="O361" i="19" a="1"/>
  <c r="C1099" i="19" a="1"/>
  <c r="M265" i="19" a="1"/>
  <c r="M836" i="19" a="1"/>
  <c r="I422" i="19" a="1"/>
  <c r="M1078" i="19" a="1"/>
  <c r="H1036" i="19" a="1"/>
  <c r="H414" i="19" a="1"/>
  <c r="I564" i="19" a="1"/>
  <c r="I774" i="19" a="1"/>
  <c r="H716" i="19" a="1"/>
  <c r="H847" i="19" a="1"/>
  <c r="O698" i="19" a="1"/>
  <c r="I903" i="19" a="1"/>
  <c r="N220" i="19" a="1"/>
  <c r="I1116" i="19" a="1"/>
  <c r="G1111" i="19" a="1"/>
  <c r="N1081" i="19" a="1"/>
  <c r="H948" i="19" a="1"/>
  <c r="I829" i="19" a="1"/>
  <c r="H1140" i="19" a="1"/>
  <c r="N166" i="19" a="1"/>
  <c r="C912" i="19" a="1"/>
  <c r="H943" i="19" a="1"/>
  <c r="H894" i="19" a="1"/>
  <c r="M312" i="19" a="1"/>
  <c r="I1089" i="19" a="1"/>
  <c r="N784" i="19" a="1"/>
  <c r="M376" i="19" a="1"/>
  <c r="I143" i="19" a="1"/>
  <c r="I832" i="19" a="1"/>
  <c r="M409" i="19" a="1"/>
  <c r="I1059" i="19" a="1"/>
  <c r="N1074" i="19" a="1"/>
  <c r="M150" i="19" a="1"/>
  <c r="F383" i="19" a="1"/>
  <c r="G646" i="19" a="1"/>
  <c r="M1132" i="19" a="1"/>
  <c r="I608" i="19" a="1"/>
  <c r="I1039" i="19" a="1"/>
  <c r="H909" i="19" a="1"/>
  <c r="O116" i="19" a="1"/>
  <c r="N1073" i="19" a="1"/>
  <c r="G715" i="19" a="1"/>
  <c r="I979" i="19" a="1"/>
  <c r="G919" i="19" a="1"/>
  <c r="I779" i="19" a="1"/>
  <c r="I916" i="19" a="1"/>
  <c r="G1043" i="19" a="1"/>
  <c r="N746" i="19" a="1"/>
  <c r="O582" i="19" a="1"/>
  <c r="I55" i="19" a="1"/>
  <c r="O362" i="19" a="1"/>
  <c r="O377" i="19" a="1"/>
  <c r="I942" i="19" a="1"/>
  <c r="N811" i="19" a="1"/>
  <c r="G285" i="19" a="1"/>
  <c r="B48" i="19" a="1"/>
  <c r="I78" i="19" a="1"/>
  <c r="M702" i="19" a="1"/>
  <c r="O184" i="19" a="1"/>
  <c r="O749" i="19" a="1"/>
  <c r="M601" i="19" a="1"/>
  <c r="C59" i="19" a="1"/>
  <c r="M516" i="19" a="1"/>
  <c r="N1020" i="19" a="1"/>
  <c r="N730" i="19" a="1"/>
  <c r="C543" i="19" a="1"/>
  <c r="O1137" i="19" a="1"/>
  <c r="C171" i="19" a="1"/>
  <c r="N327" i="19" a="1"/>
  <c r="I434" i="19" a="1"/>
  <c r="G712" i="19" a="1"/>
  <c r="N1054" i="19" a="1"/>
  <c r="H745" i="19" a="1"/>
  <c r="O759" i="19" a="1"/>
  <c r="C199" i="19" a="1"/>
  <c r="G701" i="19" a="1"/>
  <c r="M982" i="19" a="1"/>
  <c r="H844" i="19" a="1"/>
  <c r="C1136" i="19" a="1"/>
  <c r="I1130" i="19" a="1"/>
  <c r="G1011" i="19" a="1"/>
  <c r="C944" i="19" a="1"/>
  <c r="H829" i="19" a="1"/>
  <c r="H1112" i="19" a="1"/>
  <c r="G937" i="19" a="1"/>
  <c r="H809" i="19" a="1"/>
  <c r="O996" i="19" a="1"/>
  <c r="H920" i="19" a="1"/>
  <c r="G761" i="19" a="1"/>
  <c r="F124" i="19" a="1"/>
  <c r="N314" i="19" a="1"/>
  <c r="N1085" i="19" a="1"/>
  <c r="C611" i="19" a="1"/>
  <c r="O564" i="19" a="1"/>
  <c r="G658" i="19" a="1"/>
  <c r="N843" i="19" a="1"/>
  <c r="I626" i="19" a="1"/>
  <c r="M43" i="19" a="1"/>
  <c r="H294" i="19" a="1"/>
  <c r="I441" i="19" a="1"/>
  <c r="I1066" i="19" a="1"/>
  <c r="M1141" i="19" a="1"/>
  <c r="H855" i="19" a="1"/>
  <c r="N1106" i="19" a="1"/>
  <c r="N1032" i="19" a="1"/>
  <c r="I457" i="19" a="1"/>
  <c r="B86" i="19" a="1"/>
  <c r="N1139" i="19" a="1"/>
  <c r="H1039" i="19" a="1"/>
  <c r="H845" i="19" a="1"/>
  <c r="M644" i="19" a="1"/>
  <c r="I154" i="19" a="1"/>
  <c r="B863" i="19" a="1"/>
  <c r="N204" i="19" a="1"/>
  <c r="C581" i="19" a="1"/>
  <c r="I955" i="19" a="1"/>
  <c r="O919" i="19" a="1"/>
  <c r="H1075" i="19" a="1"/>
  <c r="N1116" i="19" a="1"/>
  <c r="G681" i="19" a="1"/>
  <c r="I424" i="19" a="1"/>
  <c r="O1017" i="19" a="1"/>
  <c r="M449" i="19" a="1"/>
  <c r="N630" i="19" a="1"/>
  <c r="M285" i="19" a="1"/>
  <c r="M1089" i="19" a="1"/>
  <c r="H403" i="19" a="1"/>
  <c r="O255" i="19" a="1"/>
  <c r="H906" i="19" a="1"/>
  <c r="O1042" i="19" a="1"/>
  <c r="C977" i="19" a="1"/>
  <c r="I330" i="19" a="1"/>
  <c r="M191" i="19" a="1"/>
  <c r="H701" i="19" a="1"/>
  <c r="H751" i="19" a="1"/>
  <c r="H402" i="19" a="1"/>
  <c r="I1077" i="19" a="1"/>
  <c r="I226" i="19" a="1"/>
  <c r="H1060" i="19" a="1"/>
  <c r="A565" i="19" a="1"/>
  <c r="O652" i="19" a="1"/>
  <c r="N274" i="19" a="1"/>
  <c r="G977" i="19" a="1"/>
  <c r="O445" i="19" a="1"/>
  <c r="C835" i="19" a="1"/>
  <c r="C434" i="19" a="1"/>
  <c r="N535" i="19" a="1"/>
  <c r="H699" i="19" a="1"/>
  <c r="M708" i="19" a="1"/>
  <c r="O570" i="19" a="1"/>
  <c r="M665" i="19" a="1"/>
  <c r="O370" i="19" a="1"/>
  <c r="G28" i="19" a="1"/>
  <c r="N749" i="19" a="1"/>
  <c r="G1040" i="19" a="1"/>
  <c r="N200" i="19" a="1"/>
  <c r="C873" i="19" a="1"/>
  <c r="O294" i="19" a="1"/>
  <c r="G818" i="19" a="1"/>
  <c r="O625" i="19" a="1"/>
  <c r="H1129" i="19" a="1"/>
  <c r="A417" i="19" a="1"/>
  <c r="N91" i="19" a="1"/>
  <c r="O261" i="19" a="1"/>
  <c r="G679" i="19" a="1"/>
  <c r="G265" i="19" a="1"/>
  <c r="N823" i="19" a="1"/>
  <c r="H245" i="19" a="1"/>
  <c r="N210" i="19" a="1"/>
  <c r="O368" i="19" a="1"/>
  <c r="G966" i="19" a="1"/>
  <c r="H925" i="19" a="1"/>
  <c r="M135" i="19" a="1"/>
  <c r="L494" i="19" a="1"/>
  <c r="H769" i="19" a="1"/>
  <c r="G852" i="19" a="1"/>
  <c r="M876" i="19" a="1"/>
  <c r="H193" i="19" a="1"/>
  <c r="H209" i="19" a="1"/>
  <c r="G866" i="19" a="1"/>
  <c r="M1107" i="19" a="1"/>
  <c r="H779" i="19" a="1"/>
  <c r="M965" i="19" a="1"/>
  <c r="I1113" i="19" a="1"/>
  <c r="M774" i="19" a="1"/>
  <c r="H684" i="19" a="1"/>
  <c r="M934" i="19" a="1"/>
  <c r="H346" i="19" a="1"/>
  <c r="N837" i="19" a="1"/>
  <c r="C796" i="19" a="1"/>
  <c r="H1074" i="19" a="1"/>
  <c r="H841" i="19" a="1"/>
  <c r="I694" i="19" a="1"/>
  <c r="C502" i="19" a="1"/>
  <c r="H1116" i="19" a="1"/>
  <c r="M658" i="19" a="1"/>
  <c r="C354" i="19" a="1"/>
  <c r="H635" i="19" a="1"/>
  <c r="N724" i="19" a="1"/>
  <c r="B15" i="19" a="1"/>
  <c r="C1022" i="19" a="1"/>
  <c r="I352" i="19" a="1"/>
  <c r="O1145" i="19" a="1"/>
  <c r="H322" i="19" a="1"/>
  <c r="H803" i="19" a="1"/>
  <c r="M1040" i="19" a="1"/>
  <c r="G848" i="19" a="1"/>
  <c r="H1148" i="19" a="1"/>
  <c r="O712" i="19" a="1"/>
  <c r="N612" i="19" a="1"/>
  <c r="I494" i="19" a="1"/>
  <c r="N594" i="19" a="1"/>
  <c r="M617" i="19" a="1"/>
  <c r="C385" i="19" a="1"/>
  <c r="I60" i="19" a="1"/>
  <c r="M415" i="19" a="1"/>
  <c r="O579" i="19" a="1"/>
  <c r="M668" i="19" a="1"/>
  <c r="B309" i="19" a="1"/>
  <c r="O905" i="19" a="1"/>
  <c r="G807" i="19" a="1"/>
  <c r="N961" i="19" a="1"/>
  <c r="N826" i="19" a="1"/>
  <c r="H1011" i="19" a="1"/>
  <c r="N697" i="19" a="1"/>
  <c r="H830" i="19" a="1"/>
  <c r="H878" i="19" a="1"/>
  <c r="O1102" i="19" a="1"/>
  <c r="O351" i="19" a="1"/>
  <c r="O594" i="19" a="1"/>
  <c r="O1110" i="19" a="1"/>
  <c r="M189" i="19" a="1"/>
  <c r="C168" i="19" a="1"/>
  <c r="M1065" i="19" a="1"/>
  <c r="H257" i="19" a="1"/>
  <c r="H967" i="19" a="1"/>
  <c r="C654" i="19" a="1"/>
  <c r="O206" i="19" a="1"/>
  <c r="H883" i="19" a="1"/>
  <c r="I826" i="19" a="1"/>
  <c r="G1147" i="19" a="1"/>
  <c r="O859" i="19" a="1"/>
  <c r="C652" i="19" a="1"/>
  <c r="I629" i="19" a="1"/>
  <c r="O590" i="19" a="1"/>
  <c r="O944" i="19" a="1"/>
  <c r="H838" i="19" a="1"/>
  <c r="M783" i="19" a="1"/>
  <c r="H962" i="19" a="1"/>
  <c r="I636" i="19" a="1"/>
  <c r="H551" i="19" a="1"/>
  <c r="K272" i="19" a="1"/>
  <c r="M855" i="19" a="1"/>
  <c r="I761" i="19" a="1"/>
  <c r="G786" i="19" a="1"/>
  <c r="I1062" i="19" a="1"/>
  <c r="M193" i="19" a="1"/>
  <c r="O950" i="19" a="1"/>
  <c r="I692" i="19" a="1"/>
  <c r="M1070" i="19" a="1"/>
  <c r="G711" i="19" a="1"/>
  <c r="N322" i="19" a="1"/>
  <c r="N994" i="19" a="1"/>
  <c r="N1155" i="19" a="1"/>
  <c r="O638" i="19" a="1"/>
  <c r="I748" i="19" a="1"/>
  <c r="I131" i="19" a="1"/>
  <c r="C433" i="19" a="1"/>
  <c r="M925" i="19" a="1"/>
  <c r="M472" i="19" a="1"/>
  <c r="I541" i="19" a="1"/>
  <c r="O745" i="19" a="1"/>
  <c r="C137" i="19" a="1"/>
  <c r="N164" i="19" a="1"/>
  <c r="B348" i="19" a="1"/>
  <c r="M573" i="19" a="1"/>
  <c r="G771" i="19" a="1"/>
  <c r="H714" i="19" a="1"/>
  <c r="H729" i="19" a="1"/>
  <c r="G909" i="19" a="1"/>
  <c r="O1076" i="19" a="1"/>
  <c r="O744" i="19" a="1"/>
  <c r="C829" i="19" a="1"/>
  <c r="M173" i="19" a="1"/>
  <c r="M999" i="19" a="1"/>
  <c r="N672" i="19" a="1"/>
  <c r="C614" i="19" a="1"/>
  <c r="I234" i="19" a="1"/>
  <c r="C768" i="19" a="1"/>
  <c r="N89" i="19" a="1"/>
  <c r="H915" i="19" a="1"/>
  <c r="M916" i="19" a="1"/>
  <c r="N499" i="19" a="1"/>
  <c r="C765" i="19" a="1"/>
  <c r="H534" i="19" a="1"/>
  <c r="N419" i="19" a="1"/>
  <c r="N60" i="19" a="1"/>
  <c r="O1025" i="19" a="1"/>
  <c r="N819" i="19" a="1"/>
  <c r="O622" i="19" a="1"/>
  <c r="I220" i="19" a="1"/>
  <c r="M667" i="19" a="1"/>
  <c r="B604" i="19" a="1"/>
  <c r="G133" i="19" a="1"/>
  <c r="I563" i="19" a="1"/>
  <c r="N997" i="19" a="1"/>
  <c r="I894" i="19" a="1"/>
  <c r="I577" i="19" a="1"/>
  <c r="O189" i="19" a="1"/>
  <c r="O846" i="19" a="1"/>
  <c r="H917" i="19" a="1"/>
  <c r="H851" i="19" a="1"/>
  <c r="M1033" i="19" a="1"/>
  <c r="G1085" i="19" a="1"/>
  <c r="G327" i="19" a="1"/>
  <c r="C730" i="19" a="1"/>
  <c r="G1055" i="19" a="1"/>
  <c r="G914" i="19" a="1"/>
  <c r="M634" i="19" a="1"/>
  <c r="M966" i="19" a="1"/>
  <c r="M719" i="19" a="1"/>
  <c r="G74" i="19" a="1"/>
  <c r="O56" i="19" a="1"/>
  <c r="G200" i="19" a="1"/>
  <c r="L605" i="19" a="1"/>
  <c r="G1063" i="19" a="1"/>
  <c r="G831" i="19" a="1"/>
  <c r="O839" i="19" a="1"/>
  <c r="C940" i="19" a="1"/>
  <c r="I91" i="19" a="1"/>
  <c r="I663" i="19" a="1"/>
  <c r="G1042" i="19" a="1"/>
  <c r="N386" i="19" a="1"/>
  <c r="O274" i="19" a="1"/>
  <c r="C718" i="19" a="1"/>
  <c r="G925" i="19" a="1"/>
  <c r="O831" i="19" a="1"/>
  <c r="M379" i="19" a="1"/>
  <c r="G813" i="19" a="1"/>
  <c r="G943" i="19" a="1"/>
  <c r="H1027" i="19" a="1"/>
  <c r="C132" i="19" a="1"/>
  <c r="O990" i="19" a="1"/>
  <c r="N721" i="19" a="1"/>
  <c r="M742" i="19" a="1"/>
  <c r="C323" i="19" a="1"/>
  <c r="H1052" i="19" a="1"/>
  <c r="I958" i="19" a="1"/>
  <c r="N682" i="19" a="1"/>
  <c r="N440" i="19" a="1"/>
  <c r="C728" i="19" a="1"/>
  <c r="H853" i="19" a="1"/>
  <c r="I885" i="19" a="1"/>
  <c r="M408" i="19" a="1"/>
  <c r="C281" i="19" a="1"/>
  <c r="M946" i="19" a="1"/>
  <c r="H859" i="19" a="1"/>
  <c r="N241" i="19" a="1"/>
  <c r="N476" i="19" a="1"/>
  <c r="H984" i="19" a="1"/>
  <c r="I890" i="19" a="1"/>
  <c r="C902" i="19" a="1"/>
  <c r="N483" i="19" a="1"/>
  <c r="B124" i="19" a="1"/>
  <c r="O985" i="19" a="1"/>
  <c r="O323" i="19" a="1"/>
  <c r="M546" i="19" a="1"/>
  <c r="I68" i="19" a="1"/>
  <c r="I1005" i="19" a="1"/>
  <c r="O723" i="19" a="1"/>
  <c r="N451" i="19" a="1"/>
  <c r="N1078" i="19" a="1"/>
  <c r="O512" i="19" a="1"/>
  <c r="H170" i="19" a="1"/>
  <c r="N214" i="19" a="1"/>
  <c r="I633" i="19" a="1"/>
  <c r="O527" i="19" a="1"/>
  <c r="M575" i="19" a="1"/>
  <c r="H799" i="19" a="1"/>
  <c r="H1058" i="19" a="1"/>
  <c r="N995" i="19" a="1"/>
  <c r="G693" i="19" a="1"/>
  <c r="I820" i="19" a="1"/>
  <c r="M942" i="19" a="1"/>
  <c r="A639" i="19" a="1"/>
  <c r="O1118" i="19" a="1"/>
  <c r="G1141" i="19" a="1"/>
  <c r="I312" i="19" a="1"/>
  <c r="H502" i="19" a="1"/>
  <c r="I917" i="19" a="1"/>
  <c r="M142" i="19" a="1"/>
  <c r="M154" i="19" a="1"/>
  <c r="G424" i="19" a="1"/>
  <c r="N521" i="19" a="1"/>
  <c r="M422" i="19" a="1"/>
  <c r="N1135" i="19" a="1"/>
  <c r="I740" i="19" a="1"/>
  <c r="O145" i="19" a="1"/>
  <c r="O41" i="19" a="1"/>
  <c r="H541" i="19" a="1"/>
  <c r="M685" i="19" a="1"/>
  <c r="M1151" i="19" a="1"/>
  <c r="H970" i="19" a="1"/>
  <c r="O903" i="19" a="1"/>
  <c r="M76" i="19" a="1"/>
  <c r="N292" i="19" a="1"/>
  <c r="O916" i="19" a="1"/>
  <c r="G820" i="19" a="1"/>
  <c r="M743" i="19" a="1"/>
  <c r="O563" i="19" a="1"/>
  <c r="I470" i="19" a="1"/>
  <c r="M557" i="19" a="1"/>
  <c r="O702" i="19" a="1"/>
  <c r="H580" i="19" a="1"/>
  <c r="O631" i="19" a="1"/>
  <c r="M253" i="19" a="1"/>
  <c r="H1131" i="19" a="1"/>
  <c r="O853" i="19" a="1"/>
  <c r="G1035" i="19" a="1"/>
  <c r="I604" i="19" a="1"/>
  <c r="G25" i="19" a="1"/>
  <c r="G189" i="19" a="1"/>
  <c r="O848" i="19" a="1"/>
  <c r="M843" i="19" a="1"/>
  <c r="H815" i="19" a="1"/>
  <c r="M887" i="19" a="1"/>
  <c r="O1061" i="19" a="1"/>
  <c r="M947" i="19" a="1"/>
  <c r="O906" i="19" a="1"/>
  <c r="N959" i="19" a="1"/>
  <c r="H924" i="19" a="1"/>
  <c r="G888" i="19" a="1"/>
  <c r="H746" i="19" a="1"/>
  <c r="I1155" i="19" a="1"/>
  <c r="I216" i="19" a="1"/>
  <c r="N339" i="19" a="1"/>
  <c r="H1135" i="19" a="1"/>
  <c r="C575" i="19" a="1"/>
  <c r="N968" i="19" a="1"/>
  <c r="C540" i="19" a="1"/>
  <c r="G1019" i="19" a="1"/>
  <c r="G1133" i="19" a="1"/>
  <c r="O1104" i="19" a="1"/>
  <c r="I652" i="19" a="1"/>
  <c r="H982" i="19" a="1"/>
  <c r="N435" i="19" a="1"/>
  <c r="M1024" i="19" a="1"/>
  <c r="B496" i="19" a="1"/>
  <c r="I654" i="19" a="1"/>
  <c r="H718" i="19" a="1"/>
  <c r="I1025" i="19" a="1"/>
  <c r="M153" i="19" a="1"/>
  <c r="O283" i="19" a="1"/>
  <c r="O490" i="19" a="1"/>
  <c r="G119" i="19" a="1"/>
  <c r="I704" i="19" a="1"/>
  <c r="M964" i="19" a="1"/>
  <c r="G779" i="19" a="1"/>
  <c r="F1086" i="19" a="1"/>
  <c r="H533" i="19" a="1"/>
  <c r="M522" i="19" a="1"/>
  <c r="H986" i="19" a="1"/>
  <c r="B344" i="19" a="1"/>
  <c r="H1113" i="19" a="1"/>
  <c r="G753" i="19" a="1"/>
  <c r="G836" i="19" a="1"/>
  <c r="H731" i="19" a="1"/>
  <c r="M1149" i="19" a="1"/>
  <c r="C237" i="19" a="1"/>
  <c r="O278" i="19" a="1"/>
  <c r="N626" i="19" a="1"/>
  <c r="N601" i="19" a="1"/>
  <c r="H530" i="19" a="1"/>
  <c r="I1104" i="19" a="1"/>
  <c r="G131" i="19" a="1"/>
  <c r="G482" i="19" a="1"/>
  <c r="H1118" i="19" a="1"/>
  <c r="C1064" i="19" a="1"/>
  <c r="N337" i="19" a="1"/>
  <c r="C318" i="19" a="1"/>
  <c r="C1134" i="19" a="1"/>
  <c r="I1053" i="19" a="1"/>
  <c r="I360" i="19" a="1"/>
  <c r="N71" i="19" a="1"/>
  <c r="M987" i="19" a="1"/>
  <c r="H197" i="19" a="1"/>
  <c r="N727" i="19" a="1"/>
  <c r="N674" i="19" a="1"/>
  <c r="M451" i="19" a="1"/>
  <c r="G78" i="19" a="1"/>
  <c r="H612" i="19" a="1"/>
  <c r="I823" i="19" a="1"/>
  <c r="N80" i="19" a="1"/>
  <c r="M1116" i="19" a="1"/>
  <c r="I506" i="19" a="1"/>
  <c r="H626" i="19" a="1"/>
  <c r="M957" i="19" a="1"/>
  <c r="M619" i="19" a="1"/>
  <c r="H267" i="19" a="1"/>
  <c r="M304" i="19" a="1"/>
  <c r="H489" i="19" a="1"/>
  <c r="G168" i="19" a="1"/>
  <c r="I1042" i="19" a="1"/>
  <c r="H954" i="19" a="1"/>
  <c r="C988" i="19" a="1"/>
  <c r="M1018" i="19" a="1"/>
  <c r="M814" i="19" a="1"/>
  <c r="N76" i="19" a="1"/>
  <c r="I39" i="19" a="1"/>
  <c r="M1137" i="19" a="1"/>
  <c r="H99" i="19" a="1"/>
  <c r="I237" i="19" a="1"/>
  <c r="H887" i="19" a="1"/>
  <c r="M475" i="19" a="1"/>
  <c r="C541" i="19" a="1"/>
  <c r="H914" i="19" a="1"/>
  <c r="N90" i="19" a="1"/>
  <c r="N508" i="19" a="1"/>
  <c r="M366" i="19" a="1"/>
  <c r="G657" i="19" a="1"/>
  <c r="O623" i="19" a="1"/>
  <c r="O20" i="19" a="1"/>
  <c r="I223" i="19" a="1"/>
  <c r="M133" i="19" a="1"/>
  <c r="A158" i="19" a="1"/>
  <c r="I543" i="19" a="1"/>
  <c r="I568" i="19" a="1"/>
  <c r="O731" i="19" a="1"/>
  <c r="K716" i="19" a="1"/>
  <c r="N362" i="19" a="1"/>
  <c r="N691" i="19" a="1"/>
  <c r="G765" i="19" a="1"/>
  <c r="N496" i="19" a="1"/>
  <c r="O746" i="19" a="1"/>
  <c r="C211" i="19" a="1"/>
  <c r="C206" i="19" a="1"/>
  <c r="O734" i="19" a="1"/>
  <c r="H1088" i="19" a="1"/>
  <c r="M940" i="19" a="1"/>
  <c r="G893" i="19" a="1"/>
  <c r="H1090" i="19" a="1"/>
  <c r="G904" i="19" a="1"/>
  <c r="N552" i="19" a="1"/>
  <c r="I261" i="19" a="1"/>
  <c r="N1131" i="19" a="1"/>
  <c r="H439" i="19" a="1"/>
  <c r="O155" i="19" a="1"/>
  <c r="I264" i="19" a="1"/>
  <c r="G153" i="19" a="1"/>
  <c r="N1045" i="19" a="1"/>
  <c r="N634" i="19" a="1"/>
  <c r="O101" i="19" a="1"/>
  <c r="M1026" i="19" a="1"/>
  <c r="H200" i="19" a="1"/>
  <c r="I378" i="19" a="1"/>
  <c r="O1117" i="19" a="1"/>
  <c r="N461" i="19" a="1"/>
  <c r="I1052" i="19" a="1"/>
  <c r="H697" i="19" a="1"/>
  <c r="H101" i="19" a="1"/>
  <c r="H1133" i="19" a="1"/>
  <c r="I766" i="19" a="1"/>
  <c r="C1094" i="19" a="1"/>
  <c r="I922" i="19" a="1"/>
  <c r="K1086" i="19" a="1"/>
  <c r="G812" i="19" a="1"/>
  <c r="O387" i="19" a="1"/>
  <c r="O142" i="19" a="1"/>
  <c r="O1095" i="19" a="1"/>
  <c r="M786" i="19" a="1"/>
  <c r="O908" i="19" a="1"/>
  <c r="C282" i="19" a="1"/>
  <c r="O187" i="19" a="1"/>
  <c r="O705" i="19" a="1"/>
  <c r="I1082" i="19" a="1"/>
  <c r="G963" i="19" a="1"/>
  <c r="N708" i="19" a="1"/>
  <c r="O30" i="19" a="1"/>
  <c r="O1106" i="19" a="1"/>
  <c r="O1000" i="19" a="1"/>
  <c r="I126" i="19" a="1"/>
  <c r="O601" i="19" a="1"/>
  <c r="O822" i="19" a="1"/>
  <c r="G782" i="19" a="1"/>
  <c r="G1026" i="19" a="1"/>
  <c r="N943" i="19" a="1"/>
  <c r="M1142" i="19" a="1"/>
  <c r="G932" i="19" a="1"/>
  <c r="O923" i="19" a="1"/>
  <c r="N336" i="19" a="1"/>
  <c r="C507" i="19" a="1"/>
  <c r="O700" i="19" a="1"/>
  <c r="H1082" i="19" a="1"/>
  <c r="M1127" i="19" a="1"/>
  <c r="O72" i="19" a="1"/>
  <c r="C804" i="19" a="1"/>
  <c r="O1039" i="19" a="1"/>
  <c r="G1048" i="19" a="1"/>
  <c r="O120" i="19" a="1"/>
  <c r="G452" i="19" a="1"/>
  <c r="M1037" i="19" a="1"/>
  <c r="C683" i="19" a="1"/>
  <c r="H712" i="19" a="1"/>
  <c r="H371" i="19" a="1"/>
  <c r="N1005" i="19" a="1"/>
  <c r="C725" i="19" a="1"/>
  <c r="M1090" i="19" a="1"/>
  <c r="M524" i="19" a="1"/>
  <c r="C421" i="19" a="1"/>
  <c r="G698" i="19" a="1"/>
  <c r="I1034" i="19" a="1"/>
  <c r="C130" i="19" a="1"/>
  <c r="O659" i="19" a="1"/>
  <c r="O1059" i="19" a="1"/>
  <c r="O616" i="19" a="1"/>
  <c r="H756" i="19" a="1"/>
  <c r="N177" i="19" a="1"/>
  <c r="M216" i="19" a="1"/>
  <c r="N807" i="19" a="1"/>
  <c r="N783" i="19" a="1"/>
  <c r="G829" i="19" a="1"/>
  <c r="M666" i="19" a="1"/>
  <c r="I396" i="19" a="1"/>
  <c r="O485" i="19" a="1"/>
  <c r="H869" i="19" a="1"/>
  <c r="I179" i="19" a="1"/>
  <c r="H788" i="19" a="1"/>
  <c r="O948" i="19" a="1"/>
  <c r="I1037" i="19" a="1"/>
  <c r="A47" i="19" a="1"/>
  <c r="G1041" i="19" a="1"/>
  <c r="H911" i="19" a="1"/>
  <c r="N668" i="19" a="1"/>
  <c r="N242" i="19" a="1"/>
  <c r="H603" i="19" a="1"/>
  <c r="H353" i="19" a="1"/>
  <c r="M844" i="19" a="1"/>
  <c r="H58" i="19" a="1"/>
  <c r="H1103" i="19" a="1"/>
  <c r="O210" i="19" a="1"/>
  <c r="M607" i="19" a="1"/>
  <c r="O872" i="19" a="1"/>
  <c r="G181" i="19" a="1"/>
  <c r="I724" i="19" a="1"/>
  <c r="I300" i="19" a="1"/>
  <c r="I625" i="19" a="1"/>
  <c r="N263" i="19" a="1"/>
  <c r="N252" i="19" a="1"/>
  <c r="M460" i="19" a="1"/>
  <c r="O926" i="19" a="1"/>
  <c r="B826" i="19" a="1"/>
  <c r="G314" i="19" a="1"/>
  <c r="N40" i="19" a="1"/>
  <c r="C89" i="19" a="1"/>
  <c r="G996" i="19" a="1"/>
  <c r="I651" i="19" a="1"/>
  <c r="B714" i="19" a="1"/>
  <c r="O313" i="19" a="1"/>
  <c r="M338" i="19" a="1"/>
  <c r="M1118" i="19" a="1"/>
  <c r="M930" i="19" a="1"/>
  <c r="M1034" i="19" a="1"/>
  <c r="N966" i="19" a="1"/>
  <c r="N886" i="19" a="1"/>
  <c r="O709" i="19" a="1"/>
  <c r="I818" i="19" a="1"/>
  <c r="M508" i="19" a="1"/>
  <c r="N260" i="19" a="1"/>
  <c r="M890" i="19" a="1"/>
  <c r="N891" i="19" a="1"/>
  <c r="A753" i="19" a="1"/>
  <c r="I672" i="19" a="1"/>
  <c r="G744" i="19" a="1"/>
  <c r="N582" i="19" a="1"/>
  <c r="O742" i="19" a="1"/>
  <c r="O543" i="19" a="1"/>
  <c r="H334" i="19" a="1"/>
  <c r="B903" i="19" a="1"/>
  <c r="H1077" i="19" a="1"/>
  <c r="G579" i="19" a="1"/>
  <c r="G27" i="19" a="1"/>
  <c r="H831" i="19" a="1"/>
  <c r="M889" i="19" a="1"/>
  <c r="N276" i="19" a="1"/>
  <c r="I1119" i="19" a="1"/>
  <c r="O1088" i="19" a="1"/>
  <c r="G770" i="19" a="1"/>
  <c r="B1084" i="19" a="1"/>
  <c r="N1075" i="19" a="1"/>
  <c r="I938" i="19" a="1"/>
  <c r="G998" i="19" a="1"/>
  <c r="G1138" i="19" a="1"/>
  <c r="B644" i="19" a="1"/>
  <c r="M349" i="19" a="1"/>
  <c r="M1133" i="19" a="1"/>
  <c r="G1030" i="19" a="1"/>
  <c r="I845" i="19" a="1"/>
  <c r="I648" i="19" a="1"/>
  <c r="O768" i="19" a="1"/>
  <c r="G853" i="19" a="1"/>
  <c r="I793" i="19" a="1"/>
  <c r="G322" i="19" a="1"/>
  <c r="M1056" i="19" a="1"/>
  <c r="G802" i="19" a="1"/>
  <c r="G564" i="19" a="1"/>
  <c r="I1006" i="19" a="1"/>
  <c r="M711" i="19" a="1"/>
  <c r="G605" i="19" a="1"/>
  <c r="N185" i="19" a="1"/>
  <c r="H634" i="19" a="1"/>
  <c r="H782" i="19" a="1"/>
  <c r="O486" i="19" a="1"/>
  <c r="M737" i="19" a="1"/>
  <c r="B382" i="19" a="1"/>
  <c r="G302" i="19" a="1"/>
  <c r="I320" i="19" a="1"/>
  <c r="I289" i="19" a="1"/>
  <c r="H16" i="19" a="1"/>
  <c r="C320" i="19" a="1"/>
  <c r="G850" i="19" a="1"/>
  <c r="M948" i="19" a="1"/>
  <c r="G243" i="19" a="1"/>
  <c r="I1040" i="19" a="1"/>
  <c r="M282" i="19" a="1"/>
  <c r="G378" i="19" a="1"/>
  <c r="M410" i="19" a="1"/>
  <c r="I1063" i="19" a="1"/>
  <c r="M914" i="19" a="1"/>
  <c r="G506" i="19" a="1"/>
  <c r="N683" i="19" a="1"/>
  <c r="G1134" i="19" a="1"/>
  <c r="B940" i="19" a="1"/>
  <c r="N859" i="19" a="1"/>
  <c r="M725" i="19" a="1"/>
  <c r="C28" i="19" a="1"/>
  <c r="G1148" i="19" a="1"/>
  <c r="B422" i="19" a="1"/>
  <c r="C51" i="19" a="1"/>
  <c r="G405" i="19" a="1"/>
  <c r="G578" i="19" a="1"/>
  <c r="I527" i="19" a="1"/>
  <c r="M998" i="19" a="1"/>
  <c r="M698" i="19" a="1"/>
  <c r="N887" i="19" a="1"/>
  <c r="M651" i="19" a="1"/>
  <c r="M448" i="19" a="1"/>
  <c r="M488" i="19" a="1"/>
  <c r="O653" i="19" a="1"/>
  <c r="I465" i="19" a="1"/>
  <c r="O1030" i="19" a="1"/>
  <c r="M1079" i="19" a="1"/>
  <c r="M1093" i="19" a="1"/>
  <c r="B566" i="19" a="1"/>
  <c r="H359" i="19" a="1"/>
  <c r="I764" i="19" a="1"/>
  <c r="M986" i="19" a="1"/>
  <c r="O797" i="19" a="1"/>
  <c r="M638" i="19" a="1"/>
  <c r="N587" i="19" a="1"/>
  <c r="N836" i="19" a="1"/>
  <c r="G635" i="19" a="1"/>
  <c r="H575" i="19" a="1"/>
  <c r="M961" i="19" a="1"/>
  <c r="H951" i="19" a="1"/>
  <c r="N699" i="19" a="1"/>
  <c r="H247" i="19" a="1"/>
  <c r="I504" i="19" a="1"/>
  <c r="I918" i="19" a="1"/>
  <c r="O1041" i="19" a="1"/>
  <c r="I778" i="19" a="1"/>
  <c r="G422" i="19" a="1"/>
  <c r="O38" i="19" a="1"/>
  <c r="I17" i="19" a="1"/>
  <c r="G729" i="19" a="1"/>
  <c r="M78" i="19" a="1"/>
  <c r="G944" i="19" a="1"/>
  <c r="O448" i="19" a="1"/>
  <c r="H964" i="19" a="1"/>
  <c r="C942" i="19" a="1"/>
  <c r="H832" i="19" a="1"/>
  <c r="I287" i="19" a="1"/>
  <c r="H588" i="19" a="1"/>
  <c r="G689" i="19" a="1"/>
  <c r="H1005" i="19" a="1"/>
  <c r="N595" i="19" a="1"/>
  <c r="I476" i="19" a="1"/>
  <c r="G842" i="19" a="1"/>
  <c r="G394" i="19" a="1"/>
  <c r="I781" i="19" a="1"/>
  <c r="I987" i="19" a="1"/>
  <c r="N588" i="19" a="1"/>
  <c r="H485" i="19" a="1"/>
  <c r="M512" i="19" a="1"/>
  <c r="O611" i="19" a="1"/>
  <c r="L87" i="19" a="1"/>
  <c r="G172" i="19" a="1"/>
  <c r="N474" i="19" a="1"/>
  <c r="H1029" i="19" a="1"/>
  <c r="M102" i="19" a="1"/>
  <c r="H53" i="19" a="1"/>
  <c r="G827" i="19" a="1"/>
  <c r="H1110" i="19" a="1"/>
  <c r="H276" i="19" a="1"/>
  <c r="H780" i="19" a="1"/>
  <c r="M731" i="19" a="1"/>
  <c r="I842" i="19" a="1"/>
  <c r="M768" i="19" a="1"/>
  <c r="N655" i="19" a="1"/>
  <c r="H773" i="19" a="1"/>
  <c r="H781" i="19" a="1"/>
  <c r="C914" i="19" a="1"/>
  <c r="L531" i="19" a="1"/>
  <c r="H446" i="19" a="1"/>
  <c r="G808" i="19" a="1"/>
  <c r="M1035" i="19" a="1"/>
  <c r="I664" i="19" a="1"/>
  <c r="N1076" i="19" a="1"/>
  <c r="H89" i="19" a="1"/>
  <c r="I983" i="19" a="1"/>
  <c r="N928" i="19" a="1"/>
  <c r="H790" i="19" a="1"/>
  <c r="G86" i="19" a="1"/>
  <c r="N970" i="19" a="1"/>
  <c r="O59" i="19" a="1"/>
  <c r="I1003" i="19" a="1"/>
  <c r="H1023" i="19" a="1"/>
  <c r="M1082" i="19" a="1"/>
  <c r="N543" i="19" a="1"/>
  <c r="H667" i="19" a="1"/>
  <c r="N175" i="19" a="1"/>
  <c r="N768" i="19" a="1"/>
  <c r="M194" i="19" a="1"/>
  <c r="M631" i="19" a="1"/>
  <c r="M1081" i="19" a="1"/>
  <c r="H212" i="19" a="1"/>
  <c r="B385" i="19" a="1"/>
  <c r="I803" i="19" a="1"/>
  <c r="H789" i="19" a="1"/>
  <c r="H228" i="19" a="1"/>
  <c r="G1156" i="19" a="1"/>
  <c r="C432" i="19" a="1"/>
  <c r="B641" i="19" a="1"/>
  <c r="I1076" i="19" a="1"/>
  <c r="N104" i="19" a="1"/>
  <c r="O389" i="19" a="1"/>
  <c r="I447" i="19" a="1"/>
  <c r="I185" i="19" a="1"/>
  <c r="H581" i="19" a="1"/>
  <c r="I703" i="19" a="1"/>
  <c r="O442" i="19" a="1"/>
  <c r="I388" i="19" a="1"/>
  <c r="N580" i="19" a="1"/>
  <c r="N390" i="19" a="1"/>
  <c r="I977" i="19" a="1"/>
  <c r="H601" i="19" a="1"/>
  <c r="N760" i="19" a="1"/>
  <c r="M760" i="19" a="1"/>
  <c r="G699" i="19" a="1"/>
  <c r="G147" i="19" a="1"/>
  <c r="H757" i="19" a="1"/>
  <c r="H405" i="19" a="1"/>
  <c r="G517" i="19" a="1"/>
  <c r="H315" i="19" a="1"/>
  <c r="H535" i="19" a="1"/>
  <c r="G999" i="19" a="1"/>
  <c r="H728" i="19" a="1"/>
  <c r="M547" i="19" a="1"/>
  <c r="G1113" i="19" a="1"/>
  <c r="O984" i="19" a="1"/>
  <c r="N636" i="19" a="1"/>
  <c r="I986" i="19" a="1"/>
  <c r="I63" i="19" a="1"/>
  <c r="N83" i="19" a="1"/>
  <c r="M596" i="19" a="1"/>
  <c r="G45" i="19" a="1"/>
  <c r="H221" i="19" a="1"/>
  <c r="I720" i="19" a="1"/>
  <c r="M319" i="19" a="1"/>
  <c r="M543" i="19" a="1"/>
  <c r="C100" i="19" a="1"/>
  <c r="I723" i="19" a="1"/>
  <c r="H889" i="19" a="1"/>
  <c r="M525" i="19" a="1"/>
  <c r="I508" i="19" a="1"/>
  <c r="G1057" i="19" a="1"/>
  <c r="I817" i="19" a="1"/>
  <c r="O464" i="19" a="1"/>
  <c r="C655" i="19" a="1"/>
  <c r="M22" i="19" a="1"/>
  <c r="G497" i="19" a="1"/>
  <c r="M1028" i="19" a="1"/>
  <c r="C871" i="19" a="1"/>
  <c r="C131" i="19" a="1"/>
  <c r="O1055" i="19" a="1"/>
  <c r="G289" i="19" a="1"/>
  <c r="N539" i="19" a="1"/>
  <c r="M293" i="19" a="1"/>
  <c r="H487" i="19" a="1"/>
  <c r="G597" i="19" a="1"/>
  <c r="G969" i="19" a="1"/>
  <c r="I693" i="19" a="1"/>
  <c r="C310" i="19" a="1"/>
  <c r="I631" i="19" a="1"/>
  <c r="O738" i="19" a="1"/>
  <c r="N778" i="19" a="1"/>
  <c r="O845" i="19" a="1"/>
  <c r="H151" i="19" a="1"/>
  <c r="A306" i="19" a="1"/>
  <c r="G553" i="19" a="1"/>
  <c r="I473" i="19" a="1"/>
  <c r="G1105" i="19" a="1"/>
  <c r="G558" i="19" a="1"/>
  <c r="G690" i="19" a="1"/>
  <c r="H219" i="19" a="1"/>
  <c r="O961" i="19" a="1"/>
  <c r="M441" i="19" a="1"/>
  <c r="O721" i="19" a="1"/>
  <c r="G70" i="19" a="1"/>
  <c r="G329" i="19" a="1"/>
  <c r="H1105" i="19" a="1"/>
  <c r="M730" i="19" a="1"/>
  <c r="O575" i="19" a="1"/>
  <c r="H568" i="19" a="1"/>
  <c r="H591" i="19" a="1"/>
  <c r="N480" i="19" a="1"/>
  <c r="G738" i="19" a="1"/>
  <c r="H1018" i="19" a="1"/>
  <c r="G1002" i="19" a="1"/>
  <c r="M809" i="19" a="1"/>
  <c r="H857" i="19" a="1"/>
  <c r="I201" i="19" a="1"/>
  <c r="H582" i="19" a="1"/>
  <c r="H1001" i="19" a="1"/>
  <c r="G259" i="19" a="1"/>
  <c r="H470" i="19" a="1"/>
  <c r="G207" i="19" a="1"/>
  <c r="N689" i="19" a="1"/>
  <c r="H1126" i="19" a="1"/>
  <c r="N704" i="19" a="1"/>
  <c r="N1142" i="19" a="1"/>
  <c r="I334" i="19" a="1"/>
  <c r="I851" i="19" a="1"/>
  <c r="O1036" i="19" a="1"/>
  <c r="O154" i="19" a="1"/>
  <c r="O230" i="19" a="1"/>
  <c r="H674" i="19" a="1"/>
  <c r="N986" i="19" a="1"/>
  <c r="O963" i="19" a="1"/>
  <c r="N618" i="19" a="1"/>
  <c r="I258" i="19" a="1"/>
  <c r="G886" i="19" a="1"/>
  <c r="I272" i="19" a="1"/>
  <c r="M928" i="19" a="1"/>
  <c r="C651" i="19" a="1"/>
  <c r="I874" i="19" a="1"/>
  <c r="O1128" i="19" a="1"/>
  <c r="H794" i="19" a="1"/>
  <c r="I702" i="19" a="1"/>
  <c r="G889" i="19" a="1"/>
  <c r="O583" i="19" a="1"/>
  <c r="M403" i="19" a="1"/>
  <c r="C357" i="19" a="1"/>
  <c r="G781" i="19" a="1"/>
  <c r="I682" i="19" a="1"/>
  <c r="N402" i="19" a="1"/>
  <c r="I880" i="19" a="1"/>
  <c r="O502" i="19" a="1"/>
  <c r="I990" i="19" a="1"/>
  <c r="O541" i="19" a="1"/>
  <c r="M728" i="19" a="1"/>
  <c r="G723" i="19" a="1"/>
  <c r="O176" i="19" a="1"/>
  <c r="I804" i="19" a="1"/>
  <c r="M589" i="19" a="1"/>
  <c r="I926" i="19" a="1"/>
  <c r="C27" i="19" a="1"/>
  <c r="N574" i="19" a="1"/>
  <c r="O410" i="19" a="1"/>
  <c r="M819" i="19" a="1"/>
  <c r="H733" i="19" a="1"/>
  <c r="M784" i="19" a="1"/>
  <c r="I1020" i="19" a="1"/>
  <c r="N608" i="19" a="1"/>
  <c r="G716" i="19" a="1"/>
  <c r="O675" i="19" a="1"/>
  <c r="N1091" i="19" a="1"/>
  <c r="I870" i="19" a="1"/>
  <c r="I1153" i="19" a="1"/>
  <c r="G213" i="19" a="1"/>
  <c r="I503" i="19" a="1"/>
  <c r="O982" i="19" a="1"/>
  <c r="M740" i="19" a="1"/>
  <c r="N487" i="19" a="1"/>
  <c r="N770" i="19" a="1"/>
  <c r="N1024" i="19" a="1"/>
  <c r="H966" i="19" a="1"/>
  <c r="G146" i="19" a="1"/>
  <c r="I222" i="19" a="1"/>
  <c r="O725" i="19" a="1"/>
  <c r="O166" i="19" a="1"/>
  <c r="G733" i="19" a="1"/>
  <c r="N285" i="19" a="1"/>
  <c r="G774" i="19" a="1"/>
  <c r="H1032" i="19" a="1"/>
  <c r="N584" i="19" a="1"/>
  <c r="H356" i="19" a="1"/>
  <c r="N471" i="19" a="1"/>
  <c r="O1148" i="19" a="1"/>
  <c r="I67" i="19" a="1"/>
  <c r="O208" i="19" a="1"/>
  <c r="H409" i="19" a="1"/>
  <c r="K827" i="19" a="1"/>
  <c r="H590" i="19" a="1"/>
  <c r="H693" i="19" a="1"/>
  <c r="H703" i="19" a="1"/>
  <c r="N1057" i="19" a="1"/>
  <c r="G1104" i="19" a="1"/>
  <c r="O1075" i="19" a="1"/>
  <c r="I866" i="19" a="1"/>
  <c r="B715" i="19" a="1"/>
  <c r="I801" i="19" a="1"/>
  <c r="M63" i="19" a="1"/>
  <c r="I1007" i="19" a="1"/>
  <c r="N728" i="19" a="1"/>
  <c r="H981" i="19" a="1"/>
  <c r="H557" i="19" a="1"/>
  <c r="G938" i="19" a="1"/>
  <c r="M16" i="19" a="1"/>
  <c r="I782" i="19" a="1"/>
  <c r="N694" i="19" a="1"/>
  <c r="H178" i="19" a="1"/>
  <c r="G442" i="19" a="1"/>
  <c r="N1052" i="19" a="1"/>
  <c r="H578" i="19" a="1"/>
  <c r="I994" i="19" a="1"/>
  <c r="C761" i="19" a="1"/>
  <c r="G876" i="19" a="1"/>
  <c r="G430" i="19" a="1"/>
  <c r="I526" i="19" a="1"/>
  <c r="C97" i="19" a="1"/>
  <c r="N526" i="19" a="1"/>
  <c r="C1023" i="19" a="1"/>
  <c r="H407" i="19" a="1"/>
  <c r="C239" i="19" a="1"/>
  <c r="I951" i="19" a="1"/>
  <c r="H192" i="19" a="1"/>
  <c r="I910" i="19" a="1"/>
  <c r="M781" i="19" a="1"/>
  <c r="O613" i="19" a="1"/>
  <c r="O540" i="19" a="1"/>
  <c r="I354" i="19" a="1"/>
  <c r="N977" i="19" a="1"/>
  <c r="G261" i="19" a="1"/>
  <c r="M510" i="19" a="1"/>
  <c r="I1032" i="19" a="1"/>
  <c r="N157" i="19" a="1"/>
  <c r="G209" i="19" a="1"/>
  <c r="O340" i="19" a="1"/>
  <c r="H12" i="19" a="1"/>
  <c r="I691" i="19" a="1"/>
  <c r="C722" i="19" a="1"/>
  <c r="I375" i="19" a="1"/>
  <c r="M858" i="19" a="1"/>
  <c r="G691" i="19" a="1"/>
  <c r="I830" i="19" a="1"/>
  <c r="M286" i="19" a="1"/>
  <c r="I689" i="19" a="1"/>
  <c r="N942" i="19" a="1"/>
  <c r="O1018" i="19" a="1"/>
  <c r="M1064" i="19" a="1"/>
  <c r="H1084" i="19" a="1"/>
  <c r="M646" i="19" a="1"/>
  <c r="O378" i="19" a="1"/>
  <c r="I188" i="19" a="1"/>
  <c r="O1044" i="19" a="1"/>
  <c r="M1067" i="19" a="1"/>
  <c r="N1137" i="19" a="1"/>
  <c r="O365" i="19" a="1"/>
  <c r="N169" i="19" a="1"/>
  <c r="H552" i="19" a="1"/>
  <c r="O250" i="19" a="1"/>
  <c r="N247" i="19" a="1"/>
  <c r="O203" i="19" a="1"/>
  <c r="N99" i="19" a="1"/>
  <c r="H740" i="19" a="1"/>
  <c r="H621" i="19" a="1"/>
  <c r="A383" i="19" a="1"/>
  <c r="O429" i="19" a="1"/>
  <c r="G330" i="19" a="1"/>
  <c r="N1039" i="19" a="1"/>
  <c r="H715" i="19" a="1"/>
  <c r="O834" i="19" a="1"/>
  <c r="O489" i="19" a="1"/>
  <c r="G687" i="19" a="1"/>
  <c r="M867" i="19" a="1"/>
  <c r="N26" i="19" a="1"/>
  <c r="M672" i="19" a="1"/>
  <c r="B1049" i="19" a="1"/>
  <c r="I963" i="19" a="1"/>
  <c r="G488" i="19" a="1"/>
  <c r="N776" i="19" a="1"/>
  <c r="H860" i="19" a="1"/>
  <c r="I587" i="19" a="1"/>
  <c r="H466" i="19" a="1"/>
  <c r="N592" i="19" a="1"/>
  <c r="I279" i="19" a="1"/>
  <c r="H725" i="19" a="1"/>
  <c r="O276" i="19" a="1"/>
  <c r="N408" i="19" a="1"/>
  <c r="N115" i="19" a="1"/>
  <c r="H65" i="19" a="1"/>
  <c r="H919" i="19" a="1"/>
  <c r="O810" i="19" a="1"/>
  <c r="H961" i="19" a="1"/>
  <c r="G920" i="19" a="1"/>
  <c r="I1081" i="19" a="1"/>
  <c r="H734" i="19" a="1"/>
  <c r="I767" i="19" a="1"/>
  <c r="O957" i="19" a="1"/>
  <c r="M151" i="19" a="1"/>
  <c r="C60" i="19" a="1"/>
  <c r="C539" i="19" a="1"/>
  <c r="G363" i="19" a="1"/>
  <c r="A716" i="19" a="1"/>
  <c r="H1010" i="19" a="1"/>
  <c r="I721" i="19" a="1"/>
  <c r="C686" i="19" a="1"/>
  <c r="N1097" i="19" a="1"/>
  <c r="M1138" i="19" a="1"/>
  <c r="G187" i="19" a="1"/>
  <c r="I609" i="19" a="1"/>
  <c r="O929" i="19" a="1"/>
  <c r="G1096" i="19" a="1"/>
  <c r="M670" i="19" a="1"/>
  <c r="I250" i="19" a="1"/>
  <c r="M872" i="19" a="1"/>
  <c r="M1153" i="19" a="1"/>
  <c r="M331" i="19" a="1"/>
  <c r="N1125" i="19" a="1"/>
  <c r="O60" i="19" a="1"/>
  <c r="G875" i="19" a="1"/>
  <c r="G874" i="19" a="1"/>
  <c r="H1040" i="19" a="1"/>
  <c r="M266" i="19" a="1"/>
  <c r="N1018" i="19" a="1"/>
  <c r="G652" i="19" a="1"/>
  <c r="I1148" i="19" a="1"/>
  <c r="H867" i="19" a="1"/>
  <c r="N609" i="19" a="1"/>
  <c r="G539" i="19" a="1"/>
  <c r="N1126" i="19" a="1"/>
  <c r="N564" i="19" a="1"/>
  <c r="L124" i="19" a="1"/>
  <c r="O771" i="19" a="1"/>
  <c r="B790" i="19" a="1"/>
  <c r="O179" i="19" a="1"/>
  <c r="I706" i="19" a="1"/>
  <c r="H352" i="19" a="1"/>
  <c r="H145" i="19" a="1"/>
  <c r="N103" i="19" a="1"/>
  <c r="I357" i="19" a="1"/>
  <c r="I211" i="19" a="1"/>
  <c r="N358" i="19" a="1"/>
  <c r="I442" i="19" a="1"/>
  <c r="O920" i="19" a="1"/>
  <c r="I338" i="19" a="1"/>
  <c r="I612" i="19" a="1"/>
  <c r="O434" i="19" a="1"/>
  <c r="I77" i="19" a="1"/>
  <c r="M963" i="19" a="1"/>
  <c r="I1094" i="19" a="1"/>
  <c r="O868" i="19" a="1"/>
  <c r="O1133" i="19" a="1"/>
  <c r="I579" i="19" a="1"/>
  <c r="I908" i="19" a="1"/>
  <c r="H695" i="19" a="1"/>
  <c r="M337" i="19" a="1"/>
  <c r="G91" i="19" a="1"/>
  <c r="O223" i="19" a="1"/>
  <c r="M912" i="19" a="1"/>
  <c r="H32" i="19" a="1"/>
  <c r="M424" i="19" a="1"/>
  <c r="M1038" i="19" a="1"/>
  <c r="M616" i="19" a="1"/>
  <c r="G116" i="19" a="1"/>
  <c r="C798" i="19" a="1"/>
  <c r="M473" i="19" a="1"/>
  <c r="G1106" i="19" a="1"/>
  <c r="N555" i="19" a="1"/>
  <c r="G194" i="19" a="1"/>
  <c r="M913" i="19" a="1"/>
  <c r="O338" i="19" a="1"/>
  <c r="O913" i="19" a="1"/>
  <c r="M813" i="19" a="1"/>
  <c r="M1109" i="19" a="1"/>
  <c r="N822" i="19" a="1"/>
  <c r="H1100" i="19" a="1"/>
  <c r="O401" i="19" a="1"/>
  <c r="C247" i="19" a="1"/>
  <c r="B1010" i="19" a="1"/>
  <c r="C911" i="19" a="1"/>
  <c r="I671" i="19" a="1"/>
  <c r="M1146" i="19" a="1"/>
  <c r="H946" i="19" a="1"/>
  <c r="I525" i="19" a="1"/>
  <c r="G90" i="19" a="1"/>
  <c r="G1023" i="19" a="1"/>
  <c r="C656" i="19" a="1"/>
  <c r="H329" i="19" a="1"/>
  <c r="G1061" i="19" a="1"/>
  <c r="O299" i="19" a="1"/>
  <c r="I695" i="19" a="1"/>
  <c r="G277" i="19" a="1"/>
  <c r="M453" i="19" a="1"/>
  <c r="I215" i="19" a="1"/>
  <c r="N920" i="19" a="1"/>
  <c r="G366" i="19" a="1"/>
  <c r="M365" i="19" a="1"/>
  <c r="N850" i="19" a="1"/>
  <c r="M962" i="19" a="1"/>
  <c r="N885" i="19" a="1"/>
  <c r="G641" i="19" a="1"/>
  <c r="O190" i="19" a="1"/>
  <c r="G826" i="19" a="1"/>
  <c r="O1115" i="19" a="1"/>
  <c r="G1154" i="19" a="1"/>
  <c r="H689" i="19" a="1"/>
  <c r="G175" i="19" a="1"/>
  <c r="M1025" i="19" a="1"/>
  <c r="H169" i="19" a="1"/>
  <c r="C20" i="19" a="1"/>
  <c r="G1021" i="19" a="1"/>
  <c r="I1004" i="19" a="1"/>
  <c r="M470" i="19" a="1"/>
  <c r="I500" i="19" a="1"/>
  <c r="O367" i="19" a="1"/>
  <c r="O987" i="19" a="1"/>
  <c r="H600" i="19" a="1"/>
  <c r="M688" i="19" a="1"/>
  <c r="N1129" i="19" a="1"/>
  <c r="I756" i="19" a="1"/>
  <c r="O1105" i="19" a="1"/>
  <c r="H611" i="19" a="1"/>
  <c r="O1063" i="19" a="1"/>
  <c r="I816" i="19" a="1"/>
  <c r="N925" i="19" a="1"/>
  <c r="I1099" i="19" a="1"/>
  <c r="G793" i="19" a="1"/>
  <c r="M1139" i="19" a="1"/>
  <c r="I445" i="19" a="1"/>
  <c r="G982" i="19" a="1"/>
  <c r="C803" i="19" a="1"/>
  <c r="N893" i="19" a="1"/>
  <c r="M1020" i="19" a="1"/>
  <c r="M970" i="19" a="1"/>
  <c r="G760" i="19" a="1"/>
  <c r="M290" i="19" a="1"/>
  <c r="M1099" i="19" a="1"/>
  <c r="M874" i="19" a="1"/>
  <c r="I599" i="19" a="1"/>
  <c r="H641" i="19" a="1"/>
  <c r="G180" i="19" a="1"/>
  <c r="G846" i="19" a="1"/>
  <c r="I805" i="19" a="1"/>
  <c r="G933" i="19" a="1"/>
  <c r="N733" i="19" a="1"/>
  <c r="C579" i="19" a="1"/>
  <c r="N1143" i="19" a="1"/>
  <c r="H928" i="19" a="1"/>
  <c r="G1097" i="19" a="1"/>
  <c r="C576" i="19" a="1"/>
  <c r="G978" i="19" a="1"/>
  <c r="I1051" i="19" a="1"/>
  <c r="I24" i="19" a="1"/>
  <c r="N926" i="19" a="1"/>
  <c r="G556" i="19" a="1"/>
  <c r="I194" i="19" a="1"/>
  <c r="G123" i="19" a="1"/>
  <c r="N514" i="19" a="1"/>
  <c r="O880" i="19" a="1"/>
  <c r="M1036" i="19" a="1"/>
  <c r="O1108" i="19" a="1"/>
  <c r="B974" i="19" a="1"/>
  <c r="H80" i="19" a="1"/>
  <c r="C1125" i="19" a="1"/>
  <c r="H755" i="19" a="1"/>
  <c r="N173" i="19" a="1"/>
  <c r="H227" i="19" a="1"/>
  <c r="G1018" i="19" a="1"/>
  <c r="B567" i="19" a="1"/>
  <c r="N969" i="19" a="1"/>
  <c r="M539" i="19" a="1"/>
  <c r="O433" i="19" a="1"/>
  <c r="H444" i="19" a="1"/>
  <c r="O53" i="19" a="1"/>
  <c r="N396" i="19" a="1"/>
  <c r="G789" i="19" a="1"/>
  <c r="C692" i="19" a="1"/>
  <c r="N880" i="19" a="1"/>
  <c r="M526" i="19" a="1"/>
  <c r="N1069" i="19" a="1"/>
  <c r="I992" i="19" a="1"/>
  <c r="I43" i="19" a="1"/>
  <c r="M822" i="19" a="1"/>
  <c r="I735" i="19" a="1"/>
  <c r="O336" i="19" a="1"/>
  <c r="I87" i="19" a="1"/>
  <c r="I367" i="19" a="1"/>
  <c r="I218" i="19" a="1"/>
  <c r="H589" i="19" a="1"/>
  <c r="G873" i="19" a="1"/>
  <c r="N874" i="19" a="1"/>
  <c r="I906" i="19" a="1"/>
  <c r="O1113" i="19" a="1"/>
  <c r="H926" i="19" a="1"/>
  <c r="G113" i="19" a="1"/>
  <c r="C755" i="19" a="1"/>
  <c r="I327" i="19" a="1"/>
  <c r="I398" i="19" a="1"/>
  <c r="M1002" i="19" a="1"/>
  <c r="O1156" i="19" a="1"/>
  <c r="I558" i="19" a="1"/>
  <c r="N924" i="19" a="1"/>
  <c r="H947" i="19" a="1"/>
  <c r="N1149" i="19" a="1"/>
  <c r="I1133" i="19" a="1"/>
  <c r="I167" i="19" a="1"/>
  <c r="H538" i="19" a="1"/>
  <c r="M927" i="19" a="1"/>
  <c r="I809" i="19" a="1"/>
  <c r="H494" i="19" a="1"/>
  <c r="I76" i="19" a="1"/>
  <c r="H144" i="19" a="1"/>
  <c r="O62" i="19" a="1"/>
  <c r="O240" i="19" a="1"/>
  <c r="G897" i="19" a="1"/>
  <c r="O514" i="19" a="1"/>
  <c r="H813" i="19" a="1"/>
  <c r="M748" i="19" a="1"/>
  <c r="G1108" i="19" a="1"/>
  <c r="O889" i="19" a="1"/>
  <c r="N1000" i="19" a="1"/>
  <c r="G993" i="19" a="1"/>
  <c r="O301" i="19" a="1"/>
  <c r="C717" i="19" a="1"/>
  <c r="N229" i="19" a="1"/>
  <c r="N856" i="19" a="1"/>
  <c r="M773" i="19" a="1"/>
  <c r="C865" i="19" a="1"/>
  <c r="H687" i="19" a="1"/>
  <c r="K420" i="19" a="1"/>
  <c r="M490" i="19" a="1"/>
  <c r="M763" i="19" a="1"/>
  <c r="G478" i="19" a="1"/>
  <c r="N324" i="19" a="1"/>
  <c r="N702" i="19" a="1"/>
  <c r="G594" i="19" a="1"/>
  <c r="N1030" i="19" a="1"/>
  <c r="H27" i="19" a="1"/>
  <c r="G1027" i="19" a="1"/>
  <c r="N607" i="19" a="1"/>
  <c r="M769" i="19" a="1"/>
  <c r="O1103" i="19" a="1"/>
  <c r="M1031" i="19" a="1"/>
  <c r="M835" i="19" a="1"/>
  <c r="O998" i="19" a="1"/>
  <c r="I956" i="19" a="1"/>
  <c r="N237" i="19" a="1"/>
  <c r="M1063" i="19" a="1"/>
  <c r="H416" i="19" a="1"/>
  <c r="N815" i="19" a="1"/>
  <c r="I1108" i="19" a="1"/>
  <c r="N422" i="19" a="1"/>
  <c r="C353" i="19" a="1"/>
  <c r="I1017" i="19" a="1"/>
  <c r="N756" i="19" a="1"/>
  <c r="G173" i="19" a="1"/>
  <c r="G1094" i="19" a="1"/>
  <c r="O241" i="19" a="1"/>
  <c r="M57" i="19" a="1"/>
  <c r="H1142" i="19" a="1"/>
  <c r="O297" i="19" a="1"/>
  <c r="H664" i="19" a="1"/>
  <c r="H57" i="19" a="1"/>
  <c r="I758" i="19" a="1"/>
  <c r="A343" i="19" a="1"/>
  <c r="F975" i="19" a="1"/>
  <c r="M944" i="19" a="1"/>
  <c r="M652" i="19" a="1"/>
  <c r="G849" i="19" a="1"/>
  <c r="I1067" i="19" a="1"/>
  <c r="G543" i="19" a="1"/>
  <c r="I860" i="19" a="1"/>
  <c r="H1066" i="19" a="1"/>
  <c r="H654" i="19" a="1"/>
  <c r="G575" i="19" a="1"/>
  <c r="M560" i="19" a="1"/>
  <c r="N18" i="19" a="1"/>
  <c r="H406" i="19" a="1"/>
  <c r="H1064" i="19" a="1"/>
  <c r="G511" i="19" a="1"/>
  <c r="O315" i="19" a="1"/>
  <c r="M478" i="19" a="1"/>
  <c r="G406" i="19" a="1"/>
  <c r="H677" i="19" a="1"/>
  <c r="I776" i="19" a="1"/>
  <c r="M519" i="19" a="1"/>
  <c r="I749" i="19" a="1"/>
  <c r="L420" i="19" a="1"/>
  <c r="O152" i="19" a="1"/>
  <c r="N100" i="19" a="1"/>
  <c r="M829" i="19" a="1"/>
  <c r="H1022" i="19" a="1"/>
  <c r="C1127" i="19" a="1"/>
  <c r="N844" i="19" a="1"/>
  <c r="H77" i="19" a="1"/>
  <c r="A13" i="19" a="1"/>
  <c r="O894" i="19" a="1"/>
  <c r="G1064" i="19" a="1"/>
  <c r="M278" i="19" a="1"/>
  <c r="G684" i="19" a="1"/>
  <c r="O243" i="19" a="1"/>
  <c r="C468" i="19" a="1"/>
  <c r="I369" i="19" a="1"/>
  <c r="I1092" i="19" a="1"/>
  <c r="M920" i="19" a="1"/>
  <c r="I1132" i="19" a="1"/>
  <c r="G743" i="19" a="1"/>
  <c r="O110" i="19" a="1"/>
  <c r="M1119" i="19" a="1"/>
  <c r="N984" i="19" a="1"/>
  <c r="N1119" i="19" a="1"/>
  <c r="N129" i="19" a="1"/>
  <c r="M507" i="19" a="1"/>
  <c r="C792" i="19" a="1"/>
  <c r="G1060" i="19" a="1"/>
  <c r="I746" i="19" a="1"/>
  <c r="I869" i="19" a="1"/>
  <c r="M1112" i="19" a="1"/>
  <c r="I797" i="19" a="1"/>
  <c r="G856" i="19" a="1"/>
  <c r="N982" i="19" a="1"/>
  <c r="O462" i="19" a="1"/>
  <c r="H963" i="19" a="1"/>
  <c r="I659" i="19" a="1"/>
  <c r="K938" i="19" a="1"/>
  <c r="N393" i="19" a="1"/>
  <c r="H517" i="19" a="1"/>
  <c r="A676" i="19" a="1"/>
  <c r="N780" i="19" a="1"/>
  <c r="I209" i="19" a="1"/>
  <c r="F790" i="19" a="1"/>
  <c r="O356" i="19" a="1"/>
  <c r="C384" i="19" a="1"/>
  <c r="H987" i="19" a="1"/>
  <c r="I1061" i="19" a="1"/>
  <c r="L938" i="19" a="1"/>
  <c r="N524" i="19" a="1"/>
  <c r="N150" i="19" a="1"/>
  <c r="M45" i="19" a="1"/>
  <c r="A750" i="19" a="1"/>
  <c r="G817" i="19" a="1"/>
  <c r="I453" i="19" a="1"/>
  <c r="K605" i="19" a="1"/>
  <c r="H1132" i="19" a="1"/>
  <c r="O637" i="19" a="1"/>
  <c r="I901" i="19" a="1"/>
  <c r="M373" i="19" a="1"/>
  <c r="N980" i="19" a="1"/>
  <c r="O763" i="19" a="1"/>
  <c r="N1115" i="19" a="1"/>
  <c r="H625" i="19" a="1"/>
  <c r="H739" i="19" a="1"/>
  <c r="G298" i="19" a="1"/>
  <c r="M593" i="19" a="1"/>
  <c r="H616" i="19" a="1"/>
  <c r="H1099" i="19" a="1"/>
  <c r="G948" i="19" a="1"/>
  <c r="H191" i="19" a="1"/>
  <c r="M933" i="19" a="1"/>
  <c r="I726" i="19" a="1"/>
  <c r="N319" i="19" a="1"/>
  <c r="M1015" i="19" a="1"/>
  <c r="M1052" i="19" a="1"/>
  <c r="H377" i="19" a="1"/>
  <c r="I148" i="19" a="1"/>
  <c r="G1137" i="19" a="1"/>
  <c r="O648" i="19" a="1"/>
  <c r="G251" i="19" a="1"/>
  <c r="I65" i="19" a="1"/>
  <c r="O801" i="19" a="1"/>
  <c r="G110" i="19" a="1"/>
  <c r="I325" i="19" a="1"/>
  <c r="N628" i="19" a="1"/>
  <c r="H921" i="19" a="1"/>
  <c r="G957" i="19" a="1"/>
  <c r="G859" i="19" a="1"/>
  <c r="G664" i="19" a="1"/>
  <c r="O888" i="19" a="1"/>
  <c r="O800" i="19" a="1"/>
  <c r="G1116" i="19" a="1"/>
  <c r="N1055" i="19" a="1"/>
  <c r="K642" i="19" a="1"/>
  <c r="A787" i="19" a="1"/>
  <c r="G1151" i="19" a="1"/>
  <c r="C495" i="19" a="1"/>
  <c r="N1061" i="19" a="1"/>
  <c r="M1111" i="19" a="1"/>
  <c r="C173" i="19" a="1"/>
  <c r="O105" i="19" a="1"/>
  <c r="M943" i="19" a="1"/>
  <c r="O437" i="19" a="1"/>
  <c r="N436" i="19" a="1"/>
  <c r="H585" i="19" a="1"/>
  <c r="O573" i="19" a="1"/>
  <c r="G833" i="19" a="1"/>
  <c r="M356" i="19" a="1"/>
  <c r="H650" i="19" a="1"/>
  <c r="H455" i="19" a="1"/>
  <c r="H1020" i="19" a="1"/>
  <c r="H694" i="19" a="1"/>
  <c r="N571" i="19" a="1"/>
  <c r="C496" i="19" a="1"/>
  <c r="I584" i="19" a="1"/>
  <c r="H531" i="19" a="1"/>
  <c r="G1122" i="19" a="1"/>
  <c r="F716" i="19" a="1"/>
  <c r="I61" i="19" a="1"/>
  <c r="G964" i="19" a="1"/>
  <c r="G762" i="19" a="1"/>
  <c r="I621" i="19" a="1"/>
  <c r="N779" i="19" a="1"/>
  <c r="O320" i="19" a="1"/>
  <c r="N484" i="19" a="1"/>
  <c r="O1138" i="19" a="1"/>
  <c r="O256" i="19" a="1"/>
  <c r="H562" i="19" a="1"/>
  <c r="H432" i="19" a="1"/>
  <c r="N133" i="19" a="1"/>
  <c r="H1048" i="19" a="1"/>
  <c r="M811" i="19" a="1"/>
  <c r="H393" i="19" a="1"/>
  <c r="H165" i="19" a="1"/>
  <c r="N248" i="19" a="1"/>
  <c r="O503" i="19" a="1"/>
  <c r="O811" i="19" a="1"/>
  <c r="N971" i="19" a="1"/>
  <c r="H656" i="19" a="1"/>
  <c r="N299" i="19" a="1"/>
  <c r="H721" i="19" a="1"/>
  <c r="G364" i="19" a="1"/>
  <c r="G686" i="19" a="1"/>
  <c r="M148" i="19" a="1"/>
  <c r="H208" i="19" a="1"/>
  <c r="M268" i="19" a="1"/>
  <c r="G740" i="19" a="1"/>
  <c r="N867" i="19" a="1"/>
  <c r="I700" i="19" a="1"/>
  <c r="O510" i="19" a="1"/>
  <c r="M755" i="19" a="1"/>
  <c r="H807" i="19" a="1"/>
  <c r="O522" i="19" a="1"/>
  <c r="N428" i="19" a="1"/>
  <c r="H453" i="19" a="1"/>
  <c r="G1119" i="19" a="1"/>
  <c r="N831" i="19" a="1"/>
  <c r="O873" i="19" a="1"/>
  <c r="M53" i="19" a="1"/>
  <c r="N342" i="19" a="1"/>
  <c r="I687" i="19" a="1"/>
  <c r="M997" i="19" a="1"/>
  <c r="G109" i="19" a="1"/>
  <c r="I772" i="19" a="1"/>
  <c r="C650" i="19" a="1"/>
  <c r="H633" i="19" a="1"/>
  <c r="O576" i="19" a="1"/>
  <c r="I806" i="19" a="1"/>
  <c r="N1102" i="19" a="1"/>
  <c r="I553" i="19" a="1"/>
  <c r="H998" i="19" a="1"/>
  <c r="N1104" i="19" a="1"/>
  <c r="N370" i="19" a="1"/>
  <c r="I294" i="19" a="1"/>
  <c r="I377" i="19" a="1"/>
  <c r="H968" i="19" a="1"/>
  <c r="M320" i="19" a="1"/>
  <c r="M587" i="19" a="1"/>
  <c r="I868" i="19" a="1"/>
  <c r="M502" i="19" a="1"/>
  <c r="G727" i="19" a="1"/>
  <c r="M709" i="19" a="1"/>
  <c r="I966" i="19" a="1"/>
  <c r="B420" i="19" a="1"/>
  <c r="N567" i="19" a="1"/>
  <c r="G150" i="19" a="1"/>
  <c r="G756" i="19" a="1"/>
  <c r="N282" i="19" a="1"/>
  <c r="O615" i="19" a="1"/>
  <c r="M351" i="19" a="1"/>
  <c r="H876" i="19" a="1"/>
  <c r="G590" i="19" a="1"/>
  <c r="I342" i="19" a="1"/>
  <c r="O534" i="19" a="1"/>
  <c r="N462" i="19" a="1"/>
  <c r="G467" i="19" a="1"/>
  <c r="G960" i="19" a="1"/>
  <c r="M1125" i="19" a="1"/>
  <c r="N771" i="19" a="1"/>
  <c r="N183" i="19" a="1"/>
  <c r="N1140" i="19" a="1"/>
  <c r="O524" i="19" a="1"/>
  <c r="I295" i="19" a="1"/>
  <c r="I548" i="19" a="1"/>
  <c r="M921" i="19" a="1"/>
  <c r="H989" i="19" a="1"/>
  <c r="I843" i="19" a="1"/>
  <c r="O891" i="19" a="1"/>
  <c r="H358" i="19" a="1"/>
  <c r="O225" i="19" a="1"/>
  <c r="H529" i="19" a="1"/>
  <c r="G915" i="19" a="1"/>
  <c r="M721" i="19" a="1"/>
  <c r="H45" i="19" a="1"/>
  <c r="H858" i="19" a="1"/>
  <c r="G223" i="19" a="1"/>
  <c r="B493" i="19" a="1"/>
  <c r="A121" i="19" a="1"/>
  <c r="G571" i="19" a="1"/>
  <c r="M498" i="19" a="1"/>
  <c r="H366" i="19" a="1"/>
  <c r="M1148" i="19" a="1"/>
  <c r="N403" i="19" a="1"/>
  <c r="I516" i="19" a="1"/>
  <c r="C14" i="19" a="1"/>
  <c r="H19" i="19" a="1"/>
  <c r="H605" i="19" a="1"/>
  <c r="O778" i="19" a="1"/>
  <c r="H302" i="19" a="1"/>
  <c r="H394" i="19" a="1"/>
  <c r="N467" i="19" a="1"/>
  <c r="N284" i="19" a="1"/>
  <c r="N1015" i="19" a="1"/>
  <c r="O991" i="19" a="1"/>
  <c r="I930" i="19" a="1"/>
  <c r="C506" i="19" a="1"/>
  <c r="H42" i="19" a="1"/>
  <c r="M396" i="19" a="1"/>
  <c r="I35" i="19" a="1"/>
  <c r="G254" i="19" a="1"/>
  <c r="N64" i="19" a="1"/>
  <c r="H373" i="19" a="1"/>
  <c r="M25" i="19" a="1"/>
  <c r="I1118" i="19" a="1"/>
  <c r="O577" i="19" a="1"/>
  <c r="O441" i="19" a="1"/>
  <c r="N553" i="19" a="1"/>
  <c r="M402" i="19" a="1"/>
  <c r="I512" i="19" a="1"/>
  <c r="G1091" i="19" a="1"/>
  <c r="I798" i="19" a="1"/>
  <c r="O1006" i="19" a="1"/>
  <c r="N61" i="19" a="1"/>
  <c r="G26" i="19" a="1"/>
  <c r="G531" i="19" a="1"/>
  <c r="I210" i="19" a="1"/>
  <c r="H891" i="19" a="1"/>
  <c r="N178" i="19" a="1"/>
  <c r="M527" i="19" a="1"/>
  <c r="M58" i="19" a="1"/>
  <c r="O1078" i="19" a="1"/>
  <c r="M60" i="19" a="1"/>
  <c r="M221" i="19" a="1"/>
  <c r="H476" i="19" a="1"/>
  <c r="N441" i="19" a="1"/>
  <c r="H669" i="19" a="1"/>
  <c r="N357" i="19" a="1"/>
  <c r="O128" i="19" a="1"/>
  <c r="N922" i="19" a="1"/>
  <c r="H662" i="19" a="1"/>
  <c r="M917" i="19" a="1"/>
  <c r="H392" i="19" a="1"/>
  <c r="M571" i="19" a="1"/>
  <c r="K679" i="19" a="1"/>
  <c r="M474" i="19" a="1"/>
  <c r="I747" i="19" a="1"/>
  <c r="O1109" i="19" a="1"/>
  <c r="C212" i="19" a="1"/>
  <c r="N1144" i="19" a="1"/>
  <c r="I660" i="19" a="1"/>
  <c r="O617" i="19" a="1"/>
  <c r="G267" i="19" a="1"/>
  <c r="O318" i="19" a="1"/>
  <c r="H691" i="19" a="1"/>
  <c r="H512" i="19" a="1"/>
  <c r="G24" i="19" a="1"/>
  <c r="I482" i="19" a="1"/>
  <c r="H354" i="19" a="1"/>
  <c r="G357" i="19" a="1"/>
  <c r="I1008" i="19" a="1"/>
  <c r="I205" i="19" a="1"/>
  <c r="M156" i="19" a="1"/>
  <c r="O687" i="19" a="1"/>
  <c r="O127" i="19" a="1"/>
  <c r="I467" i="19" a="1"/>
  <c r="I297" i="19" a="1"/>
  <c r="M231" i="19" a="1"/>
  <c r="H480" i="19" a="1"/>
  <c r="K13" i="19" a="1"/>
  <c r="N659" i="19" a="1"/>
  <c r="O554" i="19" a="1"/>
  <c r="H25" i="19" a="1"/>
  <c r="H991" i="19" a="1"/>
  <c r="N586" i="19" a="1"/>
  <c r="M79" i="19" a="1"/>
  <c r="O57" i="19" a="1"/>
  <c r="I1098" i="19" a="1"/>
  <c r="G1028" i="19" a="1"/>
  <c r="H231" i="19" a="1"/>
  <c r="H286" i="19" a="1"/>
  <c r="I960" i="19" a="1"/>
  <c r="O427" i="19" a="1"/>
  <c r="N449" i="19" a="1"/>
  <c r="H688" i="19" a="1"/>
  <c r="O542" i="19" a="1"/>
  <c r="I265" i="19" a="1"/>
  <c r="G262" i="19" a="1"/>
  <c r="G636" i="19" a="1"/>
  <c r="I32" i="19" a="1"/>
  <c r="K124" i="19" a="1"/>
  <c r="G297" i="19" a="1"/>
  <c r="I644" i="19" a="1"/>
  <c r="M131" i="19" a="1"/>
  <c r="M363" i="19" a="1"/>
  <c r="O867" i="19" a="1"/>
  <c r="N658" i="19" a="1"/>
  <c r="I460" i="19" a="1"/>
  <c r="M267" i="19" a="1"/>
  <c r="M978" i="19" a="1"/>
  <c r="I530" i="19" a="1"/>
  <c r="G1004" i="19" a="1"/>
  <c r="I768" i="19" a="1"/>
  <c r="N254" i="19" a="1"/>
  <c r="N759" i="19" a="1"/>
  <c r="N842" i="19" a="1"/>
  <c r="N433" i="19" a="1"/>
  <c r="I356" i="19" a="1"/>
  <c r="G752" i="19" a="1"/>
  <c r="O515" i="19" a="1"/>
  <c r="I469" i="19" a="1"/>
  <c r="N782" i="19" a="1"/>
  <c r="N548" i="19" a="1"/>
  <c r="O146" i="19" a="1"/>
  <c r="N32" i="19" a="1"/>
  <c r="G860" i="19" a="1"/>
  <c r="I73" i="19" a="1"/>
  <c r="A198" i="19" a="1"/>
  <c r="H632" i="19" a="1"/>
  <c r="G371" i="19" a="1"/>
  <c r="O25" i="19" a="1"/>
  <c r="N1063" i="19" a="1"/>
  <c r="A50" i="19" a="1"/>
  <c r="H34" i="19" a="1"/>
  <c r="M956" i="19" a="1"/>
  <c r="M38" i="19" a="1"/>
  <c r="H307" i="19" a="1"/>
  <c r="H579" i="19" a="1"/>
  <c r="M348" i="19" a="1"/>
  <c r="H265" i="19" a="1"/>
  <c r="O188" i="19" a="1"/>
  <c r="N194" i="19" a="1"/>
  <c r="I283" i="19" a="1"/>
  <c r="G655" i="19" a="1"/>
  <c r="O468" i="19" a="1"/>
  <c r="A309" i="19" a="1"/>
  <c r="I807" i="19" a="1"/>
  <c r="O111" i="19" a="1"/>
  <c r="I456" i="19" a="1"/>
  <c r="G258" i="19" a="1"/>
  <c r="M650" i="19" a="1"/>
  <c r="G31" i="19" a="1"/>
  <c r="O180" i="19" a="1"/>
  <c r="I634" i="19" a="1"/>
  <c r="H617" i="19" a="1"/>
  <c r="G226" i="19" a="1"/>
  <c r="O286" i="19" a="1"/>
  <c r="G67" i="19" a="1"/>
  <c r="G104" i="19" a="1"/>
  <c r="O557" i="19" a="1"/>
  <c r="M462" i="19" a="1"/>
  <c r="K531" i="19" a="1"/>
  <c r="G97" i="19" a="1"/>
  <c r="G621" i="19" a="1"/>
  <c r="M951" i="19" a="1"/>
  <c r="N851" i="19" a="1"/>
  <c r="I1131" i="19" a="1"/>
  <c r="O1035" i="19" a="1"/>
  <c r="O376" i="19" a="1"/>
  <c r="H818" i="19" a="1"/>
  <c r="H1070" i="19" a="1"/>
  <c r="H647" i="19" a="1"/>
  <c r="N77" i="19" a="1"/>
  <c r="H949" i="19" a="1"/>
  <c r="H752" i="19" a="1"/>
  <c r="M477" i="19" a="1"/>
  <c r="M1117" i="19" a="1"/>
  <c r="G493" i="19" a="1"/>
  <c r="H85" i="19" a="1"/>
  <c r="M368" i="19" a="1"/>
  <c r="I266" i="19" a="1"/>
  <c r="H148" i="19" a="1"/>
  <c r="N1011" i="19" a="1"/>
  <c r="N338" i="19" a="1"/>
  <c r="O956" i="19" a="1"/>
  <c r="H918" i="19" a="1"/>
  <c r="N1145" i="19" a="1"/>
  <c r="I679" i="19" a="1"/>
  <c r="G665" i="19" a="1"/>
  <c r="L383" i="19" a="1"/>
  <c r="G1114" i="19" a="1"/>
  <c r="B1121" i="19" a="1"/>
  <c r="M895" i="19" a="1"/>
  <c r="O719" i="19" a="1"/>
  <c r="N297" i="19" a="1"/>
  <c r="M169" i="19" a="1"/>
  <c r="M807" i="19" a="1"/>
  <c r="O674" i="19" a="1"/>
  <c r="G704" i="19" a="1"/>
  <c r="H1117" i="19" a="1"/>
  <c r="G1033" i="19" a="1"/>
  <c r="O841" i="19" a="1"/>
  <c r="H1144" i="19" a="1"/>
  <c r="H1079" i="19" a="1"/>
  <c r="O333" i="19" a="1"/>
  <c r="I110" i="19" a="1"/>
  <c r="C396" i="19" a="1"/>
  <c r="O438" i="19" a="1"/>
  <c r="A380" i="19" a="1"/>
  <c r="N889" i="19" a="1"/>
  <c r="N1022" i="19" a="1"/>
  <c r="I988" i="19" a="1"/>
  <c r="C99" i="19" a="1"/>
  <c r="O1045" i="19" a="1"/>
  <c r="O482" i="19" a="1"/>
  <c r="N872" i="19" a="1"/>
  <c r="I1058" i="19" a="1"/>
  <c r="I335" i="19" a="1"/>
  <c r="N1092" i="19" a="1"/>
  <c r="M620" i="19" a="1"/>
  <c r="M514" i="19" a="1"/>
  <c r="C1092" i="19" a="1"/>
  <c r="M325" i="19" a="1"/>
  <c r="G930" i="19" a="1"/>
  <c r="H382" i="19" a="1"/>
  <c r="G255" i="19" a="1"/>
  <c r="M172" i="19" a="1"/>
  <c r="G586" i="19" a="1"/>
  <c r="G438" i="19" a="1"/>
  <c r="M880" i="19" a="1"/>
  <c r="O545" i="19" a="1"/>
  <c r="H272" i="19" a="1"/>
  <c r="G72" i="19" a="1"/>
  <c r="H184" i="19" a="1"/>
  <c r="O350" i="19" a="1"/>
  <c r="G838" i="19" a="1"/>
  <c r="G436" i="19" a="1"/>
  <c r="M1126" i="19" a="1"/>
  <c r="N700" i="19" a="1"/>
  <c r="G942" i="19" a="1"/>
  <c r="I668" i="19" a="1"/>
  <c r="O823" i="19" a="1"/>
  <c r="M581" i="19" a="1"/>
  <c r="H367" i="19" a="1"/>
  <c r="I394" i="19" a="1"/>
  <c r="H452" i="19" a="1"/>
  <c r="I40" i="19" a="1"/>
  <c r="O689" i="19" a="1"/>
  <c r="M820" i="19" a="1"/>
  <c r="I468" i="19" a="1"/>
  <c r="M673" i="19" a="1"/>
  <c r="N556" i="19" a="1"/>
  <c r="G365" i="19" a="1"/>
  <c r="A161" i="19" a="1"/>
  <c r="M592" i="19" a="1"/>
  <c r="O61" i="19" a="1"/>
  <c r="I544" i="19" a="1"/>
  <c r="I322" i="19" a="1"/>
  <c r="N1007" i="19" a="1"/>
  <c r="M364" i="19" a="1"/>
  <c r="M1057" i="19" a="1"/>
  <c r="M65" i="19" a="1"/>
  <c r="G53" i="19" a="1"/>
  <c r="I1091" i="19" a="1"/>
  <c r="H762" i="19" a="1"/>
  <c r="H482" i="19" a="1"/>
  <c r="M695" i="19" a="1"/>
  <c r="M992" i="19" a="1"/>
  <c r="O969" i="19" a="1"/>
  <c r="G1074" i="19" a="1"/>
  <c r="I1146" i="19" a="1"/>
  <c r="G892" i="19" a="1"/>
  <c r="M212" i="19" a="1"/>
  <c r="O855" i="19" a="1"/>
  <c r="H686" i="19" a="1"/>
  <c r="C236" i="19" a="1"/>
  <c r="G56" i="19" a="1"/>
  <c r="M771" i="19" a="1"/>
  <c r="G106" i="19" a="1"/>
  <c r="O578" i="19" a="1"/>
  <c r="N171" i="19" a="1"/>
  <c r="I74" i="19" a="1"/>
  <c r="M200" i="19" a="1"/>
  <c r="N1038" i="19" a="1"/>
  <c r="N184" i="19" a="1"/>
  <c r="C469" i="19" a="1"/>
  <c r="F605" i="19" a="1"/>
  <c r="O875" i="19" a="1"/>
  <c r="H41" i="19" a="1"/>
  <c r="A1046" i="19" a="1"/>
  <c r="O1002" i="19" a="1"/>
  <c r="B456" i="19" a="1"/>
  <c r="H431" i="19" a="1"/>
  <c r="N1105" i="19" a="1"/>
  <c r="G476" i="19" a="1"/>
  <c r="G382" i="19" a="1"/>
  <c r="G237" i="19" a="1"/>
  <c r="M686" i="19" a="1"/>
  <c r="N653" i="19" a="1"/>
  <c r="O228" i="19" a="1"/>
  <c r="H168" i="19" a="1"/>
  <c r="H244" i="19" a="1"/>
  <c r="N799" i="19" a="1"/>
  <c r="N397" i="19" a="1"/>
  <c r="G349" i="19" a="1"/>
  <c r="H1034" i="19" a="1"/>
  <c r="I709" i="19" a="1"/>
  <c r="I238" i="19" a="1"/>
  <c r="O596" i="19" a="1"/>
  <c r="O1003" i="19" a="1"/>
  <c r="O302" i="19" a="1"/>
  <c r="G395" i="19" a="1"/>
  <c r="H230" i="19" a="1"/>
  <c r="O548" i="19" a="1"/>
  <c r="H975" i="19" a="1"/>
  <c r="I108" i="19" a="1"/>
  <c r="M188" i="19" a="1"/>
  <c r="H839" i="19" a="1"/>
  <c r="O621" i="19" a="1"/>
  <c r="I136" i="19" a="1"/>
  <c r="O883" i="19" a="1"/>
  <c r="I41" i="19" a="1"/>
  <c r="G1152" i="19" a="1"/>
  <c r="I646" i="19" a="1"/>
  <c r="N996" i="19" a="1"/>
  <c r="N1003" i="19" a="1"/>
  <c r="H15" i="19" a="1"/>
  <c r="I650" i="19" a="1"/>
  <c r="O994" i="19" a="1"/>
  <c r="G112" i="19" a="1"/>
  <c r="B640" i="19" a="1"/>
  <c r="O242" i="19" a="1"/>
  <c r="K790" i="19" a="1"/>
  <c r="H503" i="19" a="1"/>
  <c r="M226" i="19" a="1"/>
  <c r="H46" i="19" a="1"/>
  <c r="N648" i="19" a="1"/>
  <c r="I189" i="19" a="1"/>
  <c r="I733" i="19" a="1"/>
  <c r="G991" i="19" a="1"/>
  <c r="G559" i="19" a="1"/>
  <c r="M246" i="19" a="1"/>
  <c r="M377" i="19" a="1"/>
  <c r="N948" i="19" a="1"/>
  <c r="N179" i="19" a="1"/>
  <c r="I523" i="19" a="1"/>
  <c r="O909" i="19" a="1"/>
  <c r="M227" i="19" a="1"/>
  <c r="I293" i="19" a="1"/>
  <c r="O599" i="19" a="1"/>
  <c r="O222" i="19" a="1"/>
  <c r="G379" i="19" a="1"/>
  <c r="O1140" i="19" a="1"/>
  <c r="O989" i="19" a="1"/>
  <c r="M261" i="19" a="1"/>
  <c r="M804" i="19" a="1"/>
  <c r="M436" i="19" a="1"/>
  <c r="I822" i="19" a="1"/>
  <c r="O682" i="19" a="1"/>
  <c r="G216" i="19" a="1"/>
  <c r="O755" i="19" a="1"/>
  <c r="H675" i="19" a="1"/>
  <c r="M600" i="19" a="1"/>
  <c r="O470" i="19" a="1"/>
  <c r="H155" i="19" a="1"/>
  <c r="N21" i="19" a="1"/>
  <c r="I653" i="19" a="1"/>
  <c r="I1027" i="19" a="1"/>
  <c r="G682" i="19" a="1"/>
  <c r="I332" i="19" a="1"/>
  <c r="N852" i="19" a="1"/>
  <c r="A195" i="19" a="1"/>
  <c r="H345" i="19" a="1"/>
  <c r="N311" i="19" a="1"/>
  <c r="O249" i="19" a="1"/>
  <c r="K568" i="19" a="1"/>
  <c r="N363" i="19" a="1"/>
  <c r="G124" i="19" a="1"/>
  <c r="N883" i="19" a="1"/>
  <c r="I133" i="19" a="1"/>
  <c r="N116" i="19" a="1"/>
  <c r="H309" i="19" a="1"/>
  <c r="G671" i="19" a="1"/>
  <c r="N375" i="19" a="1"/>
  <c r="M170" i="19" a="1"/>
  <c r="N610" i="19" a="1"/>
  <c r="G634" i="19" a="1"/>
  <c r="I480" i="19" a="1"/>
  <c r="O267" i="19" a="1"/>
  <c r="O393" i="19" a="1"/>
  <c r="M190" i="19" a="1"/>
  <c r="G266" i="19" a="1"/>
  <c r="O784" i="19" a="1"/>
  <c r="H149" i="19" a="1"/>
  <c r="O586" i="19" a="1"/>
  <c r="N765" i="19" a="1"/>
  <c r="O696" i="19" a="1"/>
  <c r="O263" i="19" a="1"/>
  <c r="O618" i="19" a="1"/>
  <c r="O277" i="19" a="1"/>
  <c r="G156" i="19" a="1"/>
  <c r="M80" i="19" a="1"/>
  <c r="N102" i="19" a="1"/>
  <c r="I355" i="19" a="1"/>
  <c r="H1081" i="19" a="1"/>
  <c r="O446" i="19" a="1"/>
  <c r="I156" i="19" a="1"/>
  <c r="H316" i="19" a="1"/>
  <c r="N197" i="19" a="1"/>
  <c r="H584" i="19" a="1"/>
  <c r="N262" i="19" a="1"/>
  <c r="G183" i="19" a="1"/>
  <c r="I985" i="19" a="1"/>
  <c r="I597" i="19" a="1"/>
  <c r="O619" i="19" a="1"/>
  <c r="I94" i="19" a="1"/>
  <c r="N927" i="19" a="1"/>
  <c r="I326" i="19" a="1"/>
  <c r="G799" i="19" a="1"/>
  <c r="N493" i="19" a="1"/>
  <c r="M83" i="19" a="1"/>
  <c r="L1012" i="19" a="1"/>
  <c r="C986" i="19" a="1"/>
  <c r="G589" i="19" a="1"/>
  <c r="H953" i="19" a="1"/>
  <c r="I282" i="19" a="1"/>
  <c r="I348" i="19" a="1"/>
  <c r="O149" i="19" a="1"/>
  <c r="I426" i="19" a="1"/>
  <c r="I1100" i="19" a="1"/>
  <c r="H864" i="19" a="1"/>
  <c r="A901" i="19" a="1"/>
  <c r="I821" i="19" a="1"/>
  <c r="M796" i="19" a="1"/>
  <c r="O92" i="19" a="1"/>
  <c r="I1073" i="19" a="1"/>
  <c r="I1144" i="19" a="1"/>
  <c r="N350" i="19" a="1"/>
  <c r="M392" i="19" a="1"/>
  <c r="G678" i="19" a="1"/>
  <c r="N812" i="19" a="1"/>
  <c r="G275" i="19" a="1"/>
  <c r="G519" i="19" a="1"/>
  <c r="M870" i="19" a="1"/>
  <c r="G908" i="19" a="1"/>
  <c r="M734" i="19" a="1"/>
  <c r="H395" i="19" a="1"/>
  <c r="B642" i="19" a="1"/>
  <c r="G903" i="19" a="1"/>
  <c r="M480" i="19" a="1"/>
  <c r="O722" i="19" a="1"/>
  <c r="F420" i="19" a="1"/>
  <c r="I947" i="19" a="1"/>
  <c r="O1027" i="19" a="1"/>
  <c r="I498" i="19" a="1"/>
  <c r="M891" i="19" a="1"/>
  <c r="H877" i="19" a="1"/>
  <c r="H797" i="19" a="1"/>
  <c r="N705" i="19" a="1"/>
  <c r="B603" i="19" a="1"/>
  <c r="C21" i="19" a="1"/>
  <c r="H784" i="19" a="1"/>
  <c r="H726" i="19" a="1"/>
  <c r="N615" i="19" a="1"/>
  <c r="G987" i="19" a="1"/>
  <c r="C397" i="19" a="1"/>
  <c r="G46" i="19" a="1"/>
  <c r="H704" i="19" a="1"/>
  <c r="N1080" i="19" a="1"/>
  <c r="G1051" i="19" a="1"/>
  <c r="I607" i="19" a="1"/>
  <c r="I405" i="19" a="1"/>
  <c r="I155" i="19" a="1"/>
  <c r="I1109" i="19" a="1"/>
  <c r="G356" i="19" a="1"/>
  <c r="I802" i="19" a="1"/>
  <c r="G355" i="19" a="1"/>
  <c r="G730" i="19" a="1"/>
  <c r="I365" i="19" a="1"/>
  <c r="N906" i="19" a="1"/>
  <c r="I346" i="19" a="1"/>
  <c r="I889" i="19" a="1"/>
  <c r="O1073" i="19" a="1"/>
  <c r="N554" i="19" a="1"/>
  <c r="H1155" i="19" a="1"/>
  <c r="H451" i="19" a="1"/>
  <c r="G410" i="19" a="1"/>
  <c r="O394" i="19" a="1"/>
  <c r="G435" i="19" a="1"/>
  <c r="N1133" i="19" a="1"/>
  <c r="O341" i="19" a="1"/>
  <c r="G103" i="19" a="1"/>
  <c r="N931" i="19" a="1"/>
  <c r="H897" i="19" a="1"/>
  <c r="O760" i="19" a="1"/>
  <c r="O99" i="19" a="1"/>
  <c r="O288" i="19" a="1"/>
  <c r="H555" i="19" a="1"/>
  <c r="H26" i="19" a="1"/>
  <c r="N881" i="19" a="1"/>
  <c r="G220" i="19" a="1"/>
  <c r="N388" i="19" a="1"/>
  <c r="I954" i="19" a="1"/>
  <c r="O650" i="19" a="1"/>
  <c r="O18" i="19" a="1"/>
  <c r="O17" i="19" a="1"/>
  <c r="M1007" i="19" a="1"/>
  <c r="I45" i="19" a="1"/>
  <c r="G668" i="19" a="1"/>
  <c r="N734" i="19" a="1"/>
  <c r="G174" i="19" a="1"/>
  <c r="N482" i="19" a="1"/>
  <c r="G1136" i="19" a="1"/>
  <c r="M710" i="19" a="1"/>
  <c r="N215" i="19" a="1"/>
  <c r="N414" i="19" a="1"/>
  <c r="M166" i="19" a="1"/>
  <c r="O965" i="19" a="1"/>
  <c r="M664" i="19" a="1"/>
  <c r="I638" i="19" a="1"/>
  <c r="L272" i="19" a="1"/>
  <c r="O68" i="19" a="1"/>
  <c r="M183" i="19" a="1"/>
  <c r="O876" i="19" a="1"/>
  <c r="H903" i="19" a="1"/>
  <c r="G377" i="19" a="1"/>
  <c r="I331" i="19" a="1"/>
  <c r="O516" i="19" a="1"/>
  <c r="N256" i="19" a="1"/>
  <c r="N774" i="19" a="1"/>
  <c r="G295" i="19" a="1"/>
  <c r="C754" i="19" a="1"/>
  <c r="N265" i="19" a="1"/>
  <c r="O27" i="19" a="1"/>
  <c r="H249" i="19" a="1"/>
  <c r="G426" i="19" a="1"/>
  <c r="G171" i="19" a="1"/>
  <c r="N550" i="19" a="1"/>
  <c r="N345" i="19" a="1"/>
  <c r="H846" i="19" a="1"/>
  <c r="N860" i="19" a="1"/>
  <c r="N144" i="19" a="1"/>
  <c r="O202" i="19" a="1"/>
  <c r="H498" i="19" a="1"/>
  <c r="A420" i="19" a="1"/>
  <c r="C764" i="19" a="1"/>
  <c r="N591" i="19" a="1"/>
  <c r="N379" i="19" a="1"/>
  <c r="H218" i="19" a="1"/>
  <c r="G581" i="19" a="1"/>
  <c r="H28" i="19" a="1"/>
  <c r="M68" i="19" a="1"/>
  <c r="H210" i="19" a="1"/>
  <c r="G583" i="19" a="1"/>
  <c r="O959" i="19" a="1"/>
  <c r="H767" i="19" a="1"/>
  <c r="M185" i="19" a="1"/>
  <c r="H521" i="19" a="1"/>
  <c r="B827" i="19" a="1"/>
  <c r="O237" i="19" a="1"/>
  <c r="H437" i="19" a="1"/>
  <c r="O1096" i="19" a="1"/>
  <c r="N651" i="19" a="1"/>
  <c r="H758" i="19" a="1"/>
  <c r="I31" i="19" a="1"/>
  <c r="G542" i="19" a="1"/>
  <c r="G52" i="19" a="1"/>
  <c r="M163" i="19" a="1"/>
  <c r="I1107" i="19" a="1"/>
  <c r="N305" i="19" a="1"/>
  <c r="G1069" i="19" a="1"/>
  <c r="O460" i="19" a="1"/>
  <c r="I449" i="19" a="1"/>
  <c r="O478" i="19" a="1"/>
  <c r="O1052" i="19" a="1"/>
  <c r="H577" i="19" a="1"/>
  <c r="I172" i="19" a="1"/>
  <c r="H361" i="19" a="1"/>
  <c r="L161" i="19" a="1"/>
  <c r="H646" i="19" a="1"/>
  <c r="I993" i="19" a="1"/>
  <c r="O947" i="19" a="1"/>
  <c r="N267" i="19" a="1"/>
  <c r="O104" i="19" a="1"/>
  <c r="H681" i="19" a="1"/>
  <c r="M280" i="19" a="1"/>
  <c r="O314" i="19" a="1"/>
  <c r="I301" i="19" a="1"/>
  <c r="M464" i="19" a="1"/>
  <c r="H116" i="19" a="1"/>
  <c r="H418" i="19" a="1"/>
  <c r="O896" i="19" a="1"/>
  <c r="G20" i="19" a="1"/>
  <c r="I515" i="19" a="1"/>
  <c r="I487" i="19" a="1"/>
  <c r="G44" i="19" a="1"/>
  <c r="I164" i="19" a="1"/>
  <c r="N208" i="19" a="1"/>
  <c r="G510" i="19" a="1"/>
  <c r="M444" i="19" a="1"/>
  <c r="I1064" i="19" a="1"/>
  <c r="H282" i="19" a="1"/>
  <c r="C23" i="19" a="1"/>
  <c r="H785" i="19" a="1"/>
  <c r="M342" i="19" a="1"/>
  <c r="G362" i="19" a="1"/>
  <c r="H613" i="19" a="1"/>
  <c r="H922" i="19" a="1"/>
  <c r="I513" i="19" a="1"/>
  <c r="I736" i="19" a="1"/>
  <c r="O598" i="19" a="1"/>
  <c r="M322" i="19" a="1"/>
  <c r="H896" i="19" a="1"/>
  <c r="H435" i="19" a="1"/>
  <c r="G1090" i="19" a="1"/>
  <c r="I351" i="19" a="1"/>
  <c r="H110" i="19" a="1"/>
  <c r="G1077" i="19" a="1"/>
  <c r="N38" i="19" a="1"/>
  <c r="H722" i="19" a="1"/>
  <c r="M98" i="19" a="1"/>
  <c r="M313" i="19" a="1"/>
  <c r="N894" i="19" a="1"/>
  <c r="G599" i="19" a="1"/>
  <c r="O740" i="19" a="1"/>
  <c r="N809" i="19" a="1"/>
  <c r="B751" i="19" a="1"/>
  <c r="G809" i="19" a="1"/>
  <c r="G338" i="19" a="1"/>
  <c r="M184" i="19" a="1"/>
  <c r="I666" i="19" a="1"/>
  <c r="G735" i="19" a="1"/>
  <c r="I285" i="19" a="1"/>
  <c r="N1089" i="19" a="1"/>
  <c r="H185" i="19" a="1"/>
  <c r="M1069" i="19" a="1"/>
  <c r="O165" i="19" a="1"/>
  <c r="B160" i="19" a="1"/>
  <c r="I765" i="19" a="1"/>
  <c r="I16" i="19" a="1"/>
  <c r="H369" i="19" a="1"/>
  <c r="N473" i="19" a="1"/>
  <c r="H324" i="19" a="1"/>
  <c r="G54" i="19" a="1"/>
  <c r="O139" i="19" a="1"/>
  <c r="M630" i="19" a="1"/>
  <c r="B1048" i="19" a="1"/>
  <c r="A679" i="19" a="1"/>
  <c r="O337" i="19" a="1"/>
  <c r="G376" i="19" a="1"/>
  <c r="M483" i="19" a="1"/>
  <c r="O1020" i="19" a="1"/>
  <c r="H706" i="19" a="1"/>
  <c r="N641" i="19" a="1"/>
  <c r="O136" i="19" a="1"/>
  <c r="I420" i="19" a="1"/>
  <c r="O22" i="19" a="1"/>
  <c r="I296" i="19" a="1"/>
  <c r="A975" i="19" a="1"/>
  <c r="I518" i="19" a="1"/>
  <c r="N468" i="19" a="1"/>
  <c r="M438" i="19" a="1"/>
  <c r="H415" i="19" a="1"/>
  <c r="O732" i="19" a="1"/>
  <c r="G644" i="19" a="1"/>
  <c r="M485" i="19" a="1"/>
  <c r="N726" i="19" a="1"/>
  <c r="H430" i="19" a="1"/>
  <c r="I1028" i="19" a="1"/>
  <c r="N400" i="19" a="1"/>
  <c r="H469" i="19" a="1"/>
  <c r="I719" i="19" a="1"/>
  <c r="M570" i="19" a="1"/>
  <c r="N112" i="19" a="1"/>
  <c r="N848" i="19" a="1"/>
  <c r="H379" i="19" a="1"/>
  <c r="N688" i="19" a="1"/>
  <c r="B755" i="19" a="1"/>
  <c r="N604" i="19" a="1"/>
  <c r="O1114" i="19" a="1"/>
  <c r="C1088" i="19" a="1"/>
  <c r="G407" i="19" a="1"/>
  <c r="M334" i="19" a="1"/>
  <c r="O257" i="19" a="1"/>
  <c r="N853" i="19" a="1"/>
  <c r="N725" i="19" a="1"/>
  <c r="N1004" i="19" a="1"/>
  <c r="M113" i="19" a="1"/>
  <c r="I461" i="19" a="1"/>
  <c r="O500" i="19" a="1"/>
  <c r="H1098" i="19" a="1"/>
  <c r="N833" i="19" a="1"/>
  <c r="O772" i="19" a="1"/>
  <c r="N318" i="19" a="1"/>
  <c r="G1066" i="19" a="1"/>
  <c r="N597" i="19" a="1"/>
  <c r="O544" i="19" a="1"/>
  <c r="M62" i="19" a="1"/>
  <c r="N460" i="19" a="1"/>
  <c r="O405" i="19" a="1"/>
  <c r="B234" i="19" a="1"/>
  <c r="N258" i="19" a="1"/>
  <c r="C283" i="19" a="1"/>
  <c r="G1128" i="19" a="1"/>
  <c r="N334" i="19" a="1"/>
  <c r="I1011" i="19" a="1"/>
  <c r="M23" i="19" a="1"/>
  <c r="N576" i="19" a="1"/>
  <c r="O840" i="19" a="1"/>
  <c r="H261" i="19" a="1"/>
  <c r="O931" i="19" a="1"/>
  <c r="O246" i="19" a="1"/>
  <c r="C1055" i="19" a="1"/>
  <c r="I139" i="19" a="1"/>
  <c r="M767" i="19" a="1"/>
  <c r="M302" i="19" a="1"/>
  <c r="H389" i="19" a="1"/>
  <c r="C88" i="19" a="1"/>
  <c r="I674" i="19" a="1"/>
  <c r="I431" i="19" a="1"/>
  <c r="N621" i="19" a="1"/>
  <c r="G546" i="19" a="1"/>
  <c r="I831" i="19" a="1"/>
  <c r="N709" i="19" a="1"/>
  <c r="N661" i="19" a="1"/>
  <c r="I97" i="19" a="1"/>
  <c r="H123" i="19" a="1"/>
  <c r="O287" i="19" a="1"/>
  <c r="N703" i="19" a="1"/>
  <c r="G148" i="19" a="1"/>
  <c r="G580" i="19" a="1"/>
  <c r="H60" i="19" a="1"/>
  <c r="C1016" i="19" a="1"/>
  <c r="G1006" i="19" a="1"/>
  <c r="I192" i="19" a="1"/>
  <c r="B346" i="19" a="1"/>
  <c r="M1041" i="19" a="1"/>
  <c r="M126" i="19" a="1"/>
  <c r="N429" i="19" a="1"/>
  <c r="N277" i="19" a="1"/>
  <c r="H133" i="19" a="1"/>
  <c r="G437" i="19" a="1"/>
  <c r="N302" i="19" a="1"/>
  <c r="I489" i="19" a="1"/>
  <c r="I120" i="19" a="1"/>
  <c r="B12" i="19" a="1"/>
  <c r="H424" i="19" a="1"/>
  <c r="N735" i="19" a="1"/>
  <c r="N443" i="19" a="1"/>
  <c r="G101" i="19" a="1"/>
  <c r="I386" i="19" a="1"/>
  <c r="I274" i="19" a="1"/>
  <c r="H357" i="19" a="1"/>
  <c r="M27" i="19" a="1"/>
  <c r="I478" i="19" a="1"/>
  <c r="G253" i="19" a="1"/>
  <c r="M399" i="19" a="1"/>
  <c r="G878" i="19" a="1"/>
  <c r="N933" i="19" a="1"/>
  <c r="G487" i="19" a="1"/>
  <c r="K346" i="19" a="1"/>
  <c r="C1124" i="19" a="1"/>
  <c r="N937" i="19" a="1"/>
  <c r="H92" i="19" a="1"/>
  <c r="M636" i="19" a="1"/>
  <c r="C950" i="19" a="1"/>
  <c r="F1049" i="19" a="1"/>
  <c r="I696" i="19" a="1"/>
  <c r="G36" i="19" a="1"/>
  <c r="I995" i="19" a="1"/>
  <c r="I808" i="19" a="1"/>
  <c r="O355" i="19" a="1"/>
  <c r="G368" i="19" a="1"/>
  <c r="N278" i="19" a="1"/>
  <c r="F87" i="19" a="1"/>
  <c r="H655" i="19" a="1"/>
  <c r="G649" i="19" a="1"/>
  <c r="I708" i="19" a="1"/>
  <c r="H190" i="19" a="1"/>
  <c r="M330" i="19" a="1"/>
  <c r="N434" i="19" a="1"/>
  <c r="O854" i="19" a="1"/>
  <c r="O293" i="19" a="1"/>
  <c r="H885" i="19" a="1"/>
  <c r="N816" i="19" a="1"/>
  <c r="N149" i="19" a="1"/>
  <c r="C17" i="19" a="1"/>
  <c r="H114" i="19" a="1"/>
  <c r="N1019" i="19" a="1"/>
  <c r="M108" i="19" a="1"/>
  <c r="I28" i="19" a="1"/>
  <c r="I971" i="19" a="1"/>
  <c r="N645" i="19" a="1"/>
  <c r="H496" i="19" a="1"/>
  <c r="H594" i="19" a="1"/>
  <c r="H376" i="19" a="1"/>
  <c r="N814" i="19" a="1"/>
  <c r="H317" i="19" a="1"/>
  <c r="G76" i="19" a="1"/>
  <c r="H1149" i="19" a="1"/>
  <c r="K864" i="19" a="1"/>
  <c r="H748" i="19" a="1"/>
  <c r="M683" i="19" a="1"/>
  <c r="A494" i="19" a="1"/>
  <c r="G855" i="19" a="1"/>
  <c r="N413" i="19" a="1"/>
  <c r="N838" i="19" a="1"/>
  <c r="O173" i="19" a="1"/>
  <c r="N930" i="19" a="1"/>
  <c r="O36" i="19" a="1"/>
  <c r="I311" i="19" a="1"/>
  <c r="H1069" i="19" a="1"/>
  <c r="G722" i="19" a="1"/>
  <c r="M1147" i="19" a="1"/>
  <c r="I36" i="19" a="1"/>
  <c r="O1057" i="19" a="1"/>
  <c r="I561" i="19" a="1"/>
  <c r="I163" i="19" a="1"/>
  <c r="M237" i="19" a="1"/>
  <c r="I497" i="19" a="1"/>
  <c r="M245" i="19" a="1"/>
  <c r="M208" i="19" a="1"/>
  <c r="O244" i="19" a="1"/>
  <c r="I968" i="19" a="1"/>
  <c r="B530" i="19" a="1"/>
  <c r="I572" i="19" a="1"/>
  <c r="O670" i="19" a="1"/>
  <c r="M389" i="19" a="1"/>
  <c r="I496" i="19" a="1"/>
  <c r="M894" i="19" a="1"/>
  <c r="I669" i="19" a="1"/>
  <c r="N245" i="19" a="1"/>
  <c r="G688" i="19" a="1"/>
  <c r="N785" i="19" a="1"/>
  <c r="G279" i="19" a="1"/>
  <c r="I1054" i="19" a="1"/>
  <c r="O115" i="19" a="1"/>
  <c r="I241" i="19" a="1"/>
  <c r="H1042" i="19" a="1"/>
  <c r="I501" i="19" a="1"/>
  <c r="N369" i="19" a="1"/>
  <c r="I1021" i="19" a="1"/>
  <c r="M179" i="19" a="1"/>
  <c r="I961" i="19" a="1"/>
  <c r="I444" i="19" a="1"/>
  <c r="H287" i="19" a="1"/>
  <c r="H426" i="19" a="1"/>
  <c r="N549" i="19" a="1"/>
  <c r="O739" i="19" a="1"/>
  <c r="O193" i="19" a="1"/>
  <c r="N1006" i="19" a="1"/>
  <c r="O422" i="19" a="1"/>
  <c r="I600" i="19" a="1"/>
  <c r="O952" i="19" a="1"/>
  <c r="N192" i="19" a="1"/>
  <c r="N577" i="19" a="1"/>
  <c r="M703" i="19" a="1"/>
  <c r="I428" i="19" a="1"/>
  <c r="M305" i="19" a="1"/>
  <c r="I144" i="19" a="1"/>
  <c r="G49" i="19" a="1"/>
  <c r="O81" i="19" a="1"/>
  <c r="F494" i="19" a="1"/>
  <c r="H280" i="19" a="1"/>
  <c r="G132" i="19" a="1"/>
  <c r="O765" i="19" a="1"/>
  <c r="O100" i="19" a="1"/>
  <c r="H215" i="19" a="1"/>
  <c r="O813" i="19" a="1"/>
  <c r="I912" i="19" a="1"/>
  <c r="N399" i="19" a="1"/>
  <c r="H333" i="19" a="1"/>
  <c r="I554" i="19" a="1"/>
  <c r="N330" i="19" a="1"/>
  <c r="M82" i="19" a="1"/>
  <c r="G333" i="19" a="1"/>
  <c r="O229" i="19" a="1"/>
  <c r="N29" i="19" a="1"/>
  <c r="O107" i="19" a="1"/>
  <c r="N283" i="19" a="1"/>
  <c r="G615" i="19" a="1"/>
  <c r="M612" i="19" a="1"/>
  <c r="I203" i="19" a="1"/>
  <c r="I26" i="19" a="1"/>
  <c r="I1128" i="19" a="1"/>
  <c r="G65" i="19" a="1"/>
  <c r="C125" i="19" a="1"/>
  <c r="N55" i="19" a="1"/>
  <c r="M446" i="19" a="1"/>
  <c r="M818" i="19" a="1"/>
  <c r="B455" i="19" a="1"/>
  <c r="N280" i="19" a="1"/>
  <c r="M511" i="19" a="1"/>
  <c r="O91" i="19" a="1"/>
  <c r="I657" i="19" a="1"/>
  <c r="M627" i="19" a="1"/>
  <c r="N168" i="19" a="1"/>
  <c r="H420" i="19" a="1"/>
  <c r="I846" i="19" a="1"/>
  <c r="G272" i="19" a="1"/>
  <c r="M298" i="19" a="1"/>
  <c r="G190" i="19" a="1"/>
  <c r="N132" i="19" a="1"/>
  <c r="N114" i="19" a="1"/>
  <c r="O904" i="19" a="1"/>
  <c r="N93" i="19" a="1"/>
  <c r="G218" i="19" a="1"/>
  <c r="M871" i="19" a="1"/>
  <c r="G834" i="19" a="1"/>
  <c r="H630" i="19" a="1"/>
  <c r="I200" i="19" a="1"/>
  <c r="M1032" i="19" a="1"/>
  <c r="L864" i="19" a="1"/>
  <c r="I406" i="19" a="1"/>
  <c r="I340" i="19" a="1"/>
  <c r="H627" i="19" a="1"/>
  <c r="O44" i="19" a="1"/>
  <c r="B198" i="19" a="1"/>
  <c r="G129" i="19" a="1"/>
  <c r="I940" i="19" a="1"/>
  <c r="I248" i="19" a="1"/>
  <c r="G769" i="19" a="1"/>
  <c r="G486" i="19" a="1"/>
  <c r="N42" i="19" a="1"/>
  <c r="O816" i="19" a="1"/>
  <c r="M577" i="19" a="1"/>
  <c r="M450" i="19" a="1"/>
  <c r="M357" i="19" a="1"/>
  <c r="I314" i="19" a="1"/>
  <c r="M909" i="19" a="1"/>
  <c r="I484" i="19" a="1"/>
  <c r="C1129" i="19" a="1"/>
  <c r="H882" i="19" a="1"/>
  <c r="N758" i="19" a="1"/>
  <c r="H916" i="19" a="1"/>
  <c r="O808" i="19" a="1"/>
  <c r="I448" i="19" a="1"/>
  <c r="G373" i="19" a="1"/>
  <c r="H843" i="19" a="1"/>
  <c r="H973" i="19" a="1"/>
  <c r="M314" i="19" a="1"/>
  <c r="I361" i="19" a="1"/>
  <c r="B977" i="19" a="1"/>
  <c r="N506" i="19" a="1"/>
  <c r="O317" i="19" a="1"/>
  <c r="H929" i="19" a="1"/>
  <c r="N1037" i="19" a="1"/>
  <c r="N834" i="19" a="1"/>
  <c r="I661" i="19" a="1"/>
  <c r="I1071" i="19" a="1"/>
  <c r="N253" i="19" a="1"/>
  <c r="O856" i="19" a="1"/>
  <c r="H817" i="19" a="1"/>
  <c r="M97" i="19" a="1"/>
  <c r="N873" i="19" a="1"/>
  <c r="B1086" i="19" a="1"/>
  <c r="O325" i="19" a="1"/>
  <c r="O332" i="19" a="1"/>
  <c r="C63" i="19" a="1"/>
  <c r="G248" i="19" a="1"/>
  <c r="G479" i="19" a="1"/>
  <c r="H411" i="19" a="1"/>
  <c r="N950" i="19" a="1"/>
  <c r="H1061" i="19" a="1"/>
  <c r="I670" i="19" a="1"/>
  <c r="H642" i="19" a="1"/>
  <c r="G1129" i="19" a="1"/>
  <c r="C505" i="19" a="1"/>
  <c r="O1154" i="19" a="1"/>
  <c r="N191" i="19" a="1"/>
  <c r="H932" i="19" a="1"/>
  <c r="M1074" i="19" a="1"/>
  <c r="C1101" i="19" a="1"/>
  <c r="G778" i="19" a="1"/>
  <c r="M906" i="19" a="1"/>
  <c r="H1065" i="19" a="1"/>
  <c r="H895" i="19" a="1"/>
  <c r="H671" i="19" a="1"/>
  <c r="I895" i="19" a="1"/>
  <c r="N510" i="19" a="1"/>
  <c r="M694" i="19" a="1"/>
  <c r="I732" i="19" a="1"/>
  <c r="N371" i="19" a="1"/>
  <c r="M669" i="19" a="1"/>
  <c r="G1132" i="19" a="1"/>
  <c r="H735" i="19" a="1"/>
  <c r="C356" i="19" a="1"/>
  <c r="C355" i="19" a="1"/>
  <c r="O993" i="19" a="1"/>
  <c r="M44" i="19" a="1"/>
  <c r="G610" i="19" a="1"/>
  <c r="I836" i="19" a="1"/>
  <c r="N1067" i="19" a="1"/>
  <c r="I1022" i="19" a="1"/>
  <c r="H314" i="19" a="1"/>
  <c r="M757" i="19" a="1"/>
  <c r="O97" i="19" a="1"/>
  <c r="M659" i="19" a="1"/>
  <c r="I175" i="19" a="1"/>
  <c r="M590" i="19" a="1"/>
  <c r="G882" i="19" a="1"/>
  <c r="I594" i="19" a="1"/>
  <c r="H72" i="19" a="1"/>
  <c r="I271" i="19" a="1"/>
  <c r="H189" i="19" a="1"/>
  <c r="N481" i="19" a="1"/>
  <c r="O459" i="19" a="1"/>
  <c r="G87" i="19" a="1"/>
  <c r="I206" i="19" a="1"/>
  <c r="M536" i="19" a="1"/>
  <c r="N678" i="19" a="1"/>
  <c r="N490" i="19" a="1"/>
  <c r="A1120" i="19" a="1"/>
  <c r="M996" i="19" a="1"/>
  <c r="I904" i="19" a="1"/>
  <c r="I208" i="19" a="1"/>
  <c r="I230" i="19" a="1"/>
  <c r="I932" i="19" a="1"/>
  <c r="G1078" i="19" a="1"/>
  <c r="I450" i="19" a="1"/>
  <c r="M513" i="19" a="1"/>
  <c r="M692" i="19" a="1"/>
  <c r="G527" i="19" a="1"/>
  <c r="G73" i="19" a="1"/>
  <c r="M61" i="19" a="1"/>
  <c r="I240" i="19" a="1"/>
  <c r="M171" i="19" a="1"/>
  <c r="F235" i="19" a="1"/>
  <c r="O275" i="19" a="1"/>
  <c r="M15" i="19" a="1"/>
  <c r="H574" i="19" a="1"/>
  <c r="M1023" i="19" a="1"/>
  <c r="G561" i="19" a="1"/>
  <c r="I729" i="19" a="1"/>
  <c r="I763" i="19" a="1"/>
  <c r="I784" i="19" a="1"/>
  <c r="G95" i="19" a="1"/>
  <c r="M428" i="19" a="1"/>
  <c r="N673" i="19" a="1"/>
  <c r="H944" i="19" a="1"/>
  <c r="N209" i="19" a="1"/>
  <c r="M81" i="19" a="1"/>
  <c r="I1024" i="19" a="1"/>
  <c r="G167" i="19" a="1"/>
  <c r="N932" i="19" a="1"/>
  <c r="I570" i="19" a="1"/>
  <c r="O19" i="19" a="1"/>
  <c r="M64" i="19" a="1"/>
  <c r="M157" i="19" a="1"/>
  <c r="M649" i="19" a="1"/>
  <c r="G107" i="19" a="1"/>
  <c r="H866" i="19" a="1"/>
  <c r="N101" i="19" a="1"/>
  <c r="I362" i="19" a="1"/>
  <c r="M727" i="19" a="1"/>
  <c r="H159" i="19" a="1"/>
  <c r="H1080" i="19" a="1"/>
  <c r="H331" i="19" a="1"/>
  <c r="G1056" i="19" a="1"/>
  <c r="H874" i="19" a="1"/>
  <c r="O194" i="19" a="1"/>
  <c r="M323" i="19" a="1"/>
  <c r="N563" i="19" a="1"/>
  <c r="I229" i="19" a="1"/>
  <c r="I755" i="19" a="1"/>
  <c r="M187" i="19" a="1"/>
  <c r="O131" i="19" a="1"/>
  <c r="H59" i="19" a="1"/>
  <c r="M354" i="19" a="1"/>
  <c r="H270" i="19" a="1"/>
  <c r="O439" i="19" a="1"/>
  <c r="N160" i="19" a="1"/>
  <c r="G952" i="19" a="1"/>
  <c r="I304" i="19" a="1"/>
  <c r="O69" i="19" a="1"/>
  <c r="I305" i="19" a="1"/>
  <c r="G798" i="19" a="1"/>
  <c r="N839" i="19" a="1"/>
  <c r="H313" i="19" a="1"/>
  <c r="H561" i="19" a="1"/>
  <c r="O921" i="19" a="1"/>
  <c r="O777" i="19" a="1"/>
  <c r="I533" i="19" a="1"/>
  <c r="G358" i="19" a="1"/>
  <c r="N28" i="19" a="1"/>
  <c r="H834" i="19" a="1"/>
  <c r="I429" i="19" a="1"/>
  <c r="N49" i="19" a="1"/>
  <c r="I100" i="19" a="1"/>
  <c r="N866" i="19" a="1"/>
  <c r="M500" i="19" a="1"/>
  <c r="M281" i="19" a="1"/>
  <c r="I1000" i="19" a="1"/>
  <c r="M578" i="19" a="1"/>
  <c r="G469" i="19" a="1"/>
  <c r="I892" i="19" a="1"/>
  <c r="G570" i="19" a="1"/>
  <c r="I595" i="19" a="1"/>
  <c r="O153" i="19" a="1"/>
  <c r="M1044" i="19" a="1"/>
  <c r="M432" i="19" a="1"/>
  <c r="I243" i="19" a="1"/>
  <c r="B345" i="19" a="1"/>
  <c r="H778" i="19" a="1"/>
  <c r="M459" i="19" a="1"/>
  <c r="N696" i="19" a="1"/>
  <c r="A84" i="19" a="1"/>
  <c r="H137" i="19" a="1"/>
  <c r="M615" i="19" a="1"/>
  <c r="I879" i="19" a="1"/>
  <c r="M70" i="19" a="1"/>
  <c r="I953" i="19" a="1"/>
  <c r="M706" i="19" a="1"/>
  <c r="N764" i="19" a="1"/>
  <c r="N1141" i="19" a="1"/>
  <c r="O258" i="19" a="1"/>
  <c r="I615" i="19" a="1"/>
  <c r="O329" i="19" a="1"/>
  <c r="M110" i="19" a="1"/>
  <c r="I810" i="19" a="1"/>
  <c r="M301" i="19" a="1"/>
  <c r="O945" i="19" a="1"/>
  <c r="F827" i="19" a="1"/>
  <c r="N222" i="19" a="1"/>
  <c r="G705" i="19" a="1"/>
  <c r="G830" i="19" a="1"/>
  <c r="N513" i="19" a="1"/>
  <c r="G1155" i="19" a="1"/>
  <c r="G389" i="19" a="1"/>
  <c r="H33" i="19" a="1"/>
  <c r="O847" i="19" a="1"/>
  <c r="G203" i="19" a="1"/>
  <c r="O80" i="19" a="1"/>
  <c r="G359" i="19" a="1"/>
  <c r="G473" i="19" a="1"/>
  <c r="G1093" i="19" a="1"/>
  <c r="N941" i="19" a="1"/>
  <c r="G507" i="19" a="1"/>
  <c r="O148" i="19" a="1"/>
  <c r="G703" i="19" a="1"/>
  <c r="H447" i="19" a="1"/>
  <c r="G1034" i="19" a="1"/>
  <c r="I245" i="19" a="1"/>
  <c r="H94" i="19" a="1"/>
  <c r="O151" i="19" a="1"/>
  <c r="H651" i="19" a="1"/>
  <c r="N685" i="19" a="1"/>
  <c r="I412" i="19" a="1"/>
  <c r="B494" i="19" a="1"/>
  <c r="O440" i="19" a="1"/>
  <c r="N416" i="19" a="1"/>
  <c r="G961" i="19" a="1"/>
  <c r="G780" i="19" a="1"/>
  <c r="O296" i="19" a="1"/>
  <c r="M803" i="19" a="1"/>
  <c r="H54" i="19" a="1"/>
  <c r="H732" i="19" a="1"/>
  <c r="H884" i="19" a="1"/>
  <c r="M105" i="19" a="1"/>
  <c r="N332" i="19" a="1"/>
  <c r="A528" i="19" a="1"/>
  <c r="M893" i="19" a="1"/>
  <c r="G673" i="19" a="1"/>
  <c r="H997" i="19" a="1"/>
  <c r="N1062" i="19" a="1"/>
  <c r="M1106" i="19" a="1"/>
  <c r="O930" i="19" a="1"/>
  <c r="A10" i="19" a="1"/>
  <c r="I56" i="19" a="1"/>
  <c r="H38" i="19" a="1"/>
  <c r="G708" i="19" a="1"/>
  <c r="N797" i="19" a="1"/>
  <c r="H1014" i="19" a="1"/>
  <c r="M847" i="19" a="1"/>
  <c r="H618" i="19" a="1"/>
  <c r="H819" i="19" a="1"/>
  <c r="O1139" i="19" a="1"/>
  <c r="C903" i="19" a="1"/>
  <c r="H1119" i="19" a="1"/>
  <c r="N279" i="19" a="1"/>
  <c r="I620" i="19" a="1"/>
  <c r="C466" i="19" a="1"/>
  <c r="N406" i="19" a="1"/>
  <c r="N438" i="19" a="1"/>
  <c r="H852" i="19" a="1"/>
  <c r="M775" i="19" a="1"/>
  <c r="A898" i="19" a="1"/>
  <c r="M1054" i="19" a="1"/>
  <c r="O268" i="19" a="1"/>
  <c r="I1122" i="19" a="1"/>
  <c r="G896" i="19" a="1"/>
  <c r="I123" i="19" a="1"/>
  <c r="C319" i="19" a="1"/>
  <c r="G940" i="19" a="1"/>
  <c r="N259" i="19" a="1"/>
  <c r="O911" i="19" a="1"/>
  <c r="C791" i="19" a="1"/>
  <c r="M315" i="19" a="1"/>
  <c r="M995" i="19" a="1"/>
  <c r="H93" i="19" a="1"/>
  <c r="A1123" i="19" a="1"/>
  <c r="O912" i="19" a="1"/>
  <c r="O67" i="19" a="1"/>
  <c r="N74" i="19" a="1"/>
  <c r="I673" i="19" a="1"/>
  <c r="B901" i="19" a="1"/>
  <c r="N720" i="19" a="1"/>
  <c r="B753" i="19" a="1"/>
  <c r="I490" i="19" a="1"/>
  <c r="I688" i="19" a="1"/>
  <c r="I1111" i="19" a="1"/>
  <c r="H118" i="19" a="1"/>
  <c r="N298" i="19" a="1"/>
  <c r="M1039" i="19" a="1"/>
  <c r="O668" i="19" a="1"/>
  <c r="N744" i="19" a="1"/>
  <c r="I656" i="19" a="1"/>
  <c r="M1003" i="19" a="1"/>
  <c r="M736" i="19" a="1"/>
  <c r="G745" i="19" a="1"/>
  <c r="I847" i="19" a="1"/>
  <c r="N154" i="19" a="1"/>
  <c r="M283" i="19" a="1"/>
  <c r="I1126" i="19" a="1"/>
  <c r="N68" i="19" a="1"/>
  <c r="H999" i="19" a="1"/>
  <c r="M211" i="19" a="1"/>
  <c r="G256" i="19" a="1"/>
  <c r="O505" i="19" a="1"/>
  <c r="H724" i="19" a="1"/>
  <c r="I537" i="19" a="1"/>
  <c r="G520" i="19" a="1"/>
  <c r="G535" i="19" a="1"/>
  <c r="O177" i="19" a="1"/>
  <c r="I1145" i="19" a="1"/>
  <c r="H104" i="19" a="1"/>
  <c r="H692" i="19" a="1"/>
  <c r="N182" i="19" a="1"/>
  <c r="O475" i="19" a="1"/>
  <c r="M146" i="19" a="1"/>
  <c r="M24" i="19" a="1"/>
  <c r="N1021" i="19" a="1"/>
  <c r="I173" i="19" a="1"/>
  <c r="N719" i="19" a="1"/>
  <c r="M34" i="19" a="1"/>
  <c r="I18" i="19" a="1"/>
  <c r="G582" i="19" a="1"/>
  <c r="N520" i="19" a="1"/>
  <c r="O112" i="19" a="1"/>
  <c r="M656" i="19" a="1"/>
  <c r="O178" i="19" a="1"/>
  <c r="H475" i="19" a="1"/>
  <c r="I590" i="19" a="1"/>
  <c r="N227" i="19" a="1"/>
  <c r="N718" i="19" a="1"/>
  <c r="N264" i="19" a="1"/>
  <c r="O21" i="19" a="1"/>
  <c r="O130" i="19" a="1"/>
  <c r="G193" i="19" a="1"/>
  <c r="L753" i="19" a="1"/>
  <c r="N290" i="19" a="1"/>
  <c r="O620" i="19" a="1"/>
  <c r="C98" i="19" a="1"/>
  <c r="I1016" i="19" a="1"/>
  <c r="N692" i="19" a="1"/>
  <c r="N631" i="19" a="1"/>
  <c r="O871" i="19" a="1"/>
  <c r="N20" i="19" a="1"/>
  <c r="M599" i="19" a="1"/>
  <c r="A454" i="19" a="1"/>
  <c r="O708" i="19" a="1"/>
  <c r="H86" i="19" a="1"/>
  <c r="B196" i="19" a="1"/>
  <c r="M292" i="19" a="1"/>
  <c r="O342" i="19" a="1"/>
  <c r="H536" i="19" a="1"/>
  <c r="C1095" i="19" a="1"/>
  <c r="G18" i="19" a="1"/>
  <c r="N246" i="19" a="1"/>
  <c r="I23" i="19" a="1"/>
  <c r="G393" i="19" a="1"/>
  <c r="M223" i="19" a="1"/>
  <c r="M823" i="19" a="1"/>
  <c r="M130" i="19" a="1"/>
  <c r="G313" i="19" a="1"/>
  <c r="M883" i="19" a="1"/>
  <c r="I837" i="19" a="1"/>
  <c r="N165" i="19" a="1"/>
  <c r="H207" i="19" a="1"/>
  <c r="I471" i="19" a="1"/>
  <c r="H940" i="19" a="1"/>
  <c r="H462" i="19" a="1"/>
  <c r="I436" i="19" a="1"/>
  <c r="N224" i="19" a="1"/>
  <c r="H404" i="19" a="1"/>
  <c r="H443" i="19" a="1"/>
  <c r="M583" i="19" a="1"/>
  <c r="B975" i="19" a="1"/>
  <c r="I132" i="19" a="1"/>
  <c r="I591" i="19" a="1"/>
  <c r="H760" i="19" a="1"/>
  <c r="B678" i="19" a="1"/>
  <c r="M147" i="19" a="1"/>
  <c r="N921" i="19" a="1"/>
  <c r="H263" i="19" a="1"/>
  <c r="I318" i="19" a="1"/>
  <c r="N424" i="19" a="1"/>
  <c r="M132" i="19" a="1"/>
  <c r="O463" i="19" a="1"/>
  <c r="O471" i="19" a="1"/>
  <c r="I474" i="19" a="1"/>
  <c r="M574" i="19" a="1"/>
  <c r="N742" i="19" a="1"/>
  <c r="G776" i="19" a="1"/>
  <c r="M888" i="19" a="1"/>
  <c r="H1153" i="19" a="1"/>
  <c r="M109" i="19" a="1"/>
  <c r="G197" i="19" a="1"/>
  <c r="I647" i="19" a="1"/>
  <c r="G592" i="19" a="1"/>
  <c r="H709" i="19" a="1"/>
  <c r="O281" i="19" a="1"/>
  <c r="O70" i="19" a="1"/>
  <c r="G443" i="19" a="1"/>
  <c r="O730" i="19" a="1"/>
  <c r="N829" i="19" a="1"/>
  <c r="O73" i="19" a="1"/>
  <c r="H422" i="19" a="1"/>
  <c r="N365" i="19" a="1"/>
  <c r="O593" i="19" a="1"/>
  <c r="M851" i="19" a="1"/>
  <c r="M885" i="19" a="1"/>
  <c r="I996" i="19" a="1"/>
  <c r="O629" i="19" a="1"/>
  <c r="G702" i="19" a="1"/>
  <c r="G1081" i="19" a="1"/>
  <c r="G81" i="19" a="1"/>
  <c r="I275" i="19" a="1"/>
  <c r="I585" i="19" a="1"/>
  <c r="L716" i="19" a="1"/>
  <c r="I752" i="19" a="1"/>
  <c r="G230" i="19" a="1"/>
  <c r="M289" i="19" a="1"/>
  <c r="M391" i="19" a="1"/>
  <c r="M782" i="19" a="1"/>
  <c r="G250" i="19" a="1"/>
  <c r="H753" i="19" a="1"/>
  <c r="H595" i="19" a="1"/>
  <c r="N16" i="19" a="1"/>
  <c r="H880" i="19" a="1"/>
  <c r="I111" i="19" a="1"/>
  <c r="L457" i="19" a="1"/>
  <c r="M407" i="19" a="1"/>
  <c r="G93" i="19" a="1"/>
  <c r="G749" i="19" a="1"/>
  <c r="I864" i="19" a="1"/>
  <c r="M118" i="19" a="1"/>
  <c r="O156" i="19" a="1"/>
  <c r="O239" i="19" a="1"/>
  <c r="C25" i="19" a="1"/>
  <c r="G870" i="19" a="1"/>
  <c r="G924" i="19" a="1"/>
  <c r="M830" i="19" a="1"/>
  <c r="O247" i="19" a="1"/>
  <c r="I462" i="19" a="1"/>
  <c r="B862" i="19" a="1"/>
  <c r="N533" i="19" a="1"/>
  <c r="G877" i="19" a="1"/>
  <c r="I182" i="19" a="1"/>
  <c r="H522" i="19" a="1"/>
  <c r="O78" i="19" a="1"/>
  <c r="M218" i="19" a="1"/>
  <c r="M1019" i="19" a="1"/>
  <c r="B531" i="19" a="1"/>
  <c r="H390" i="19" a="1"/>
  <c r="M288" i="19" a="1"/>
  <c r="I224" i="19" a="1"/>
  <c r="N614" i="19" a="1"/>
  <c r="N502" i="19" a="1"/>
  <c r="H288" i="19" a="1"/>
  <c r="O451" i="19" a="1"/>
  <c r="N234" i="19" a="1"/>
  <c r="N288" i="19" a="1"/>
  <c r="M201" i="19" a="1"/>
  <c r="M430" i="19" a="1"/>
  <c r="O585" i="19" a="1"/>
  <c r="N296" i="19" a="1"/>
  <c r="O23" i="19" a="1"/>
  <c r="M556" i="19" a="1"/>
  <c r="I477" i="19" a="1"/>
  <c r="M106" i="19" a="1"/>
  <c r="M1005" i="19" a="1"/>
  <c r="G178" i="19" a="1"/>
  <c r="O279" i="19" a="1"/>
  <c r="G92" i="19" a="1"/>
  <c r="H177" i="19" a="1"/>
  <c r="M499" i="19" a="1"/>
  <c r="N808" i="19" a="1"/>
  <c r="H250" i="19" a="1"/>
  <c r="O374" i="19" a="1"/>
  <c r="O1111" i="19" a="1"/>
  <c r="M910" i="19" a="1"/>
  <c r="I184" i="19" a="1"/>
  <c r="O300" i="19" a="1"/>
  <c r="O369" i="19" a="1"/>
  <c r="I324" i="19" a="1"/>
  <c r="O215" i="19" a="1"/>
  <c r="M219" i="19" a="1"/>
  <c r="I601" i="19" a="1"/>
  <c r="I432" i="19" a="1"/>
  <c r="O375" i="19" a="1"/>
  <c r="H124" i="19" a="1"/>
  <c r="H707" i="19" a="1"/>
  <c r="I814" i="19" a="1"/>
  <c r="H351" i="19" a="1"/>
  <c r="I138" i="19" a="1"/>
  <c r="N374" i="19" a="1"/>
  <c r="B87" i="19" a="1"/>
  <c r="N377" i="19" a="1"/>
  <c r="A1009" i="19" a="1"/>
  <c r="O918" i="19" a="1"/>
  <c r="H293" i="19" a="1"/>
  <c r="C1131" i="19" a="1"/>
  <c r="G994" i="19" a="1"/>
  <c r="H945" i="19" a="1"/>
  <c r="N442" i="19" a="1"/>
  <c r="O685" i="19" a="1"/>
  <c r="G293" i="19" a="1"/>
  <c r="M1130" i="19" a="1"/>
  <c r="H994" i="19" a="1"/>
  <c r="G419" i="19" a="1"/>
  <c r="N757" i="19" a="1"/>
  <c r="N92" i="19" a="1"/>
  <c r="O1072" i="19" a="1"/>
  <c r="N635" i="19" a="1"/>
  <c r="O349" i="19" a="1"/>
  <c r="M808" i="19" a="1"/>
  <c r="H648" i="19" a="1"/>
  <c r="I875" i="19" a="1"/>
  <c r="M553" i="19" a="1"/>
  <c r="G296" i="19" a="1"/>
  <c r="I812" i="19" a="1"/>
  <c r="M984" i="19" a="1"/>
  <c r="O1058" i="19" a="1"/>
  <c r="M423" i="19" a="1"/>
  <c r="H181" i="19" a="1"/>
  <c r="O614" i="19" a="1"/>
  <c r="I113" i="19" a="1"/>
  <c r="M1016" i="19" a="1"/>
  <c r="N909" i="19" a="1"/>
  <c r="H278" i="19" a="1"/>
  <c r="I905" i="19" a="1"/>
  <c r="N180" i="19" a="1"/>
  <c r="G221" i="19" a="1"/>
  <c r="O423" i="19" a="1"/>
  <c r="G399" i="19" a="1"/>
  <c r="N143" i="19" a="1"/>
  <c r="M240" i="19" a="1"/>
  <c r="O518" i="19" a="1"/>
  <c r="H1109" i="19" a="1"/>
  <c r="N368" i="19" a="1"/>
  <c r="G345" i="19" a="1"/>
  <c r="N616" i="19" a="1"/>
  <c r="I1043" i="19" a="1"/>
  <c r="O538" i="19" a="1"/>
  <c r="M461" i="19" a="1"/>
  <c r="I933" i="19" a="1"/>
  <c r="I443" i="19" a="1"/>
  <c r="G58" i="19" a="1"/>
  <c r="N479" i="19" a="1"/>
  <c r="H505" i="19" a="1"/>
  <c r="I150" i="19" a="1"/>
  <c r="N869" i="19" a="1"/>
  <c r="M484" i="19" a="1"/>
  <c r="I815" i="19" a="1"/>
  <c r="G264" i="19" a="1"/>
  <c r="M504" i="19" a="1"/>
  <c r="O662" i="19" a="1"/>
  <c r="I775" i="19" a="1"/>
  <c r="M372" i="19" a="1"/>
  <c r="O757" i="19" a="1"/>
  <c r="I249" i="19" a="1"/>
  <c r="G695" i="19" a="1"/>
  <c r="I27" i="19" a="1"/>
  <c r="H106" i="19" a="1"/>
  <c r="N321" i="19" a="1"/>
  <c r="H1092" i="19" a="1"/>
  <c r="B49" i="19" a="1"/>
  <c r="I177" i="19" a="1"/>
  <c r="H341" i="19" a="1"/>
  <c r="I364" i="19" a="1"/>
  <c r="B235" i="19" a="1"/>
  <c r="N189" i="19" a="1"/>
  <c r="I135" i="19" a="1"/>
  <c r="O525" i="19" a="1"/>
  <c r="G879" i="19" a="1"/>
  <c r="N845" i="19" a="1"/>
  <c r="G505" i="19" a="1"/>
  <c r="H545" i="19" a="1"/>
  <c r="M840" i="19" a="1"/>
  <c r="H172" i="19" a="1"/>
  <c r="G917" i="19" a="1"/>
  <c r="N75" i="19" a="1"/>
  <c r="I353" i="19" a="1"/>
  <c r="O64" i="19" a="1"/>
  <c r="N841" i="19" a="1"/>
  <c r="F531" i="19" a="1"/>
  <c r="G795" i="19" a="1"/>
  <c r="A938" i="19" a="1"/>
  <c r="I281" i="19" a="1"/>
  <c r="G931" i="19" a="1"/>
  <c r="M1055" i="19" a="1"/>
  <c r="N142" i="19" a="1"/>
  <c r="A87" i="19" a="1"/>
  <c r="H338" i="19" a="1"/>
  <c r="O304" i="19" a="1"/>
  <c r="I12" i="19" a="1"/>
  <c r="I106" i="19" a="1"/>
  <c r="G537" i="19" a="1"/>
  <c r="G816" i="19" a="1"/>
  <c r="O204" i="19" a="1"/>
  <c r="G1153" i="19" a="1"/>
  <c r="I319" i="19" a="1"/>
  <c r="G1005" i="19" a="1"/>
  <c r="H211" i="19" a="1"/>
  <c r="G614" i="19" a="1"/>
  <c r="H711" i="19" a="1"/>
  <c r="I658" i="19" a="1"/>
  <c r="H234" i="19" a="1"/>
  <c r="I511" i="19" a="1"/>
  <c r="G321" i="19" a="1"/>
  <c r="H892" i="19" a="1"/>
  <c r="N163" i="19" a="1"/>
  <c r="M395" i="19" a="1"/>
  <c r="G1012" i="19" a="1"/>
  <c r="O656" i="19" a="1"/>
  <c r="I883" i="19" a="1"/>
  <c r="O119" i="19" a="1"/>
  <c r="O371" i="19" a="1"/>
  <c r="M295" i="19" a="1"/>
  <c r="H120" i="19" a="1"/>
  <c r="G659" i="19" a="1"/>
  <c r="G572" i="19" a="1"/>
  <c r="I975" i="19" a="1"/>
  <c r="N1068" i="19" a="1"/>
  <c r="N446" i="19" a="1"/>
  <c r="O103" i="19" a="1"/>
  <c r="N59" i="19" a="1"/>
  <c r="M1098" i="19" a="1"/>
  <c r="H678" i="19" a="1"/>
  <c r="H930" i="19" a="1"/>
  <c r="O646" i="19" a="1"/>
  <c r="O192" i="19" a="1"/>
  <c r="I877" i="19" a="1"/>
  <c r="H237" i="19" a="1"/>
  <c r="N238" i="19" a="1"/>
  <c r="H22" i="19" a="1"/>
  <c r="O214" i="19" a="1"/>
  <c r="N140" i="19" a="1"/>
  <c r="O838" i="19" a="1"/>
  <c r="M339" i="19" a="1"/>
  <c r="O833" i="19" a="1"/>
  <c r="I247" i="19" a="1"/>
  <c r="H113" i="19" a="1"/>
  <c r="I475" i="19" a="1"/>
  <c r="H806" i="19" a="1"/>
  <c r="G612" i="19" a="1"/>
  <c r="M873" i="19" a="1"/>
  <c r="O694" i="19" a="1"/>
  <c r="H412" i="19" a="1"/>
  <c r="H614" i="19" a="1"/>
  <c r="N619" i="19" a="1"/>
  <c r="I363" i="19" a="1"/>
  <c r="H622" i="19" a="1"/>
  <c r="N762" i="19" a="1"/>
  <c r="H927" i="19" a="1"/>
  <c r="I313" i="19" a="1"/>
  <c r="H461" i="19" a="1"/>
  <c r="N964" i="19" a="1"/>
  <c r="K198" i="19" a="1"/>
  <c r="M248" i="19" a="1"/>
  <c r="O608" i="19" a="1"/>
  <c r="H539" i="19" a="1"/>
  <c r="M426" i="19" a="1"/>
  <c r="I107" i="19" a="1"/>
  <c r="M621" i="19" a="1"/>
  <c r="N63" i="19" a="1"/>
  <c r="H112" i="19" a="1"/>
  <c r="M371" i="19" a="1"/>
  <c r="H1026" i="19" a="1"/>
  <c r="G222" i="19" a="1"/>
  <c r="G624" i="19" a="1"/>
  <c r="M56" i="19" a="1"/>
  <c r="M215" i="19" a="1"/>
  <c r="B161" i="19" a="1"/>
  <c r="I260" i="19" a="1"/>
  <c r="N391" i="19" a="1"/>
  <c r="H383" i="19" a="1"/>
  <c r="N294" i="19" a="1"/>
  <c r="G801" i="19" a="1"/>
  <c r="M167" i="19" a="1"/>
  <c r="M370" i="19" a="1"/>
  <c r="N958" i="19" a="1"/>
  <c r="N376" i="19" a="1"/>
  <c r="M175" i="19" a="1"/>
  <c r="I423" i="19" a="1"/>
  <c r="I50" i="19" a="1"/>
  <c r="M628" i="19" a="1"/>
  <c r="G471" i="19" a="1"/>
  <c r="M251" i="19" a="1"/>
  <c r="O452" i="19" a="1"/>
  <c r="O95" i="19" a="1"/>
  <c r="A935" i="19" a="1"/>
  <c r="N323" i="19" a="1"/>
  <c r="G142" i="19" a="1"/>
  <c r="I521" i="19" a="1"/>
  <c r="G360" i="19" a="1"/>
  <c r="H204" i="19" a="1"/>
  <c r="G674" i="19" a="1"/>
  <c r="H862" i="19" a="1"/>
  <c r="G242" i="19" a="1"/>
  <c r="N522" i="19" a="1"/>
  <c r="O32" i="19" a="1"/>
  <c r="G489" i="19" a="1"/>
  <c r="M561" i="19" a="1"/>
  <c r="M518" i="19" a="1"/>
  <c r="G315" i="19" a="1"/>
  <c r="M155" i="19" a="1"/>
  <c r="G304" i="19" a="1"/>
  <c r="I481" i="19" a="1"/>
  <c r="G425" i="19" a="1"/>
  <c r="N250" i="19" a="1"/>
  <c r="O453" i="19" a="1"/>
  <c r="M792" i="19" a="1"/>
  <c r="I171" i="19" a="1"/>
  <c r="N557" i="19" a="1"/>
  <c r="G475" i="19" a="1"/>
  <c r="N983" i="19" a="1"/>
  <c r="G670" i="19" a="1"/>
  <c r="G547" i="19" a="1"/>
  <c r="O265" i="19" a="1"/>
  <c r="H43" i="19" a="1"/>
  <c r="I662" i="19" a="1"/>
  <c r="O977" i="19" a="1"/>
  <c r="G328" i="19" a="1"/>
  <c r="H576" i="19" a="1"/>
  <c r="N223" i="19" a="1"/>
  <c r="M856" i="19" a="1"/>
  <c r="M224" i="19" a="1"/>
  <c r="G1082" i="19" a="1"/>
  <c r="O171" i="19" a="1"/>
  <c r="I339" i="19" a="1"/>
  <c r="H974" i="19" a="1"/>
  <c r="H176" i="19" a="1"/>
  <c r="N627" i="19" a="1"/>
  <c r="M654" i="19" a="1"/>
  <c r="N426" i="19" a="1"/>
  <c r="M486" i="19" a="1"/>
  <c r="I280" i="19" a="1"/>
  <c r="N486" i="19" a="1"/>
  <c r="G283" i="19" a="1"/>
  <c r="L568" i="19" a="1"/>
  <c r="O138" i="19" a="1"/>
  <c r="I630" i="19" a="1"/>
  <c r="O402" i="19" a="1"/>
  <c r="G350" i="19" a="1"/>
  <c r="O39" i="19" a="1"/>
  <c r="M431" i="19" a="1"/>
  <c r="N431" i="19" a="1"/>
  <c r="O647" i="19" a="1"/>
  <c r="M55" i="19" a="1"/>
  <c r="H180" i="19" a="1"/>
  <c r="I486" i="19" a="1"/>
  <c r="G557" i="19" a="1"/>
  <c r="I507" i="19" a="1"/>
  <c r="M54" i="19" a="1"/>
  <c r="N793" i="19" a="1"/>
  <c r="H264" i="19" a="1"/>
  <c r="C209" i="19" a="1"/>
  <c r="N1153" i="19" a="1"/>
  <c r="M129" i="19" a="1"/>
  <c r="G1071" i="19" a="1"/>
  <c r="N960" i="19" a="1"/>
  <c r="I913" i="19" a="1"/>
  <c r="M831" i="19" a="1"/>
  <c r="N946" i="19" a="1"/>
  <c r="H826" i="19" a="1"/>
  <c r="H702" i="19" a="1"/>
  <c r="H11" i="19" a="1"/>
  <c r="M878" i="19" a="1"/>
  <c r="N79" i="19" a="1"/>
  <c r="N572" i="19" a="1"/>
  <c r="I840" i="19" a="1"/>
  <c r="N1072" i="19" a="1"/>
  <c r="I46" i="19" a="1"/>
  <c r="I438" i="19" a="1"/>
  <c r="O521" i="19" a="1"/>
  <c r="N230" i="19" a="1"/>
  <c r="M977" i="19" a="1"/>
  <c r="M540" i="19" a="1"/>
  <c r="N820" i="19" a="1"/>
  <c r="I1112" i="19" a="1"/>
  <c r="G513" i="19" a="1"/>
  <c r="G353" i="19" a="1"/>
  <c r="G23" i="19" a="1"/>
  <c r="G215" i="19" a="1"/>
  <c r="H1055" i="19" a="1"/>
  <c r="O882" i="19" a="1"/>
  <c r="C162" i="19" a="1"/>
  <c r="H1138" i="19" a="1"/>
  <c r="M73" i="19" a="1"/>
  <c r="I1035" i="19" a="1"/>
  <c r="O34" i="19" a="1"/>
  <c r="N395" i="19" a="1"/>
  <c r="G413" i="19" a="1"/>
  <c r="M693" i="19" a="1"/>
  <c r="O254" i="19" a="1"/>
  <c r="G450" i="19" a="1"/>
  <c r="H433" i="19" a="1"/>
  <c r="A531" i="19" a="1"/>
  <c r="N1060" i="19" a="1"/>
  <c r="N988" i="19" a="1"/>
  <c r="G398" i="19" a="1"/>
  <c r="H1095" i="19" a="1"/>
  <c r="G1003" i="19" a="1"/>
  <c r="I510" i="19" a="1"/>
  <c r="O523" i="19" a="1"/>
  <c r="G247" i="19" a="1"/>
  <c r="O424" i="19" a="1"/>
  <c r="G651" i="19" a="1"/>
  <c r="G400" i="19" a="1"/>
  <c r="G83" i="19" a="1"/>
  <c r="O729" i="19" a="1"/>
  <c r="G396" i="19" a="1"/>
  <c r="I718" i="19" a="1"/>
  <c r="N293" i="19" a="1"/>
  <c r="I439" i="19" a="1"/>
  <c r="O251" i="19" a="1"/>
  <c r="H66" i="19" a="1"/>
  <c r="H297" i="19" a="1"/>
  <c r="G608" i="19" a="1"/>
  <c r="I783" i="19" a="1"/>
  <c r="G768" i="19" a="1"/>
  <c r="G474" i="19" a="1"/>
  <c r="H157" i="19" a="1"/>
  <c r="I395" i="19" a="1"/>
  <c r="M842" i="19" a="1"/>
  <c r="G305" i="19" a="1"/>
  <c r="N1096" i="19" a="1"/>
  <c r="O185" i="19" a="1"/>
  <c r="B13" i="19" a="1"/>
  <c r="H141" i="19" a="1"/>
  <c r="A642" i="19" a="1"/>
  <c r="H990" i="19" a="1"/>
  <c r="M434" i="19" a="1"/>
  <c r="G622" i="19" a="1"/>
  <c r="O201" i="19" a="1"/>
  <c r="O359" i="19" a="1"/>
  <c r="I109" i="19" a="1"/>
  <c r="H792" i="19" a="1"/>
  <c r="M35" i="19" a="1"/>
  <c r="I292" i="19" a="1"/>
  <c r="I425" i="19" a="1"/>
  <c r="I411" i="19" a="1"/>
  <c r="M71" i="19" a="1"/>
  <c r="M810" i="19" a="1"/>
  <c r="O726" i="19" a="1"/>
  <c r="M69" i="19" a="1"/>
  <c r="O412" i="19" a="1"/>
  <c r="G166" i="19" a="1"/>
  <c r="N372" i="19" a="1"/>
  <c r="H115" i="19" a="1"/>
  <c r="H235" i="19" a="1"/>
  <c r="G341" i="19" a="1"/>
  <c r="I559" i="19" a="1"/>
  <c r="A457" i="19" a="1"/>
  <c r="N70" i="19" a="1"/>
  <c r="H629" i="19" a="1"/>
  <c r="M675" i="19" a="1"/>
  <c r="H413" i="19" a="1"/>
  <c r="N107" i="19" a="1"/>
  <c r="G429" i="19" a="1"/>
  <c r="N773" i="19" a="1"/>
  <c r="N86" i="19" a="1"/>
  <c r="G790" i="19" a="1"/>
  <c r="I777" i="19" a="1"/>
  <c r="A272" i="19" a="1"/>
  <c r="N39" i="19" a="1"/>
  <c r="H854" i="19" a="1"/>
  <c r="N464" i="19" a="1"/>
  <c r="M276" i="19" a="1"/>
  <c r="O388" i="19" a="1"/>
  <c r="N583" i="19" a="1"/>
  <c r="M443" i="19" a="1"/>
  <c r="N176" i="19" a="1"/>
  <c r="I259" i="19" a="1"/>
  <c r="M145" i="19" a="1"/>
  <c r="M203" i="19" a="1"/>
  <c r="I33" i="19" a="1"/>
  <c r="I505" i="19" a="1"/>
  <c r="O893" i="19" a="1"/>
  <c r="H131" i="19" a="1"/>
  <c r="N477" i="19" a="1"/>
  <c r="L346" i="19" a="1"/>
  <c r="N291" i="19" a="1"/>
  <c r="G176" i="19" a="1"/>
  <c r="M629" i="19" a="1"/>
  <c r="O546" i="19" a="1"/>
  <c r="B936" i="19" a="1"/>
  <c r="M136" i="19" a="1"/>
  <c r="M980" i="19" a="1"/>
  <c r="M821" i="19" a="1"/>
  <c r="H881" i="19" a="1"/>
  <c r="O942" i="19" a="1"/>
  <c r="G457" i="19" a="1"/>
  <c r="N148" i="19" a="1"/>
  <c r="G609" i="19" a="1"/>
  <c r="N151" i="19" a="1"/>
  <c r="N445" i="19" a="1"/>
  <c r="I408" i="19" a="1"/>
  <c r="O967" i="19" a="1"/>
  <c r="H516" i="19" a="1"/>
  <c r="B938" i="19" a="1"/>
  <c r="I753" i="19" a="1"/>
  <c r="G59" i="19" a="1"/>
  <c r="N633" i="19" a="1"/>
  <c r="H254" i="19" a="1"/>
  <c r="M758" i="19" a="1"/>
  <c r="G734" i="19" a="1"/>
  <c r="M704" i="19" a="1"/>
  <c r="G694" i="19" a="1"/>
  <c r="I389" i="19" a="1"/>
  <c r="N113" i="19" a="1"/>
  <c r="M723" i="19" a="1"/>
  <c r="N15" i="19" a="1"/>
  <c r="O858" i="19" a="1"/>
  <c r="O331" i="19" a="1"/>
  <c r="M355" i="19" a="1"/>
  <c r="O431" i="19" a="1"/>
  <c r="N796" i="19" a="1"/>
  <c r="I549" i="19" a="1"/>
  <c r="G525" i="19" a="1"/>
  <c r="H1024" i="19" a="1"/>
  <c r="M487" i="19" a="1"/>
  <c r="M180" i="19" a="1"/>
  <c r="H481" i="19" a="1"/>
  <c r="G975" i="19" a="1"/>
  <c r="G238" i="19" a="1"/>
  <c r="O443" i="19" a="1"/>
  <c r="G386" i="19" a="1"/>
  <c r="M259" i="19" a="1"/>
  <c r="G521" i="19" a="1"/>
  <c r="I38" i="19" a="1"/>
  <c r="I415" i="19" a="1"/>
  <c r="H638" i="19" a="1"/>
  <c r="G239" i="19" a="1"/>
  <c r="N1025" i="19" a="1"/>
  <c r="H368" i="19" a="1"/>
  <c r="M93" i="19" a="1"/>
  <c r="H75" i="19" a="1"/>
  <c r="H147" i="19" a="1"/>
  <c r="M291" i="19" a="1"/>
  <c r="I675" i="19" a="1"/>
  <c r="H856" i="19" a="1"/>
  <c r="O1107" i="19" a="1"/>
  <c r="N575" i="19" a="1"/>
  <c r="H274" i="19" a="1"/>
  <c r="G593" i="19" a="1"/>
  <c r="G783" i="19" a="1"/>
  <c r="O978" i="19" a="1"/>
  <c r="G794" i="19" a="1"/>
  <c r="G114" i="19" a="1"/>
  <c r="I53" i="19" a="1"/>
  <c r="H143" i="19" a="1"/>
  <c r="O1021" i="19" a="1"/>
  <c r="N54" i="19" a="1"/>
  <c r="O436" i="19" a="1"/>
  <c r="I256" i="19" a="1"/>
  <c r="M29" i="19" a="1"/>
  <c r="O46" i="19" a="1"/>
  <c r="G736" i="19" a="1"/>
  <c r="G805" i="19" a="1"/>
  <c r="H378" i="19" a="1"/>
  <c r="G152" i="19" a="1"/>
  <c r="G434" i="19" a="1"/>
  <c r="I581" i="19" a="1"/>
  <c r="M225" i="19" a="1"/>
  <c r="H464" i="19" a="1"/>
  <c r="N1008" i="19" a="1"/>
  <c r="O584" i="19" a="1"/>
  <c r="I298" i="19" a="1"/>
  <c r="O172" i="19" a="1"/>
  <c r="O851" i="19" a="1"/>
  <c r="H220" i="19" a="1"/>
  <c r="N701" i="19" a="1"/>
  <c r="H117" i="19" a="1"/>
  <c r="I582" i="19" a="1"/>
  <c r="N120" i="19" a="1"/>
  <c r="H772" i="19" a="1"/>
  <c r="H550" i="19" a="1"/>
  <c r="G576" i="19" a="1"/>
  <c r="O741" i="19" a="1"/>
  <c r="H511" i="19" a="1"/>
  <c r="G591" i="19" a="1"/>
  <c r="O997" i="19" a="1"/>
  <c r="H398" i="19" a="1"/>
  <c r="M114" i="19" a="1"/>
  <c r="O651" i="19" a="1"/>
  <c r="N359" i="19" a="1"/>
  <c r="O191" i="19" a="1"/>
  <c r="N174" i="19" a="1"/>
  <c r="I698" i="19" a="1"/>
  <c r="G339" i="19" a="1"/>
  <c r="M213" i="19" a="1"/>
  <c r="G32" i="19" a="1"/>
  <c r="H786" i="19" a="1"/>
  <c r="I20" i="19" a="1"/>
  <c r="H262" i="19" a="1"/>
  <c r="N118" i="19" a="1"/>
  <c r="M103" i="19" a="1"/>
  <c r="O63" i="19" a="1"/>
  <c r="G927" i="19" a="1"/>
  <c r="G268" i="19" a="1"/>
  <c r="I710" i="19" a="1"/>
  <c r="G361" i="19" a="1"/>
  <c r="N286" i="19" a="1"/>
  <c r="O592" i="19" a="1"/>
  <c r="G348" i="19" a="1"/>
  <c r="G1025" i="19" a="1"/>
  <c r="I622" i="19" a="1"/>
  <c r="H327" i="19" a="1"/>
  <c r="H564" i="19" a="1"/>
  <c r="N952" i="19" a="1"/>
  <c r="O487" i="19" a="1"/>
  <c r="C172" i="19" a="1"/>
  <c r="M400" i="19" a="1"/>
  <c r="M841" i="19" a="1"/>
  <c r="B866" i="19" a="1"/>
  <c r="G811" i="19" a="1"/>
  <c r="O951" i="19" a="1"/>
  <c r="I1106" i="19" a="1"/>
  <c r="N155" i="19" a="1"/>
  <c r="N638" i="19" a="1"/>
  <c r="C533" i="19" a="1"/>
  <c r="N488" i="19" a="1"/>
  <c r="M960" i="19" a="1"/>
  <c r="O836" i="19" a="1"/>
  <c r="G796" i="19" a="1"/>
  <c r="I545" i="19" a="1"/>
  <c r="H108" i="19" a="1"/>
  <c r="H1107" i="19" a="1"/>
  <c r="M815" i="19" a="1"/>
  <c r="F679" i="19" a="1"/>
  <c r="G118" i="19" a="1"/>
  <c r="O311" i="19" a="1"/>
  <c r="I1075" i="19" a="1"/>
  <c r="M412" i="19" a="1"/>
  <c r="G584" i="19" a="1"/>
  <c r="H563" i="19" a="1"/>
  <c r="C128" i="19" a="1"/>
  <c r="O129" i="19" a="1"/>
  <c r="I25" i="19" a="1"/>
  <c r="O55" i="19" a="1"/>
  <c r="H370" i="19" a="1"/>
  <c r="N1146" i="19" a="1"/>
  <c r="H308" i="19" a="1"/>
  <c r="O706" i="19" a="1"/>
  <c r="O373" i="19" a="1"/>
  <c r="M143" i="19" a="1"/>
  <c r="H68" i="19" a="1"/>
  <c r="H524" i="19" a="1"/>
  <c r="M442" i="19" a="1"/>
  <c r="N366" i="19" a="1"/>
  <c r="O809" i="19" a="1"/>
  <c r="N425" i="19" a="1"/>
  <c r="I137" i="19" a="1"/>
  <c r="H679" i="19" a="1"/>
  <c r="H183" i="19" a="1"/>
  <c r="G792" i="19" a="1"/>
  <c r="H298" i="19" a="1"/>
  <c r="G120" i="19" a="1"/>
  <c r="G985" i="19" a="1"/>
  <c r="M648" i="19" a="1"/>
  <c r="G656" i="19" a="1"/>
  <c r="O591" i="19" a="1"/>
  <c r="M881" i="19" a="1"/>
  <c r="G96" i="19" a="1"/>
  <c r="I366" i="19" a="1"/>
  <c r="H741" i="19" a="1"/>
  <c r="G240" i="19" a="1"/>
  <c r="H501" i="19" a="1"/>
  <c r="G431" i="19" a="1"/>
  <c r="M59" i="19" a="1"/>
  <c r="N992" i="19" a="1"/>
  <c r="I169" i="19" a="1"/>
  <c r="M176" i="19" a="1"/>
  <c r="H319" i="19" a="1"/>
  <c r="M591" i="19" a="1"/>
  <c r="N878" i="19" a="1"/>
  <c r="N777" i="19" a="1"/>
  <c r="M393" i="19" a="1"/>
  <c r="F272" i="19" a="1"/>
  <c r="M746" i="19" a="1"/>
  <c r="O660" i="19" a="1"/>
  <c r="N329" i="19" a="1"/>
  <c r="G105" i="19" a="1"/>
  <c r="M217" i="19" a="1"/>
  <c r="O396" i="19" a="1"/>
  <c r="I413" i="19" a="1"/>
  <c r="N373" i="19" a="1"/>
  <c r="H825" i="19" a="1"/>
  <c r="H138" i="19" a="1"/>
  <c r="I499" i="19" a="1"/>
  <c r="H256" i="19" a="1"/>
  <c r="G225" i="19" a="1"/>
  <c r="N394" i="19" a="1"/>
  <c r="G910" i="19" a="1"/>
  <c r="M386" i="19" a="1"/>
  <c r="O600" i="19" a="1"/>
  <c r="M501" i="19" a="1"/>
  <c r="O391" i="19" a="1"/>
  <c r="N404" i="19" a="1"/>
  <c r="M1095" i="19" a="1"/>
  <c r="H375" i="19" a="1"/>
  <c r="H673" i="19" a="1"/>
  <c r="N56" i="19" a="1"/>
  <c r="O1032" i="19" a="1"/>
  <c r="H79" i="19" a="1"/>
  <c r="H179" i="19" a="1"/>
  <c r="H848" i="19" a="1"/>
  <c r="N1053" i="19" a="1"/>
  <c r="N447" i="19" a="1"/>
  <c r="G325" i="19" a="1"/>
  <c r="I946" i="19" a="1"/>
  <c r="G514" i="19" a="1"/>
  <c r="G502" i="19" a="1"/>
  <c r="H50" i="19" a="1"/>
  <c r="H258" i="19" a="1"/>
  <c r="G130" i="19" a="1"/>
  <c r="H241" i="19" a="1"/>
  <c r="H81" i="19" a="1"/>
  <c r="O887" i="19" a="1"/>
  <c r="G620" i="19" a="1"/>
  <c r="H597" i="19" a="1"/>
  <c r="O1136" i="19" a="1"/>
  <c r="H775" i="19" a="1"/>
  <c r="N1152" i="19" a="1"/>
  <c r="H374" i="19" a="1"/>
  <c r="M559" i="19" a="1"/>
  <c r="I337" i="19" a="1"/>
  <c r="N295" i="19" a="1"/>
  <c r="A491" i="19" a="1"/>
  <c r="N409" i="19" a="1"/>
  <c r="N761" i="19" a="1"/>
  <c r="H670" i="19" a="1"/>
  <c r="M839" i="19" a="1"/>
  <c r="G773" i="19" a="1"/>
  <c r="N181" i="19" a="1"/>
  <c r="H156" i="19" a="1"/>
  <c r="I83" i="19" a="1"/>
  <c r="I254" i="19" a="1"/>
  <c r="G404" i="19" a="1"/>
  <c r="M318" i="19" a="1"/>
  <c r="O832" i="19" a="1"/>
  <c r="M362" i="19" a="1"/>
  <c r="M244" i="19" a="1"/>
  <c r="H504" i="19" a="1"/>
  <c r="O227" i="19" a="1"/>
  <c r="N12" i="19" a="1"/>
  <c r="N218" i="19" a="1"/>
  <c r="G741" i="19" a="1"/>
  <c r="M681" i="19" a="1"/>
  <c r="G206" i="19" a="1"/>
  <c r="H311" i="19" a="1"/>
  <c r="N105" i="19" a="1"/>
  <c r="M699" i="19" a="1"/>
  <c r="C569" i="19" a="1"/>
  <c r="I181" i="19" a="1"/>
  <c r="N918" i="19" a="1"/>
  <c r="O479" i="19" a="1"/>
  <c r="N475" i="19" a="1"/>
  <c r="H240" i="19" a="1"/>
  <c r="G271" i="19" a="1"/>
  <c r="G291" i="19" a="1"/>
  <c r="M463" i="19" a="1"/>
  <c r="K457" i="19" a="1"/>
  <c r="I71" i="19" a="1"/>
  <c r="G309" i="19" a="1"/>
  <c r="G523" i="19" a="1"/>
  <c r="H1007" i="19" a="1"/>
  <c r="H465" i="19" a="1"/>
  <c r="H291" i="19" a="1"/>
  <c r="M72" i="19" a="1"/>
  <c r="O1016" i="19" a="1"/>
  <c r="G38" i="19" a="1"/>
  <c r="H350" i="19" a="1"/>
  <c r="I374" i="19" a="1"/>
  <c r="M222" i="19" a="1"/>
  <c r="I409" i="19" a="1"/>
  <c r="G224" i="19" a="1"/>
  <c r="G549" i="19" a="1"/>
  <c r="N271" i="19" a="1"/>
  <c r="H850" i="19" a="1"/>
  <c r="O385" i="19" a="1"/>
  <c r="M1075" i="19" a="1"/>
  <c r="N652" i="19" a="1"/>
  <c r="G161" i="19" a="1"/>
  <c r="M207" i="19" a="1"/>
  <c r="G252" i="19" a="1"/>
  <c r="G648" i="19" a="1"/>
  <c r="M520" i="19" a="1"/>
  <c r="I376" i="19" a="1"/>
  <c r="I699" i="19" a="1"/>
  <c r="M837" i="19" a="1"/>
  <c r="G308" i="19" a="1"/>
  <c r="G311" i="19" a="1"/>
  <c r="I1101" i="19" a="1"/>
  <c r="H400" i="19" a="1"/>
  <c r="H83" i="19" a="1"/>
  <c r="O83" i="19" a="1"/>
  <c r="N62" i="19" a="1"/>
  <c r="M647" i="19" a="1"/>
  <c r="I859" i="19" a="1"/>
  <c r="M411" i="19" a="1"/>
  <c r="N954" i="19" a="1"/>
  <c r="N355" i="19" a="1"/>
  <c r="G316" i="19" a="1"/>
  <c r="O108" i="19" a="1"/>
  <c r="G182" i="19" a="1"/>
  <c r="H690" i="19" a="1"/>
  <c r="G139" i="19" a="1"/>
  <c r="O803" i="19" a="1"/>
  <c r="H1004" i="19" a="1"/>
  <c r="N561" i="19" a="1"/>
  <c r="H423" i="19" a="1"/>
  <c r="G71" i="19" a="1"/>
  <c r="M336" i="19" a="1"/>
  <c r="I785" i="19" a="1"/>
  <c r="O481" i="19" a="1"/>
  <c r="I79" i="19" a="1"/>
  <c r="I212" i="19" a="1"/>
  <c r="H645" i="19" a="1"/>
  <c r="I146" i="19" a="1"/>
  <c r="M724" i="19" a="1"/>
  <c r="M479" i="19" a="1"/>
  <c r="I519" i="19" a="1"/>
  <c r="N687" i="19" a="1"/>
  <c r="G416" i="19" a="1"/>
  <c r="N153" i="19" a="1"/>
  <c r="B679" i="19" a="1"/>
  <c r="N613" i="19" a="1"/>
  <c r="I130" i="19" a="1"/>
  <c r="O245" i="19" a="1"/>
  <c r="H615" i="19" a="1"/>
  <c r="N340" i="19" a="1"/>
  <c r="N136" i="19" a="1"/>
  <c r="M335" i="19" a="1"/>
  <c r="M67" i="19" a="1"/>
  <c r="I463" i="19" a="1"/>
  <c r="N1014" i="19" a="1"/>
  <c r="H100" i="19" a="1"/>
  <c r="N211" i="19" a="1"/>
  <c r="H490" i="19" a="1"/>
  <c r="G628" i="19" a="1"/>
  <c r="G411" i="19" a="1"/>
  <c r="O71" i="19" a="1"/>
  <c r="H397" i="19" a="1"/>
  <c r="N190" i="19" a="1"/>
  <c r="H510" i="19" a="1"/>
  <c r="K901" i="19" a="1"/>
  <c r="G814" i="19" a="1"/>
  <c r="I627" i="19" a="1"/>
  <c r="G953" i="19" a="1"/>
  <c r="H325" i="19" a="1"/>
  <c r="O444" i="19" a="1"/>
  <c r="I872" i="19" a="1"/>
  <c r="O962" i="19" a="1"/>
  <c r="N41" i="19" a="1"/>
  <c r="H610" i="19" a="1"/>
  <c r="G453" i="19" a="1"/>
  <c r="N356" i="19" a="1"/>
  <c r="G263" i="19" a="1"/>
  <c r="O94" i="19" a="1"/>
  <c r="G974" i="19" a="1"/>
  <c r="G317" i="19" a="1"/>
  <c r="G372" i="19" a="1"/>
  <c r="C24" i="19" a="1"/>
  <c r="G883" i="19" a="1"/>
  <c r="H174" i="19" a="1"/>
  <c r="N904" i="19" a="1"/>
  <c r="M618" i="19" a="1"/>
  <c r="G548" i="19" a="1"/>
  <c r="I1049" i="19" a="1"/>
  <c r="I115" i="19" a="1"/>
  <c r="M367" i="19" a="1"/>
  <c r="N300" i="19" a="1"/>
  <c r="M696" i="19" a="1"/>
  <c r="O469" i="19" a="1"/>
  <c r="G854" i="19" a="1"/>
  <c r="C395" i="19" a="1"/>
  <c r="O252" i="19" a="1"/>
  <c r="N36" i="19" a="1"/>
  <c r="N43" i="19" a="1"/>
  <c r="I160" i="19" a="1"/>
  <c r="N870" i="19" a="1"/>
  <c r="N137" i="19" a="1"/>
  <c r="M350" i="19" a="1"/>
  <c r="M168" i="19" a="1"/>
  <c r="H523" i="19" a="1"/>
  <c r="H216" i="19" a="1"/>
  <c r="I464" i="19" a="1"/>
  <c r="O954" i="19" a="1"/>
  <c r="G164" i="19" a="1"/>
  <c r="O932" i="19" a="1"/>
  <c r="O416" i="19" a="1"/>
  <c r="O866" i="19" a="1"/>
  <c r="H40" i="19" a="1"/>
  <c r="M979" i="19" a="1"/>
  <c r="G136" i="19" a="1"/>
  <c r="I102" i="19" a="1"/>
  <c r="G135" i="19" a="1"/>
  <c r="N450" i="19" a="1"/>
  <c r="N840" i="19" a="1"/>
  <c r="G1140" i="19" a="1"/>
  <c r="H1000" i="19" a="1"/>
  <c r="O795" i="19" a="1"/>
  <c r="N231" i="19" a="1"/>
  <c r="G445" i="19" a="1"/>
  <c r="F642" i="19" a="1"/>
  <c r="I219" i="19" a="1"/>
  <c r="G890" i="19" a="1"/>
  <c r="I13" i="19" a="1"/>
  <c r="H737" i="19" a="1"/>
  <c r="H560" i="19" a="1"/>
  <c r="M632" i="19" a="1"/>
  <c r="I96" i="19" a="1"/>
  <c r="N578" i="19" a="1"/>
  <c r="G383" i="19" a="1"/>
  <c r="I309" i="19" a="1"/>
  <c r="O1100" i="19" a="1"/>
  <c r="O814" i="19" a="1"/>
  <c r="O758" i="19" a="1"/>
  <c r="I466" i="19" a="1"/>
  <c r="H1151" i="19" a="1"/>
  <c r="B308" i="19" a="1"/>
  <c r="O316" i="19" a="1"/>
  <c r="I152" i="19" a="1"/>
  <c r="M324" i="19" a="1"/>
  <c r="N560" i="19" a="1"/>
  <c r="N82" i="19" a="1"/>
  <c r="M466" i="19" a="1"/>
  <c r="N507" i="19" a="1"/>
  <c r="O143" i="19" a="1"/>
  <c r="N804" i="19" a="1"/>
  <c r="I286" i="19" a="1"/>
  <c r="G188" i="19" a="1"/>
  <c r="G509" i="19" a="1"/>
  <c r="O132" i="19" a="1"/>
  <c r="O390" i="19" a="1"/>
  <c r="N423" i="19" a="1"/>
  <c r="O364" i="19" a="1"/>
  <c r="G409" i="19" a="1"/>
  <c r="F50" i="19" a="1"/>
  <c r="H105" i="19" a="1"/>
  <c r="N821" i="19" a="1"/>
  <c r="I333" i="19" a="1"/>
  <c r="A124" i="19" a="1"/>
  <c r="M542" i="19" a="1"/>
  <c r="N805" i="19" a="1"/>
  <c r="M915" i="19" a="1"/>
  <c r="G138" i="19" a="1"/>
  <c r="I576" i="19" a="1"/>
  <c r="H520" i="19" a="1"/>
  <c r="O379" i="19" a="1"/>
  <c r="M923" i="19" a="1"/>
  <c r="C509" i="19" a="1"/>
  <c r="I328" i="19" a="1"/>
  <c r="G483" i="19" a="1"/>
  <c r="G367" i="19" a="1"/>
  <c r="H542" i="19" a="1"/>
  <c r="M41" i="19" a="1"/>
  <c r="N326" i="19" a="1"/>
  <c r="H194" i="19" a="1"/>
  <c r="M352" i="19" a="1"/>
  <c r="N786" i="19" a="1"/>
  <c r="M467" i="19" a="1"/>
  <c r="O509" i="19" a="1"/>
  <c r="L642" i="19" a="1"/>
  <c r="G102" i="19" a="1"/>
  <c r="G739" i="19" a="1"/>
  <c r="H36" i="19" a="1"/>
  <c r="G660" i="19" a="1"/>
  <c r="O117" i="19" a="1"/>
  <c r="I547" i="19" a="1"/>
  <c r="O465" i="19" a="1"/>
  <c r="M20" i="19" a="1"/>
  <c r="M416" i="19" a="1"/>
  <c r="N33" i="19" a="1"/>
  <c r="G669" i="19" a="1"/>
  <c r="O33" i="19" a="1"/>
  <c r="M981" i="19" a="1"/>
  <c r="O474" i="19" a="1"/>
  <c r="I403" i="19" a="1"/>
  <c r="M576" i="19" a="1"/>
  <c r="I149" i="19" a="1"/>
  <c r="O219" i="19" a="1"/>
  <c r="M537" i="19" a="1"/>
  <c r="O29" i="19" a="1"/>
  <c r="O144" i="19" a="1"/>
  <c r="O607" i="19" a="1"/>
  <c r="N534" i="19" a="1"/>
  <c r="I64" i="19" a="1"/>
  <c r="M465" i="19" a="1"/>
  <c r="I117" i="19" a="1"/>
  <c r="H239" i="19" a="1"/>
  <c r="H696" i="19" a="1"/>
  <c r="N367" i="19" a="1"/>
  <c r="I140" i="19" a="1"/>
  <c r="N146" i="19" a="1"/>
  <c r="G260" i="19" a="1"/>
  <c r="H1101" i="19" a="1"/>
  <c r="G428" i="19" a="1"/>
  <c r="F161" i="19" a="1"/>
  <c r="I112" i="19" a="1"/>
  <c r="H977" i="19" a="1"/>
  <c r="I514" i="19" a="1"/>
  <c r="H161" i="19" a="1"/>
  <c r="I308" i="19" a="1"/>
  <c r="G79" i="19" a="1"/>
  <c r="M220" i="19" a="1"/>
  <c r="G432" i="19" a="1"/>
  <c r="I235" i="19" a="1"/>
  <c r="O327" i="19" a="1"/>
  <c r="N304" i="19" a="1"/>
  <c r="N593" i="19" a="1"/>
  <c r="I593" i="19" a="1"/>
  <c r="G165" i="19" a="1"/>
  <c r="M701" i="19" a="1"/>
  <c r="H119" i="19" a="1"/>
  <c r="M1073" i="19" a="1"/>
  <c r="B381" i="19" a="1"/>
  <c r="O1150" i="19" a="1"/>
  <c r="I95" i="19" a="1"/>
  <c r="I127" i="19" a="1"/>
  <c r="H337" i="19" a="1"/>
  <c r="I246" i="19" a="1"/>
  <c r="H126" i="19" a="1"/>
  <c r="N240" i="19" a="1"/>
  <c r="O284" i="19" a="1"/>
  <c r="M284" i="19" a="1"/>
  <c r="G573" i="19" a="1"/>
  <c r="G186" i="19" a="1"/>
  <c r="M897" i="19" a="1"/>
  <c r="O691" i="19" a="1"/>
  <c r="O649" i="19" a="1"/>
  <c r="N662" i="19" a="1"/>
  <c r="H720" i="19" a="1"/>
  <c r="G995" i="19" a="1"/>
  <c r="H554" i="19" a="1"/>
  <c r="H284" i="19" a="1"/>
  <c r="H238" i="19" a="1"/>
  <c r="M496" i="19" a="1"/>
  <c r="N871" i="19" a="1"/>
  <c r="G312" i="19" a="1"/>
  <c r="H776" i="19" a="1"/>
  <c r="I959" i="19" a="1"/>
  <c r="G145" i="19" a="1"/>
  <c r="N452" i="19" a="1"/>
  <c r="G637" i="19" a="1"/>
  <c r="O1014" i="19" a="1"/>
  <c r="B307" i="19" a="1"/>
  <c r="I341" i="19" a="1"/>
  <c r="G228" i="19" a="1"/>
  <c r="G229" i="19" a="1"/>
  <c r="O348" i="19" a="1"/>
  <c r="G202" i="19" a="1"/>
  <c r="M671" i="19" a="1"/>
  <c r="N792" i="19" a="1"/>
  <c r="L235" i="19" a="1"/>
  <c r="N585" i="19" a="1"/>
  <c r="G524" i="19" a="1"/>
  <c r="G847" i="19" a="1"/>
  <c r="N715" i="19" a="1"/>
  <c r="N65" i="19" a="1"/>
  <c r="H292" i="19" a="1"/>
  <c r="G43" i="19" a="1"/>
  <c r="B197" i="19" a="1"/>
  <c r="O496" i="19" a="1"/>
  <c r="N228" i="19" a="1"/>
  <c r="O549" i="19" a="1"/>
  <c r="H386" i="19" a="1"/>
  <c r="H586" i="19" a="1"/>
  <c r="O295" i="19" a="1"/>
  <c r="I290" i="19" a="1"/>
  <c r="M299" i="19" a="1"/>
  <c r="H738" i="19" a="1"/>
  <c r="M260" i="19" a="1"/>
  <c r="G320" i="19" a="1"/>
  <c r="O409" i="19" a="1"/>
  <c r="O285" i="19" a="1"/>
  <c r="H70" i="19" a="1"/>
  <c r="N405" i="19" a="1"/>
  <c r="N244" i="19" a="1"/>
  <c r="G577" i="19" a="1"/>
  <c r="H1137" i="19" a="1"/>
  <c r="G336" i="19" a="1"/>
  <c r="M19" i="19" a="1"/>
  <c r="M989" i="19" a="1"/>
  <c r="H281" i="19" a="1"/>
  <c r="M186" i="19" a="1"/>
  <c r="N188" i="19" a="1"/>
  <c r="I392" i="19" a="1"/>
  <c r="G117" i="19" a="1"/>
  <c r="G234" i="19" a="1"/>
  <c r="H1115" i="19" a="1"/>
  <c r="H37" i="19" a="1"/>
  <c r="H128" i="19" a="1"/>
  <c r="G274" i="19" a="1"/>
  <c r="M610" i="19" a="1"/>
  <c r="G115" i="19" a="1"/>
  <c r="H96" i="19" a="1"/>
  <c r="O535" i="19" a="1"/>
  <c r="M328" i="19" a="1"/>
  <c r="G276" i="19" a="1"/>
  <c r="N37" i="19" a="1"/>
  <c r="H515" i="19" a="1"/>
  <c r="O1126" i="19" a="1"/>
  <c r="N600" i="19" a="1"/>
  <c r="I827" i="19" a="1"/>
  <c r="M433" i="19" a="1"/>
  <c r="M257" i="19" a="1"/>
  <c r="N317" i="19" a="1"/>
  <c r="I414" i="19" a="1"/>
  <c r="H186" i="19" a="1"/>
  <c r="G433" i="19" a="1"/>
  <c r="G444" i="19" a="1"/>
  <c r="I472" i="19" a="1"/>
  <c r="I303" i="19" a="1"/>
  <c r="N203" i="19" a="1"/>
  <c r="G598" i="19" a="1"/>
  <c r="G484" i="19" a="1"/>
  <c r="I345" i="19" a="1"/>
  <c r="N598" i="19" a="1"/>
  <c r="H463" i="19" a="1"/>
  <c r="G387" i="19" a="1"/>
  <c r="I129" i="19" a="1"/>
  <c r="I619" i="19" a="1"/>
  <c r="B1051" i="19" a="1"/>
  <c r="O666" i="19" a="1"/>
  <c r="M1072" i="19" a="1"/>
  <c r="G35" i="19" a="1"/>
  <c r="N755" i="19" a="1"/>
  <c r="B122" i="19" a="1"/>
  <c r="O226" i="19" a="1"/>
  <c r="N217" i="19" a="1"/>
  <c r="N849" i="19" a="1"/>
  <c r="N956" i="19" a="1"/>
  <c r="N710" i="19" a="1"/>
  <c r="M242" i="19" a="1"/>
  <c r="M414" i="19" a="1"/>
  <c r="G803" i="19" a="1"/>
  <c r="I242" i="19" a="1"/>
  <c r="I705" i="19" a="1"/>
  <c r="N251" i="19" a="1"/>
  <c r="O844" i="19" a="1"/>
  <c r="H255" i="19" a="1"/>
  <c r="B271" i="19" a="1"/>
  <c r="B233" i="19" a="1"/>
  <c r="H342" i="19" a="1"/>
  <c r="O118" i="19" a="1"/>
  <c r="H305" i="19" a="1"/>
  <c r="M75" i="19" a="1"/>
  <c r="O881" i="19" a="1"/>
  <c r="M859" i="19" a="1"/>
  <c r="M967" i="19" a="1"/>
  <c r="I871" i="19" a="1"/>
  <c r="O16" i="19" a="1"/>
  <c r="N17" i="19" a="1"/>
  <c r="N110" i="19" a="1"/>
  <c r="I493" i="19" a="1"/>
  <c r="N540" i="19" a="1"/>
  <c r="I1038" i="19" a="1"/>
  <c r="K753" i="19" a="1"/>
  <c r="M744" i="19" a="1"/>
  <c r="M860" i="19" a="1"/>
  <c r="G217" i="19" a="1"/>
  <c r="H1134" i="19" a="1"/>
  <c r="F13" i="19" a="1"/>
  <c r="H296" i="19" a="1"/>
  <c r="H548" i="19" a="1"/>
  <c r="N981" i="19" a="1"/>
  <c r="G462" i="19" a="1"/>
  <c r="I711" i="19" a="1"/>
  <c r="N96" i="19" a="1"/>
  <c r="O404" i="19" a="1"/>
  <c r="M538" i="19" a="1"/>
  <c r="I22" i="19" a="1"/>
  <c r="I531" i="19" a="1"/>
  <c r="M1110" i="19" a="1"/>
  <c r="G989" i="19" a="1"/>
  <c r="O802" i="19" a="1"/>
  <c r="O312" i="19" a="1"/>
  <c r="N945" i="19" a="1"/>
  <c r="I613" i="19" a="1"/>
  <c r="O411" i="19" a="1"/>
  <c r="O488" i="19" a="1"/>
  <c r="I578" i="19" a="1"/>
  <c r="G567" i="19" a="1"/>
  <c r="G324" i="19" a="1"/>
  <c r="I557" i="19" a="1"/>
  <c r="M919" i="19" a="1"/>
  <c r="H933" i="19" a="1"/>
  <c r="N671" i="19" a="1"/>
  <c r="M548" i="19" a="1"/>
  <c r="O558" i="19" a="1"/>
  <c r="I44" i="19" a="1"/>
  <c r="H52" i="19" a="1"/>
  <c r="N226" i="19" a="1"/>
  <c r="M303" i="19" a="1"/>
  <c r="B605" i="19" a="1"/>
  <c r="O353" i="19" a="1"/>
  <c r="H659" i="19" a="1"/>
  <c r="O657" i="19" a="1"/>
  <c r="M439" i="19" a="1"/>
  <c r="M100" i="19" a="1"/>
  <c r="M850" i="19" a="1"/>
  <c r="N947" i="19" a="1"/>
  <c r="M554" i="19" a="1"/>
  <c r="H425" i="19" a="1"/>
  <c r="G290" i="19" a="1"/>
  <c r="G412" i="19" a="1"/>
  <c r="N656" i="19" a="1"/>
  <c r="M229" i="19" a="1"/>
  <c r="G100" i="19" a="1"/>
  <c r="O480" i="19" a="1"/>
  <c r="H299" i="19" a="1"/>
  <c r="G895" i="19" a="1"/>
  <c r="H658" i="19" a="1"/>
  <c r="I401" i="19" a="1"/>
  <c r="I321" i="19" a="1"/>
  <c r="O661" i="19" a="1"/>
  <c r="I329" i="19" a="1"/>
  <c r="N846" i="19" a="1"/>
  <c r="G472" i="19" a="1"/>
  <c r="I410" i="19" a="1"/>
  <c r="N134" i="19" a="1"/>
  <c r="H567" i="19" a="1"/>
  <c r="O1092" i="19" a="1"/>
  <c r="G696" i="19" a="1"/>
  <c r="M144" i="19" a="1"/>
  <c r="H477" i="19" a="1"/>
  <c r="O163" i="19" a="1"/>
  <c r="H620" i="19" a="1"/>
  <c r="M690" i="19" a="1"/>
  <c r="L13" i="19" a="1"/>
  <c r="N439" i="19" a="1"/>
  <c r="I180" i="19" a="1"/>
  <c r="M209" i="19" a="1"/>
  <c r="H61" i="19" a="1"/>
  <c r="O157" i="19" a="1"/>
  <c r="M653" i="19" a="1"/>
  <c r="H527" i="19" a="1"/>
  <c r="N1098" i="19" a="1"/>
  <c r="N485" i="19" a="1"/>
  <c r="M882" i="19" a="1"/>
  <c r="I82" i="19" a="1"/>
  <c r="H596" i="19" a="1"/>
  <c r="M263" i="19" a="1"/>
  <c r="G61" i="19" a="1"/>
  <c r="I760" i="19" a="1"/>
  <c r="M359" i="19" a="1"/>
  <c r="H140" i="19" a="1"/>
  <c r="H761" i="19" a="1"/>
  <c r="M624" i="19" a="1"/>
  <c r="M140" i="19" a="1"/>
  <c r="O580" i="19" a="1"/>
  <c r="G1008" i="19" a="1"/>
  <c r="M735" i="19" a="1"/>
  <c r="N378" i="19" a="1"/>
  <c r="M766" i="19" a="1"/>
  <c r="G369" i="19" a="1"/>
  <c r="G832" i="19" a="1"/>
  <c r="O82" i="19" a="1"/>
  <c r="N212" i="19" a="1"/>
  <c r="G177" i="19" a="1"/>
  <c r="N1044" i="19" a="1"/>
  <c r="O610" i="19" a="1"/>
  <c r="H448" i="19" a="1"/>
  <c r="M182" i="19" a="1"/>
  <c r="I795" i="19" a="1"/>
  <c r="O728" i="19" a="1"/>
  <c r="H1062" i="19" a="1"/>
  <c r="N398" i="19" a="1"/>
  <c r="G37" i="19" a="1"/>
  <c r="A269" i="19" a="1"/>
  <c r="I151" i="19" a="1"/>
  <c r="H98" i="19" a="1"/>
  <c r="A232" i="19" a="1"/>
  <c r="N205" i="19" a="1"/>
  <c r="G757" i="19" a="1"/>
  <c r="G50" i="19" a="1"/>
  <c r="I276" i="19" a="1"/>
  <c r="O547" i="19" a="1"/>
  <c r="I228" i="19" a="1"/>
  <c r="M468" i="19" a="1"/>
  <c r="I452" i="19" a="1"/>
  <c r="M983" i="19" a="1"/>
  <c r="M452" i="19" a="1"/>
  <c r="O186" i="19" a="1"/>
  <c r="N686" i="19" a="1"/>
  <c r="M435" i="19" a="1"/>
  <c r="I419" i="19" a="1"/>
  <c r="M806" i="19" a="1"/>
  <c r="H558" i="19" a="1"/>
  <c r="M655" i="19" a="1"/>
  <c r="N596" i="19" a="1"/>
  <c r="O147" i="19" a="1"/>
  <c r="O290" i="19" a="1"/>
  <c r="C347" i="19" a="1"/>
  <c r="H479" i="19" a="1"/>
  <c r="I909" i="19" a="1"/>
  <c r="N863" i="19" a="1"/>
  <c r="I103" i="19" a="1"/>
  <c r="G638" i="19" a="1"/>
  <c r="I385" i="19" a="1"/>
  <c r="H103" i="19" a="1"/>
  <c r="G461" i="19" a="1"/>
  <c r="H196" i="19" a="1"/>
  <c r="H810" i="19" a="1"/>
  <c r="G544" i="19" a="1"/>
  <c r="G134" i="19" a="1"/>
  <c r="I157" i="19" a="1"/>
  <c r="M92" i="19" a="1"/>
  <c r="I37" i="19" a="1"/>
  <c r="H243" i="19" a="1"/>
  <c r="O707" i="19" a="1"/>
  <c r="I98" i="19" a="1"/>
  <c r="H109" i="19" a="1"/>
  <c r="G57" i="19" a="1"/>
  <c r="N432" i="19" a="1"/>
  <c r="O785" i="19" a="1"/>
  <c r="M127" i="19" a="1"/>
  <c r="M277" i="19" a="1"/>
  <c r="I170" i="19" a="1"/>
  <c r="N739" i="19" a="1"/>
  <c r="H23" i="19" a="1"/>
  <c r="H320" i="19" a="1"/>
  <c r="N73" i="19" a="1"/>
  <c r="O499" i="19" a="1"/>
  <c r="G157" i="19" a="1"/>
  <c r="N617" i="19" a="1"/>
  <c r="M869" i="19" a="1"/>
  <c r="O556" i="19" a="1"/>
  <c r="I104" i="19" a="1"/>
  <c r="G351" i="19" a="1"/>
  <c r="G653" i="19" a="1"/>
  <c r="I725" i="19" a="1"/>
  <c r="G633" i="19" a="1"/>
  <c r="N748" i="19" a="1"/>
  <c r="H445" i="19" a="1"/>
  <c r="M275" i="19" a="1"/>
  <c r="H1051" i="19" a="1"/>
  <c r="H1104" i="19" a="1"/>
  <c r="H226" i="19" a="1"/>
  <c r="G287" i="19" a="1"/>
  <c r="H777" i="19" a="1"/>
  <c r="G192" i="19" a="1"/>
  <c r="H457" i="19" a="1"/>
  <c r="G607" i="19" a="1"/>
  <c r="M202" i="19" a="1"/>
  <c r="G66" i="19" a="1"/>
  <c r="O1029" i="19" a="1"/>
  <c r="I178" i="19" a="1"/>
  <c r="I542" i="19" a="1"/>
  <c r="N657" i="19" a="1"/>
  <c r="H636" i="19" a="1"/>
  <c r="O335" i="19" a="1"/>
  <c r="O305" i="19" a="1"/>
  <c r="I757" i="19" a="1"/>
  <c r="I614" i="19" a="1"/>
  <c r="O28" i="19" a="1"/>
  <c r="M104" i="19" a="1"/>
  <c r="O37" i="19" a="1"/>
  <c r="I119" i="19" a="1"/>
  <c r="I1060" i="19" a="1"/>
  <c r="G169" i="19" a="1"/>
  <c r="G470" i="19" a="1"/>
  <c r="H167" i="19" a="1"/>
  <c r="N261" i="19" a="1"/>
  <c r="O425" i="19" a="1"/>
  <c r="M205" i="19" a="1"/>
  <c r="N1101" i="19" a="1"/>
  <c r="G1130" i="19" a="1"/>
  <c r="I737" i="19" a="1"/>
  <c r="H573" i="19" a="1"/>
  <c r="O793" i="19" a="1"/>
  <c r="M800" i="19" a="1"/>
  <c r="M437" i="19" a="1"/>
  <c r="M741" i="19" a="1"/>
  <c r="G720" i="19" a="1"/>
  <c r="G965" i="19" a="1"/>
  <c r="G149" i="19" a="1"/>
  <c r="C577" i="19" a="1"/>
  <c r="G448" i="19" a="1"/>
  <c r="O328" i="19" a="1"/>
  <c r="I459" i="19" a="1"/>
  <c r="H399" i="19" a="1"/>
  <c r="I349" i="19" a="1"/>
  <c r="N624" i="19" a="1"/>
  <c r="I941" i="19" a="1"/>
  <c r="I1056" i="19" a="1"/>
  <c r="C273" i="19" a="1"/>
  <c r="O96" i="19" a="1"/>
  <c r="M115" i="19" a="1"/>
  <c r="I21" i="19" a="1"/>
  <c r="O75" i="19" a="1"/>
  <c r="G214" i="19" a="1"/>
  <c r="I393" i="19" a="1"/>
  <c r="M1156" i="19" a="1"/>
  <c r="M112" i="19" a="1"/>
  <c r="I75" i="19" a="1"/>
  <c r="M595" i="19" a="1"/>
  <c r="F198" i="19" a="1"/>
  <c r="G804" i="19" a="1"/>
  <c r="C138" i="19" a="1"/>
  <c r="H941" i="19" a="1"/>
  <c r="I373" i="19" a="1"/>
  <c r="G626" i="19" a="1"/>
  <c r="N766" i="19" a="1"/>
  <c r="I174" i="19" a="1"/>
  <c r="I255" i="19" a="1"/>
  <c r="H122" i="19" a="1"/>
  <c r="I1143" i="19" a="1"/>
  <c r="M798" i="19" a="1"/>
  <c r="O447" i="19" a="1"/>
  <c r="O684" i="19" a="1"/>
  <c r="N1048" i="19" a="1"/>
  <c r="O1040" i="19" a="1"/>
  <c r="G512" i="19" a="1"/>
  <c r="O807" i="19" a="1"/>
  <c r="G941" i="19" a="1"/>
  <c r="G645" i="19" a="1"/>
  <c r="G499" i="19" a="1"/>
  <c r="G967" i="19" a="1"/>
  <c r="G912" i="19" a="1"/>
  <c r="O874" i="19" a="1"/>
  <c r="I440" i="19" a="1"/>
  <c r="I437" i="19" a="1"/>
  <c r="M134" i="19" a="1"/>
  <c r="I623" i="19" a="1"/>
  <c r="G650" i="19" a="1"/>
  <c r="M178" i="19" a="1"/>
  <c r="O209" i="19" a="1"/>
  <c r="H912" i="19" a="1"/>
  <c r="M164" i="19" a="1"/>
  <c r="N308" i="19" a="1"/>
  <c r="G555" i="19" a="1"/>
  <c r="N637" i="19" a="1"/>
  <c r="M687" i="19" a="1"/>
  <c r="H29" i="19" a="1"/>
  <c r="I116" i="19" a="1"/>
  <c r="I253" i="19" a="1"/>
  <c r="G210" i="19" a="1"/>
  <c r="H248" i="19" a="1"/>
  <c r="M138" i="19" a="1"/>
  <c r="O182" i="19" a="1"/>
  <c r="H223" i="19" a="1"/>
  <c r="I57" i="19" a="1"/>
  <c r="I649" i="19" a="1"/>
  <c r="O450" i="19" a="1"/>
  <c r="O98" i="19" a="1"/>
  <c r="N207" i="19" a="1"/>
  <c r="I945" i="19" a="1"/>
  <c r="H107" i="19" a="1"/>
  <c r="H102" i="19" a="1"/>
  <c r="O324" i="19" a="1"/>
  <c r="M375" i="19" a="1"/>
  <c r="G764" i="19" a="1"/>
  <c r="I114" i="19" a="1"/>
  <c r="G249" i="19" a="1"/>
  <c r="O216" i="19" a="1"/>
  <c r="O395" i="19" a="1"/>
  <c r="O665" i="19" a="1"/>
  <c r="I134" i="19" a="1"/>
  <c r="I359" i="19" a="1"/>
  <c r="O764" i="19" a="1"/>
  <c r="G613" i="19" a="1"/>
  <c r="N895" i="19" a="1"/>
  <c r="H95" i="19" a="1"/>
  <c r="O1051" i="19" a="1"/>
  <c r="M398" i="19" a="1"/>
  <c r="H835" i="19" a="1"/>
  <c r="M296" i="19" a="1"/>
  <c r="I574" i="19" a="1"/>
  <c r="N45" i="19" a="1"/>
  <c r="M32" i="19" a="1"/>
  <c r="H1012" i="19" a="1"/>
  <c r="G600" i="19" a="1"/>
  <c r="M228" i="19" a="1"/>
  <c r="H805" i="19" a="1"/>
  <c r="N216" i="19" a="1"/>
  <c r="N354" i="19" a="1"/>
  <c r="I1036" i="19" a="1"/>
  <c r="H49" i="19" a="1"/>
  <c r="N385" i="19" a="1"/>
  <c r="I586" i="19" a="1"/>
  <c r="M707" i="19" a="1"/>
  <c r="H619" i="19" a="1"/>
  <c r="H198" i="19" a="1"/>
  <c r="N352" i="19" a="1"/>
  <c r="H336" i="19" a="1"/>
  <c r="H624" i="19" a="1"/>
  <c r="O90" i="19" a="1"/>
  <c r="G390" i="19" a="1"/>
  <c r="G884" i="19" a="1"/>
  <c r="I841" i="19" a="1"/>
  <c r="G451" i="19" a="1"/>
  <c r="O141" i="19" a="1"/>
  <c r="H67" i="19" a="1"/>
  <c r="M626" i="19" a="1"/>
  <c r="M572" i="19" a="1"/>
  <c r="H206" i="19" a="1"/>
  <c r="G1150" i="19" a="1"/>
  <c r="O26" i="19" a="1"/>
  <c r="G950" i="19" a="1"/>
  <c r="I991" i="19" a="1"/>
  <c r="H593" i="19" a="1"/>
  <c r="C643" i="19" a="1"/>
  <c r="M762" i="19" a="1"/>
  <c r="N649" i="19" a="1"/>
  <c r="G534" i="19" a="1"/>
  <c r="O799" i="19" a="1"/>
  <c r="O264" i="19" a="1"/>
  <c r="O205" i="19" a="1"/>
  <c r="O211" i="19" a="1"/>
  <c r="M21" i="19" a="1"/>
  <c r="M385" i="19" a="1"/>
  <c r="O780" i="19" a="1"/>
  <c r="M39" i="19" a="1"/>
  <c r="H814" i="19" a="1"/>
  <c r="I166" i="19" a="1"/>
  <c r="M637" i="19" a="1"/>
  <c r="N650" i="19" a="1"/>
  <c r="C606" i="19" a="1"/>
  <c r="G585" i="19" a="1"/>
  <c r="N303" i="19" a="1"/>
  <c r="N817" i="19" a="1"/>
  <c r="H537" i="19" a="1"/>
  <c r="I780" i="19" a="1"/>
  <c r="H365" i="19" a="1"/>
  <c r="G397" i="19" a="1"/>
  <c r="N456" i="19" a="1"/>
  <c r="O671" i="19" a="1"/>
  <c r="N1001" i="19" a="1"/>
  <c r="M332" i="19" a="1"/>
  <c r="I227" i="19" a="1"/>
  <c r="M120" i="19" a="1"/>
  <c r="O589" i="19" a="1"/>
  <c r="G241" i="19" a="1"/>
  <c r="H13" i="19" a="1"/>
  <c r="O1005" i="19" a="1"/>
  <c r="O260" i="19" a="1"/>
  <c r="O357" i="19" a="1"/>
  <c r="O609" i="19" a="1"/>
  <c r="H988" i="19" a="1"/>
  <c r="I291" i="19" a="1"/>
  <c r="H17" i="19" a="1"/>
  <c r="G137" i="19" a="1"/>
  <c r="H546" i="19" a="1"/>
  <c r="N695" i="19" a="1"/>
  <c r="G988" i="19" a="1"/>
  <c r="G143" i="19" a="1"/>
  <c r="O892" i="19" a="1"/>
  <c r="I213" i="19" a="1"/>
  <c r="M586" i="19" a="1"/>
  <c r="G863" i="19" a="1"/>
  <c r="I799" i="19" a="1"/>
  <c r="N489" i="19" a="1"/>
  <c r="O319" i="19" a="1"/>
  <c r="N135" i="19" a="1"/>
  <c r="H513" i="19" a="1"/>
  <c r="M210" i="19" a="1"/>
  <c r="G352" i="19" a="1"/>
  <c r="I854" i="19" a="1"/>
  <c r="N647" i="19" a="1"/>
  <c r="H478" i="19" a="1"/>
  <c r="N745" i="19" a="1"/>
  <c r="N66" i="19" a="1"/>
  <c r="G128" i="19" a="1"/>
  <c r="I299" i="19" a="1"/>
  <c r="O207" i="19" a="1"/>
  <c r="O43" i="19" a="1"/>
  <c r="O628" i="19" a="1"/>
  <c r="H31" i="19" a="1"/>
  <c r="M52" i="19" a="1"/>
  <c r="G446" i="19" a="1"/>
  <c r="H700" i="19" a="1"/>
  <c r="N126" i="19" a="1"/>
  <c r="H201" i="19" a="1"/>
  <c r="O403" i="19" a="1"/>
  <c r="I683" i="19" a="1"/>
  <c r="M932" i="19" a="1"/>
  <c r="N167" i="19" a="1"/>
  <c r="H744" i="19" a="1"/>
  <c r="O466" i="19" a="1"/>
  <c r="H559" i="19" a="1"/>
  <c r="H279" i="19" a="1"/>
  <c r="G459" i="19" a="1"/>
  <c r="N266" i="19" a="1"/>
  <c r="G551" i="19" a="1"/>
  <c r="G280" i="19" a="1"/>
  <c r="H283" i="19" a="1"/>
  <c r="I550" i="19" a="1"/>
  <c r="N312" i="19" a="1"/>
  <c r="B383" i="19" a="1"/>
  <c r="G568" i="19" a="1"/>
  <c r="G388" i="19" a="1"/>
  <c r="G545" i="19" a="1"/>
  <c r="I887" i="19" a="1"/>
  <c r="H871" i="19" a="1"/>
  <c r="I624" i="19" a="1"/>
  <c r="O1026" i="19" a="1"/>
  <c r="H996" i="19" a="1"/>
  <c r="H82" i="19" a="1"/>
  <c r="M256" i="19" a="1"/>
  <c r="M390" i="19" a="1"/>
  <c r="I580" i="19" a="1"/>
  <c r="N913" i="19" a="1"/>
  <c r="I124" i="19" a="1"/>
  <c r="G245" i="19" a="1"/>
  <c r="O54" i="19" a="1"/>
  <c r="H229" i="19" a="1"/>
  <c r="N333" i="19" a="1"/>
  <c r="G108" i="19" a="1"/>
  <c r="H321" i="19" a="1"/>
  <c r="I642" i="19" a="1"/>
  <c r="O552" i="19" a="1"/>
  <c r="G490" i="19" a="1"/>
  <c r="I731" i="19" a="1"/>
  <c r="N589" i="19" a="1"/>
  <c r="H438" i="19" a="1"/>
  <c r="H224" i="19" a="1"/>
  <c r="M329" i="19" a="1"/>
  <c r="N527" i="19" a="1"/>
  <c r="N172" i="19" a="1"/>
  <c r="O114" i="19" a="1"/>
  <c r="G661" i="19" a="1"/>
  <c r="N769" i="19" a="1"/>
  <c r="O1089" i="19" a="1"/>
  <c r="N31" i="19" a="1"/>
  <c r="H24" i="19" a="1"/>
  <c r="I934" i="19" a="1"/>
  <c r="I30" i="19" a="1"/>
  <c r="M476" i="19" a="1"/>
  <c r="O40" i="19" a="1"/>
  <c r="G151" i="19" a="1"/>
  <c r="G901" i="19" a="1"/>
  <c r="M42" i="19" a="1"/>
  <c r="C208" i="19" a="1"/>
  <c r="I858" i="19" a="1"/>
  <c r="I217" i="19" a="1"/>
  <c r="H507" i="19" a="1"/>
  <c r="I539" i="19" a="1"/>
  <c r="O140" i="19" a="1"/>
  <c r="H440" i="19" a="1"/>
  <c r="N44" i="19" a="1"/>
  <c r="K161" i="19" a="1"/>
  <c r="G1099" i="19" a="1"/>
  <c r="I197" i="19" a="1"/>
  <c r="N801" i="19" a="1"/>
  <c r="O636" i="19" a="1"/>
  <c r="O334" i="19" a="1"/>
  <c r="G55" i="19" a="1"/>
  <c r="I589" i="19" a="1"/>
  <c r="O150" i="19" a="1"/>
  <c r="O134" i="19" a="1"/>
  <c r="N389" i="19" a="1"/>
  <c r="M94" i="19" a="1"/>
  <c r="M625" i="19" a="1"/>
  <c r="M300" i="19" a="1"/>
  <c r="M279" i="19" a="1"/>
  <c r="O992" i="19" a="1"/>
  <c r="O571" i="19" a="1"/>
  <c r="G21" i="19" a="1"/>
  <c r="O413" i="19" a="1"/>
  <c r="N934" i="19" a="1"/>
  <c r="G170" i="19" a="1"/>
  <c r="M608" i="19" a="1"/>
  <c r="M311" i="19" a="1"/>
  <c r="G278" i="19" a="1"/>
  <c r="K383" i="19" a="1"/>
  <c r="N349" i="19" a="1"/>
  <c r="M884" i="19" a="1"/>
  <c r="N141" i="19" a="1"/>
  <c r="I34" i="19" a="1"/>
  <c r="I161" i="19" a="1"/>
  <c r="M845" i="19" a="1"/>
  <c r="H1123" i="19" a="1"/>
  <c r="G201" i="19" a="1"/>
  <c r="O783" i="19" a="1"/>
  <c r="H653" i="19" a="1"/>
  <c r="G346" i="19" a="1"/>
  <c r="M95" i="19" a="1"/>
  <c r="N72" i="19" a="1"/>
  <c r="I999" i="19" a="1"/>
  <c r="N877" i="19" a="1"/>
  <c r="M797" i="19" a="1"/>
  <c r="H385" i="19" a="1"/>
  <c r="I522" i="19" a="1"/>
  <c r="B159" i="19" a="1"/>
  <c r="G385" i="19" a="1"/>
  <c r="M316" i="19" a="1"/>
  <c r="N463" i="19" a="1"/>
  <c r="H698" i="19" a="1"/>
  <c r="O835" i="19" a="1"/>
  <c r="I371" i="19" a="1"/>
  <c r="H661" i="19" a="1"/>
  <c r="G82" i="19" a="1"/>
  <c r="O1001" i="19" a="1"/>
  <c r="I969" i="19" a="1"/>
  <c r="G588" i="19" a="1"/>
  <c r="M756" i="19" a="1"/>
  <c r="I187" i="19" a="1"/>
  <c r="O42" i="19" a="1"/>
  <c r="N348" i="19" a="1"/>
  <c r="C458" i="19" a="1"/>
  <c r="H289" i="19" a="1"/>
  <c r="G231" i="19" a="1"/>
  <c r="I948" i="19" a="1"/>
  <c r="M387" i="19" a="1"/>
  <c r="H683" i="19" a="1"/>
  <c r="I397" i="19" a="1"/>
  <c r="H666" i="19" a="1"/>
  <c r="N387" i="19" a="1"/>
  <c r="G80" i="19" a="1"/>
  <c r="O79" i="19" a="1"/>
  <c r="O553" i="19" a="1"/>
  <c r="A568" i="19" a="1"/>
  <c r="I277" i="19" a="1"/>
  <c r="G284" i="19" a="1"/>
  <c r="O1112" i="19" a="1"/>
  <c r="H456" i="19" a="1"/>
  <c r="G227" i="19" a="1"/>
  <c r="I571" i="19" a="1"/>
  <c r="M406" i="19" a="1"/>
  <c r="O735" i="19" a="1"/>
  <c r="M341" i="19" a="1"/>
  <c r="N789" i="19" a="1"/>
  <c r="N98" i="19" a="1"/>
  <c r="M849" i="19" a="1"/>
  <c r="I727" i="19" a="1"/>
  <c r="I838" i="19" a="1"/>
  <c r="I99" i="19" a="1"/>
  <c r="H134" i="19" a="1"/>
  <c r="O624" i="19" a="1"/>
  <c r="O259" i="19" a="1"/>
  <c r="M46" i="19" a="1"/>
  <c r="O536" i="19" a="1"/>
  <c r="N1077" i="19" a="1"/>
  <c r="I707" i="19" a="1"/>
  <c r="M252" i="19" a="1"/>
  <c r="M230" i="19" a="1"/>
  <c r="N965" i="19" a="1"/>
  <c r="N119" i="19" a="1"/>
  <c r="M243" i="19" a="1"/>
  <c r="O1028" i="19" a="1"/>
  <c r="O217" i="19" a="1"/>
  <c r="H328" i="19" a="1"/>
  <c r="O860" i="19" a="1"/>
  <c r="I970" i="19" a="1"/>
  <c r="M181" i="19" a="1"/>
  <c r="H441" i="19" a="1"/>
  <c r="G319" i="19" a="1"/>
  <c r="G64" i="19" a="1"/>
  <c r="G212" i="19" a="1"/>
  <c r="I198" i="19" a="1"/>
  <c r="H187" i="19" a="1"/>
  <c r="M993" i="19" a="1"/>
  <c r="M358" i="19" a="1"/>
  <c r="O943" i="19" a="1"/>
  <c r="O358" i="19" a="1"/>
  <c r="I893" i="19" a="1"/>
  <c r="O430" i="19" a="1"/>
  <c r="G667" i="19" a="1"/>
  <c r="B50" i="19" a="1"/>
  <c r="O93" i="19" a="1"/>
  <c r="I962" i="19" a="1"/>
  <c r="M30" i="19" a="1"/>
  <c r="I535" i="19" a="1"/>
  <c r="M361" i="19" a="1"/>
  <c r="M722" i="19" a="1"/>
  <c r="N1066" i="19" a="1"/>
  <c r="H203" i="19" a="1"/>
  <c r="N335" i="19" a="1"/>
  <c r="O933" i="19" a="1"/>
  <c r="N664" i="19" a="1"/>
  <c r="O634" i="19" a="1"/>
  <c r="H471" i="19" a="1"/>
  <c r="O786" i="19" a="1"/>
  <c r="G759" i="19" a="1"/>
  <c r="H827" i="19" a="1"/>
  <c r="G1123" i="19" a="1"/>
  <c r="O673" i="19" a="1"/>
  <c r="I927" i="19" a="1"/>
  <c r="G629" i="19" a="1"/>
  <c r="I451" i="19" a="1"/>
  <c r="G515" i="19" a="1"/>
  <c r="I402" i="19" a="1"/>
  <c r="B272" i="19" a="1"/>
  <c r="O133" i="19" a="1"/>
  <c r="G1146" i="19" a="1"/>
  <c r="M174" i="19" a="1"/>
  <c r="I118" i="19" a="1"/>
  <c r="G618" i="19" a="1"/>
  <c r="M622" i="19" a="1"/>
  <c r="M1144" i="19" a="1"/>
  <c r="M764" i="19" a="1"/>
  <c r="B123" i="19" a="1"/>
  <c r="H277" i="19" a="1"/>
  <c r="N221" i="19" a="1"/>
  <c r="O292" i="19" a="1"/>
  <c r="G144" i="19" a="1"/>
  <c r="O262" i="19" a="1"/>
  <c r="I1134" i="19" a="1"/>
  <c r="B419" i="19" a="1"/>
  <c r="L901" i="19" a="1"/>
  <c r="O220" i="19" a="1"/>
  <c r="A235" i="19" a="1"/>
  <c r="I641" i="19" a="1"/>
  <c r="G111" i="19" a="1"/>
  <c r="M609" i="19" a="1"/>
  <c r="N858" i="19" a="1"/>
  <c r="H730" i="19" a="1"/>
  <c r="C1050" i="19" a="1"/>
  <c r="H637" i="19" a="1"/>
  <c r="O303" i="19" a="1"/>
  <c r="M952" i="19" a="1"/>
  <c r="H295" i="19" a="1"/>
  <c r="H348" i="19" a="1"/>
  <c r="M661" i="19" a="1"/>
  <c r="N34" i="19" a="1"/>
  <c r="N186" i="19" a="1"/>
  <c r="O550" i="19" a="1"/>
  <c r="B270" i="19" a="1"/>
  <c r="N213" i="19" a="1"/>
  <c r="H130" i="19" a="1"/>
  <c r="O415" i="19" a="1"/>
  <c r="O484" i="19" a="1"/>
  <c r="G354" i="19" a="1"/>
  <c r="M297" i="19" a="1"/>
  <c r="N341" i="19" a="1"/>
  <c r="I268" i="19" a="1"/>
  <c r="H381" i="19" a="1"/>
  <c r="O517" i="19" a="1"/>
  <c r="O164" i="19" a="1"/>
  <c r="O266" i="19" a="1"/>
  <c r="H73" i="19" a="1"/>
  <c r="N644" i="19" a="1"/>
  <c r="G840" i="19" a="1"/>
  <c r="C26" i="19" a="1"/>
  <c r="O1077" i="19" a="1"/>
  <c r="M66" i="19" a="1"/>
  <c r="F568" i="19" a="1"/>
  <c r="G480" i="19" a="1"/>
  <c r="G99" i="19" a="1"/>
  <c r="G33" i="19" a="1"/>
  <c r="M360" i="19" a="1"/>
  <c r="M141" i="19" a="1"/>
  <c r="N558" i="19" a="1"/>
  <c r="O511" i="19" a="1"/>
  <c r="B973" i="19" a="1"/>
  <c r="N512" i="19" a="1"/>
  <c r="G983" i="19" a="1"/>
  <c r="N911" i="19" a="1"/>
  <c r="O612" i="19" a="1"/>
  <c r="G98" i="19" a="1"/>
  <c r="H259" i="19" a="1"/>
  <c r="M700" i="19" a="1"/>
  <c r="G126" i="19" a="1"/>
  <c r="G501" i="19" a="1"/>
  <c r="O360" i="19" a="1"/>
  <c r="N794" i="19" a="1"/>
  <c r="I153" i="19" a="1"/>
  <c r="O561" i="19" a="1"/>
  <c r="M139" i="19" a="1"/>
  <c r="G198" i="19" a="1"/>
  <c r="G140" i="19" a="1"/>
  <c r="M31" i="19" a="1"/>
  <c r="N382" i="19" a="1"/>
  <c r="I907" i="19" a="1"/>
  <c r="N665" i="19" a="1"/>
  <c r="M545" i="19" a="1"/>
  <c r="G881" i="19" a="1"/>
  <c r="I244" i="19" a="1"/>
  <c r="I404" i="19" a="1"/>
  <c r="N875" i="19" a="1"/>
  <c r="H97" i="19" a="1"/>
  <c r="N854" i="19" a="1"/>
  <c r="O986" i="19" a="1"/>
  <c r="O681" i="19" a="1"/>
  <c r="O400" i="19" a="1"/>
  <c r="I534" i="19" a="1"/>
  <c r="C15" i="19" a="1"/>
  <c r="I998" i="19" a="1"/>
  <c r="N106" i="19" a="1"/>
  <c r="H160" i="19" a="1"/>
  <c r="I690" i="19" a="1"/>
  <c r="G815" i="19" a="1"/>
  <c r="M588" i="19" a="1"/>
  <c r="L679" i="19" a="1"/>
  <c r="H127" i="19" a="1"/>
  <c r="G235" i="19" a="1"/>
  <c r="O724" i="19" a="1"/>
  <c r="I667" i="19" a="1"/>
  <c r="G748" i="19" a="1"/>
  <c r="G1073" i="19" a="1"/>
  <c r="G1068" i="19" a="1"/>
  <c r="M633" i="19" a="1"/>
  <c r="O655" i="19" a="1"/>
  <c r="M238" i="19" a="1"/>
  <c r="O167" i="19" a="1"/>
  <c r="G294" i="19" a="1"/>
  <c r="O200" i="19" a="1"/>
  <c r="G163" i="19" a="1"/>
  <c r="N478" i="19" a="1"/>
  <c r="H300" i="19" a="1"/>
  <c r="M515" i="19" a="1"/>
  <c r="M1058" i="19" a="1"/>
  <c r="G1029" i="19" a="1"/>
  <c r="M489" i="19" a="1"/>
  <c r="M1150" i="19" a="1"/>
  <c r="M1062" i="19" a="1"/>
  <c r="M1006" i="19" a="1"/>
  <c r="I407" i="19" a="1"/>
  <c r="H549" i="19" a="1"/>
  <c r="G958" i="19" a="1"/>
  <c r="H339" i="19" a="1"/>
  <c r="H188" i="19" a="1"/>
  <c r="N81" i="19" a="1"/>
  <c r="O76" i="19" a="1"/>
  <c r="I278" i="19" a="1"/>
  <c r="M580" i="19" a="1"/>
  <c r="N519" i="19" a="1"/>
  <c r="H150" i="19" a="1"/>
  <c r="H63" i="19" a="1"/>
  <c r="G257" i="19" a="1"/>
  <c r="G75" i="19" a="1"/>
  <c r="M866" i="19" a="1"/>
  <c r="G984" i="19" a="1"/>
  <c r="O477" i="19" a="1"/>
  <c r="G1054" i="19" a="1"/>
  <c r="N897" i="19" a="1"/>
  <c r="A602" i="19" a="1"/>
  <c r="N599" i="19" a="1"/>
  <c r="O467" i="19" a="1"/>
  <c r="H76" i="19" a="1"/>
  <c r="I427" i="19" a="1"/>
  <c r="G281" i="19" a="1"/>
  <c r="M726" i="19" a="1"/>
  <c r="G463" i="19" a="1"/>
  <c r="G13" i="19" a="1"/>
  <c r="I645" i="19" a="1"/>
  <c r="H363" i="19" a="1"/>
  <c r="N255" i="19" a="1"/>
  <c r="I358" i="19" a="1"/>
  <c r="H774" i="19" a="1"/>
  <c r="I520" i="19" a="1"/>
  <c r="H217" i="19" a="1"/>
  <c r="H934" i="19" a="1"/>
  <c r="M988" i="19" a="1"/>
  <c r="O483" i="19" a="1"/>
  <c r="N69" i="19" a="1"/>
  <c r="M413" i="19" a="1"/>
  <c r="G623" i="19" a="1"/>
  <c r="G954" i="19" a="1"/>
  <c r="C976" i="19" a="1"/>
  <c r="M321" i="19" a="1"/>
  <c r="A713" i="19" a="1"/>
  <c r="N94" i="19" a="1"/>
  <c r="I978" i="19" a="1"/>
  <c r="M594" i="19" a="1"/>
  <c r="N518" i="19" a="1"/>
  <c r="H312" i="19" a="1"/>
  <c r="H888" i="19" a="1"/>
  <c r="M749" i="19" a="1"/>
  <c r="G541" i="19" a="1"/>
  <c r="O597" i="19" a="1"/>
  <c r="G574" i="19" a="1"/>
  <c r="H821" i="19" a="1"/>
  <c r="H952" i="19" a="1"/>
  <c r="M1045" i="19" a="1"/>
  <c r="G94" i="19" a="1"/>
  <c r="H571" i="19" a="1"/>
  <c r="M1021" i="19" a="1"/>
  <c r="M206" i="19" a="1"/>
  <c r="I370" i="19" a="1"/>
  <c r="G69" i="19" a="1"/>
  <c r="H266" i="19" a="1"/>
  <c r="I1030" i="19" a="1"/>
  <c r="I399" i="19" a="1"/>
  <c r="I853" i="19" a="1"/>
  <c r="I202" i="19" a="1"/>
  <c r="H290" i="19" a="1"/>
  <c r="H609" i="19" a="1"/>
  <c r="M911" i="19" a="1"/>
  <c r="M833" i="19" a="1"/>
  <c r="H802" i="19" a="1"/>
  <c r="M247" i="19" a="1"/>
  <c r="O672" i="19" a="1"/>
  <c r="N301" i="19" a="1"/>
  <c r="H268" i="19" a="1"/>
  <c r="O66" i="19" a="1"/>
  <c r="H764" i="19" a="1"/>
  <c r="H572" i="19" a="1"/>
  <c r="N23" i="19" a="1"/>
  <c r="N917" i="19" a="1"/>
  <c r="H436" i="19" a="1"/>
  <c r="I323" i="19" a="1"/>
  <c r="O181" i="19" a="1"/>
  <c r="N681" i="19" a="1"/>
  <c r="M99" i="19" a="1"/>
  <c r="I70" i="19" a="1"/>
  <c r="H260" i="19" a="1"/>
  <c r="H154" i="19" a="1"/>
  <c r="H408" i="19" a="1"/>
  <c r="O109" i="19" a="1"/>
  <c r="I214" i="19" a="1"/>
  <c r="H526" i="19" a="1"/>
  <c r="N57" i="19" a="1"/>
  <c r="G334" i="19" a="1"/>
  <c r="K50" i="19" a="1"/>
  <c r="H483" i="19" a="1"/>
  <c r="G604" i="19" a="1"/>
  <c r="N316" i="19" a="1"/>
  <c r="O658" i="19" a="1"/>
  <c r="G63" i="19" a="1"/>
  <c r="M579" i="19" a="1"/>
  <c r="H493" i="19" a="1"/>
  <c r="O895" i="19" a="1"/>
  <c r="H111" i="19" a="1"/>
  <c r="G481" i="19" a="1"/>
  <c r="I29" i="19" a="1"/>
  <c r="M555" i="19" a="1"/>
  <c r="G560" i="19" a="1"/>
  <c r="I813" i="19" a="1"/>
  <c r="O330" i="19" a="1"/>
  <c r="N351" i="19" a="1"/>
  <c r="N542" i="19" a="1"/>
  <c r="H804" i="19" a="1"/>
  <c r="G981" i="19" a="1"/>
  <c r="I701" i="19" a="1"/>
  <c r="I101" i="19" a="1"/>
  <c r="G1103" i="19" a="1"/>
  <c r="C532" i="19" a="1"/>
  <c r="O695" i="19" a="1"/>
  <c r="O850" i="19" a="1"/>
  <c r="H251" i="19" a="1"/>
  <c r="G1062" i="19" a="1"/>
  <c r="M429" i="19" a="1"/>
  <c r="H419" i="19" a="1"/>
  <c r="O298" i="19" a="1"/>
  <c r="O1142" i="19" a="1"/>
  <c r="N202" i="19" a="1"/>
  <c r="I446" i="19" a="1"/>
  <c r="I728" i="19" a="1"/>
  <c r="I387" i="19" a="1"/>
  <c r="G16" i="19" a="1"/>
  <c r="G662" i="19" a="1"/>
  <c r="H1085" i="19" a="1"/>
  <c r="M388" i="19" a="1"/>
  <c r="G286" i="19" a="1"/>
  <c r="M562" i="19" a="1"/>
  <c r="N206" i="19" a="1"/>
  <c r="N412" i="19" a="1"/>
  <c r="N546" i="19" a="1"/>
  <c r="O432" i="19" a="1"/>
  <c r="M805" i="19" a="1"/>
  <c r="I19" i="19" a="1"/>
  <c r="O497" i="19" a="1"/>
  <c r="I762" i="19" a="1"/>
  <c r="H543" i="19" a="1"/>
  <c r="O407" i="19" a="1"/>
  <c r="I567" i="19" a="1"/>
  <c r="G647" i="19" a="1"/>
  <c r="O137" i="19" a="1"/>
  <c r="I849" i="19" a="1"/>
  <c r="N315" i="19" a="1"/>
  <c r="N53" i="19" a="1"/>
  <c r="O218" i="19" a="1"/>
  <c r="M846" i="19" a="1"/>
  <c r="G775" i="19" a="1"/>
  <c r="H18" i="19" a="1"/>
  <c r="O727" i="19" a="1"/>
  <c r="G725" i="19" a="1"/>
  <c r="H484" i="19" a="1"/>
  <c r="H396" i="19" a="1"/>
  <c r="N364" i="19" a="1"/>
  <c r="M733" i="19" a="1"/>
  <c r="H736" i="19" a="1"/>
  <c r="I488" i="19" a="1"/>
  <c r="N313" i="19" a="1"/>
  <c r="O74" i="19" a="1"/>
  <c r="H525" i="19" a="1"/>
  <c r="H163" i="19" a="1"/>
  <c r="G402" i="19" a="1"/>
  <c r="M404" i="19" a="1"/>
  <c r="N654" i="19" a="1"/>
  <c r="M96" i="19" a="1"/>
  <c r="M777" i="19" a="1"/>
  <c r="N287" i="19" a="1"/>
  <c r="G300" i="19" a="1"/>
  <c r="I142" i="19" a="1"/>
  <c r="G34" i="19" a="1"/>
  <c r="G642" i="19" a="1"/>
  <c r="N620" i="19" a="1"/>
  <c r="O1033" i="19" a="1"/>
  <c r="H519" i="19" a="1"/>
  <c r="I372" i="19" a="1"/>
  <c r="G1016" i="19" a="1"/>
  <c r="N239" i="19" a="1"/>
  <c r="O520" i="19" a="1"/>
  <c r="G619" i="19" a="1"/>
  <c r="G990" i="19" a="1"/>
  <c r="H142" i="19" a="1"/>
  <c r="G323" i="19" a="1"/>
  <c r="O830" i="19" a="1"/>
  <c r="G530" i="19" a="1"/>
  <c r="N798" i="19" a="1"/>
  <c r="O77" i="19" a="1"/>
  <c r="O1130" i="19" a="1"/>
  <c r="M152" i="19" a="1"/>
  <c r="O820" i="19" a="1"/>
  <c r="H182" i="19" a="1"/>
  <c r="M327" i="19" a="1"/>
  <c r="M36" i="19" a="1"/>
  <c r="H628" i="19" a="1"/>
  <c r="G466" i="19" a="1"/>
  <c r="M994" i="19" a="1"/>
  <c r="H87" i="19" a="1"/>
  <c r="I485" i="19" a="1"/>
  <c r="H644" i="19" a="1"/>
  <c r="M177" i="19" a="1"/>
  <c r="N109" i="19" a="1"/>
  <c r="I262" i="19" a="1"/>
  <c r="M611" i="19" a="1"/>
  <c r="H763" i="19" a="1"/>
  <c r="F309" i="19" a="1"/>
  <c r="N590" i="19" a="1"/>
  <c r="M533" i="19" a="1"/>
  <c r="N219" i="19" a="1"/>
  <c r="M506" i="19" a="1"/>
  <c r="O352" i="19" a="1"/>
  <c r="N741" i="19" a="1"/>
  <c r="G503" i="19" a="1"/>
  <c r="O766" i="19" a="1"/>
  <c r="I147" i="19" a="1"/>
  <c r="I186" i="19" a="1"/>
  <c r="H468" i="19" a="1"/>
  <c r="G292" i="19" a="1"/>
  <c r="I52" i="19" a="1"/>
  <c r="H743" i="19" a="1"/>
  <c r="G465" i="19" a="1"/>
  <c r="H360" i="19" a="1"/>
  <c r="G923" i="19" a="1"/>
  <c r="M1094" i="19" a="1"/>
  <c r="G468" i="19" a="1"/>
  <c r="G41" i="19" a="1"/>
  <c r="N570" i="19" a="1"/>
  <c r="O869" i="19" a="1"/>
  <c r="H508" i="19" a="1"/>
  <c r="H171" i="19" a="1"/>
  <c r="N693" i="19" a="1"/>
  <c r="O572" i="19" a="1"/>
  <c r="G331" i="19" a="1"/>
  <c r="I920" i="19" a="1"/>
  <c r="O812" i="19" a="1"/>
  <c r="H175" i="19" a="1"/>
  <c r="I850" i="19" a="1"/>
  <c r="I819" i="19" a="1"/>
  <c r="I251" i="19" a="1"/>
  <c r="I551" i="19" a="1"/>
  <c r="H1056" i="19" a="1"/>
  <c r="H1019" i="19" a="1"/>
  <c r="O654" i="19" a="1"/>
  <c r="M955" i="19" a="1"/>
  <c r="O106" i="19" a="1"/>
  <c r="H836" i="19" a="1"/>
  <c r="I145" i="19" a="1"/>
  <c r="N1130" i="19" a="1"/>
  <c r="I833" i="19" a="1"/>
  <c r="O221" i="19" a="1"/>
  <c r="I433" i="19" a="1"/>
  <c r="G692" i="19" a="1"/>
  <c r="G835" i="19" a="1"/>
  <c r="I416" i="19" a="1"/>
  <c r="N401" i="19" a="1"/>
  <c r="C680" i="19" a="1"/>
  <c r="H1068" i="19" a="1"/>
  <c r="M482" i="19" a="1"/>
  <c r="G62" i="19" a="1"/>
  <c r="H20" i="19" a="1"/>
  <c r="H449" i="19" a="1"/>
  <c r="O406" i="19" a="1"/>
  <c r="F864" i="19" a="1"/>
  <c r="G30" i="19" a="1"/>
  <c r="H783" i="19" a="1"/>
  <c r="H349" i="19" a="1"/>
  <c r="G60" i="19" a="1"/>
  <c r="I66" i="19" a="1"/>
  <c r="M662" i="19" a="1"/>
  <c r="O386" i="19" a="1"/>
  <c r="I42" i="19" a="1"/>
  <c r="O31" i="19" a="1"/>
  <c r="I790" i="19" a="1"/>
  <c r="N469" i="19" a="1"/>
  <c r="N523" i="19" a="1"/>
  <c r="I1085" i="19" a="1"/>
  <c r="I105" i="19" a="1"/>
  <c r="I744" i="19" a="1"/>
  <c r="G777" i="19" a="1"/>
  <c r="G420" i="19" a="1"/>
  <c r="N515" i="19" a="1"/>
  <c r="I552" i="19" a="1"/>
  <c r="M77" i="19" a="1"/>
  <c r="G42" i="19" a="1"/>
  <c r="G460" i="19" a="1"/>
  <c r="G562" i="19" a="1"/>
  <c r="G39" i="19" a="1"/>
  <c r="M137" i="19" a="1"/>
  <c r="G155" i="19" a="1"/>
  <c r="G15" i="19" a="1"/>
  <c r="G763" i="19" a="1"/>
  <c r="H570" i="19" a="1"/>
  <c r="G810" i="19" a="1"/>
  <c r="H875" i="19" a="1"/>
  <c r="H649" i="19" a="1"/>
  <c r="G40" i="19" a="1"/>
  <c r="N407" i="19" a="1"/>
  <c r="N130" i="19" a="1"/>
  <c r="N459" i="19" a="1"/>
  <c r="H332" i="19" a="1"/>
  <c r="N95" i="19" a="1"/>
  <c r="N953" i="19" a="1"/>
  <c r="H583" i="19" a="1"/>
  <c r="G822" i="19" a="1"/>
  <c r="O426" i="19" a="1"/>
  <c r="G485" i="19" a="1"/>
  <c r="G439" i="19" a="1"/>
  <c r="N78" i="19" a="1"/>
  <c r="M74" i="19" a="1"/>
  <c r="N559" i="19" a="1"/>
  <c r="C22" i="19" a="1"/>
  <c r="H401" i="19" a="1"/>
  <c r="H499" i="19" a="1"/>
  <c r="M729" i="19" a="1"/>
  <c r="M401" i="19" a="1"/>
  <c r="H136" i="19" a="1"/>
  <c r="M374" i="19" a="1"/>
  <c r="I221" i="19" a="1"/>
  <c r="O326" i="19" a="1"/>
  <c r="H139" i="19" a="1"/>
  <c r="O45" i="19" a="1"/>
  <c r="H285" i="19" a="1"/>
  <c r="G211" i="19" a="1"/>
  <c r="H652" i="19" a="1"/>
  <c r="I686" i="19" a="1"/>
  <c r="N353" i="19" a="1"/>
  <c r="I681" i="19" a="1"/>
  <c r="O113" i="19" a="1"/>
  <c r="M563" i="19" a="1"/>
  <c r="H318" i="19" a="1"/>
  <c r="M552" i="19" a="1"/>
  <c r="M394" i="19" a="1"/>
  <c r="K87" i="19" a="1"/>
  <c r="G414" i="19" a="1"/>
  <c r="O461" i="19" a="1"/>
  <c r="G303" i="19" a="1"/>
  <c r="L309" i="19" a="1"/>
  <c r="N123" i="19" a="1"/>
  <c r="O551" i="19" a="1"/>
  <c r="G208" i="19" a="1"/>
  <c r="I168" i="19" a="1"/>
  <c r="N444" i="19" a="1"/>
  <c r="M254" i="19" a="1"/>
  <c r="H868" i="19" a="1"/>
  <c r="M440" i="19" a="1"/>
  <c r="H492" i="19" a="1"/>
  <c r="O506" i="19" a="1"/>
  <c r="O501" i="19" a="1"/>
  <c r="G494" i="19" a="1"/>
  <c r="O925" i="19" a="1"/>
  <c r="G141" i="19" a="1"/>
  <c r="I1080" i="19" a="1"/>
  <c r="H62" i="19" a="1"/>
  <c r="G17" i="19" a="1"/>
  <c r="I562" i="19" a="1"/>
  <c r="H886" i="19" a="1"/>
  <c r="N360" i="19" a="1"/>
  <c r="N268" i="19" a="1"/>
  <c r="O815" i="19" a="1"/>
  <c r="I302" i="19" a="1"/>
  <c r="N516" i="19" a="1"/>
  <c r="I546" i="19" a="1"/>
  <c r="H640" i="19" a="1"/>
  <c r="M116" i="19" a="1"/>
  <c r="I72" i="19" a="1"/>
  <c r="G374" i="19" a="1"/>
  <c r="H48" i="19" a="1"/>
  <c r="O414" i="19" a="1"/>
  <c r="H442" i="19" a="1"/>
  <c r="N201" i="19" a="1"/>
  <c r="O175" i="19" a="1"/>
  <c r="H1106" i="19" a="1"/>
  <c r="G12" i="19" a="1"/>
  <c r="H870" i="19" a="1"/>
  <c r="N767" i="19" a="1"/>
  <c r="H467" i="19" a="1"/>
  <c r="M535" i="19" a="1"/>
  <c r="I62" i="19" a="1"/>
  <c r="N498" i="19" a="1"/>
  <c r="H1033" i="19" a="1"/>
  <c r="M427" i="19" a="1"/>
  <c r="H955" i="19" a="1"/>
  <c r="M405" i="19" a="1"/>
  <c r="H253" i="19" a="1"/>
  <c r="N111" i="19" a="1"/>
  <c r="H863" i="19" a="1"/>
  <c r="M505" i="19" a="1"/>
  <c r="H271" i="19" a="1"/>
  <c r="O504" i="19" a="1"/>
  <c r="G595" i="19" a="1"/>
  <c r="O562" i="19" a="1"/>
  <c r="O632" i="19" a="1"/>
  <c r="O248" i="19" a="1"/>
  <c r="G184" i="19" a="1"/>
  <c r="H340" i="19" a="1"/>
  <c r="O773" i="19" a="1"/>
  <c r="G552" i="19" a="1"/>
  <c r="N536" i="19" a="1"/>
  <c r="H44" i="19" a="1"/>
  <c r="G244" i="19" a="1"/>
  <c r="I165" i="19" a="1"/>
  <c r="H665" i="19" a="1"/>
  <c r="G179" i="19" a="1"/>
  <c r="N58" i="19" a="1"/>
  <c r="M26" i="19" a="1"/>
  <c r="I957" i="19" a="1"/>
  <c r="N46" i="19" a="1"/>
  <c r="O692" i="19" a="1"/>
  <c r="I315" i="19" a="1"/>
  <c r="M18" i="19" a="1"/>
  <c r="M17" i="19" a="1"/>
  <c r="M28" i="19" a="1"/>
  <c r="G522" i="19" a="1"/>
  <c r="H129" i="19" a="1"/>
  <c r="H472" i="19" a="1"/>
  <c r="I317" i="19" a="1"/>
  <c r="G340" i="19" a="1"/>
  <c r="H344" i="19" a="1"/>
  <c r="I598" i="19" a="1"/>
  <c r="B457" i="19" a="1"/>
  <c r="G77" i="19" a="1"/>
  <c r="H486" i="19" a="1"/>
  <c r="K235" i="19" a="1"/>
  <c r="M875" i="19" a="1"/>
  <c r="O238" i="19" a="1"/>
  <c r="G508" i="19" a="1"/>
  <c r="I207" i="19" a="1"/>
  <c r="N361" i="19" a="1"/>
  <c r="I596" i="19" a="1"/>
  <c r="G337" i="19" a="1"/>
  <c r="N156" i="19" a="1"/>
  <c r="N128" i="19" a="1"/>
  <c r="I509" i="19" a="1"/>
  <c r="M585" i="19" a="1"/>
  <c r="H1008" i="19" a="1"/>
  <c r="O224" i="19" a="1"/>
  <c r="N504" i="19" a="1"/>
  <c r="O435" i="19" a="1"/>
  <c r="G625" i="19" a="1"/>
  <c r="G191" i="19" a="1"/>
  <c r="O907" i="19" a="1"/>
  <c r="G415" i="19" a="1"/>
  <c r="H205" i="19" a="1"/>
  <c r="G731" i="19" a="1"/>
  <c r="G326" i="19" a="1"/>
  <c r="M249" i="19" a="1"/>
  <c r="H410" i="19" a="1"/>
  <c r="H488" i="19" a="1"/>
  <c r="N108" i="19" a="1"/>
  <c r="N876" i="19" a="1"/>
  <c r="B752" i="19" a="1"/>
  <c r="H213" i="19" a="1"/>
  <c r="I336" i="19" a="1"/>
  <c r="I390" i="19" a="1"/>
  <c r="I628" i="19" a="1"/>
  <c r="M469" i="19" a="1"/>
  <c r="N675" i="19" a="1"/>
  <c r="G205" i="19" a="1"/>
  <c r="O35" i="19" a="1"/>
  <c r="H607" i="19" a="1"/>
  <c r="N579" i="19" a="1"/>
  <c r="H931" i="19" a="1"/>
  <c r="I483" i="19" a="1"/>
  <c r="O924" i="19" a="1"/>
  <c r="O737" i="19" a="1"/>
  <c r="G616" i="19" a="1"/>
  <c r="M613" i="19" a="1"/>
  <c r="O24" i="19" a="1"/>
  <c r="I267" i="19" a="1"/>
  <c r="O776" i="19" a="1"/>
  <c r="H556" i="19" a="1"/>
  <c r="H798" i="19" a="1"/>
  <c r="H473" i="19" a="1"/>
  <c r="O282" i="19" a="1"/>
  <c r="H500" i="19" a="1"/>
  <c r="I92" i="19" a="1"/>
  <c r="H801" i="19" a="1"/>
  <c r="O842" i="19" a="1"/>
  <c r="H840" i="19" a="1"/>
  <c r="G845" i="19" a="1"/>
  <c r="O805" i="19" a="1"/>
  <c r="I925" i="19" a="1"/>
  <c r="M445" i="19" a="1"/>
  <c r="O399" i="19" a="1"/>
  <c r="I989" i="19" a="1"/>
  <c r="G894" i="19" a="1"/>
  <c r="O644" i="19" a="1"/>
  <c r="H74" i="19" a="1"/>
  <c r="N740" i="19" a="1"/>
  <c r="H923" i="19" a="1"/>
  <c r="I54" i="19" a="1"/>
  <c r="I665" i="19" a="1"/>
  <c r="N545" i="19" a="1"/>
  <c r="I949" i="19" a="1"/>
  <c r="O878" i="19" a="1"/>
  <c r="O983" i="19" a="1"/>
  <c r="O102" i="19" a="1"/>
  <c r="K309" i="19" a="1"/>
  <c r="G375" i="19" a="1"/>
  <c r="N622" i="19" a="1"/>
  <c r="H69" i="19" a="1"/>
  <c r="H135" i="19" a="1"/>
  <c r="C875" i="19" a="1"/>
  <c r="I618" i="19" a="1"/>
  <c r="O595" i="19" a="1"/>
  <c r="N131" i="19" a="1"/>
  <c r="N127" i="19" a="1"/>
  <c r="I58" i="19" a="1"/>
  <c r="M128" i="19" a="1"/>
  <c r="O169" i="19" a="1"/>
  <c r="O526" i="19" a="1"/>
  <c r="I855" i="19" a="1"/>
  <c r="O519" i="19" a="1"/>
  <c r="G627" i="19" a="1"/>
  <c r="N145" i="19" a="1"/>
  <c r="M1102" i="19" a="1"/>
  <c r="M37" i="19" a="1"/>
  <c r="N903" i="19" a="1"/>
  <c r="G538" i="19" a="1"/>
  <c r="G563" i="19" a="1"/>
  <c r="I1029" i="19" a="1"/>
  <c r="G550" i="19" a="1"/>
  <c r="H326" i="19" a="1"/>
  <c r="G900" i="19" a="1"/>
  <c r="A827" i="19" a="1"/>
  <c r="O686" i="19" a="1"/>
  <c r="G843" i="19" a="1"/>
  <c r="I231" i="19" a="1"/>
  <c r="G477" i="19" a="1"/>
  <c r="G500" i="19" a="1"/>
  <c r="M258" i="19" a="1"/>
  <c r="I540" i="19" a="1"/>
  <c r="O587" i="19" a="1"/>
  <c r="N525" i="19" a="1"/>
  <c r="N1051" i="19" a="1"/>
  <c r="N670" i="19" a="1"/>
  <c r="M111" i="19" a="1"/>
  <c r="H242" i="19" a="1"/>
  <c r="H965" i="19" a="1"/>
  <c r="B716" i="19" a="1"/>
  <c r="K494" i="19" a="1"/>
  <c r="O65" i="19" a="1"/>
  <c r="I759" i="19" a="1"/>
  <c r="N517" i="19" a="1"/>
  <c r="M33" i="19" a="1"/>
  <c r="M853" i="19" a="1"/>
  <c r="M326" i="19" a="1"/>
  <c r="H518" i="19" a="1"/>
  <c r="I93" i="19" a="1"/>
  <c r="N466" i="19" a="1"/>
  <c r="O630" i="19" a="1"/>
  <c r="H566" i="19" a="1"/>
  <c r="O170" i="19" a="1"/>
  <c r="G1143" i="19" a="1"/>
  <c r="G219" i="19" a="1"/>
  <c r="G540" i="19" a="1"/>
  <c r="N187" i="19" a="1"/>
  <c r="N25" i="19" a="1"/>
  <c r="M378" i="19" a="1"/>
  <c r="G601" i="19" a="1"/>
  <c r="N453" i="19" a="1"/>
  <c r="O339" i="19" a="1"/>
  <c r="M497" i="19" a="1"/>
  <c r="M959" i="19" a="1"/>
  <c r="M903" i="19" a="1"/>
  <c r="O559" i="19" a="1"/>
  <c r="G536" i="19" a="1"/>
  <c r="G672" i="19" a="1"/>
  <c r="M551" i="19" a="1"/>
  <c r="N35" i="19" a="1"/>
  <c r="H56" i="19" a="1"/>
  <c r="H364" i="19" a="1"/>
  <c r="N882" i="19" a="1"/>
  <c r="O626" i="19" a="1"/>
  <c r="H905" i="19" a="1"/>
  <c r="I857" i="19" a="1"/>
  <c r="H222" i="19" a="1"/>
  <c r="M674" i="19" a="1"/>
  <c r="O363" i="19" a="1"/>
  <c r="M369" i="19" a="1"/>
  <c r="O588" i="19" a="1"/>
  <c r="G370" i="19" a="1"/>
  <c r="N813" i="19" a="1"/>
  <c r="M945" i="19" a="1"/>
  <c r="H304" i="19" a="1"/>
  <c r="I59" i="19" a="1"/>
  <c r="M149" i="19" a="1"/>
  <c r="G663" i="19" a="1"/>
  <c r="M517" i="19" a="1"/>
  <c r="H323" i="19" a="1"/>
  <c r="N147" i="19" a="1"/>
  <c r="H173" i="19" a="1"/>
  <c r="O897" i="19" a="1"/>
  <c r="I435" i="19" a="1"/>
  <c r="N1122" i="19" a="1"/>
  <c r="O711" i="19" a="1"/>
  <c r="G335" i="19" a="1"/>
  <c r="G867" i="19" a="1"/>
  <c r="N139" i="19" a="1"/>
  <c r="B418" i="19" a="1"/>
  <c r="M119" i="19" a="1"/>
  <c r="O710" i="19" a="1"/>
  <c r="O857" i="19" a="1"/>
  <c r="O408" i="19" a="1"/>
  <c r="O354" i="19" a="1"/>
  <c r="I49" i="19" a="1"/>
  <c r="G154" i="19" a="1"/>
  <c r="H427" i="19" a="1"/>
  <c r="I225" i="19" a="1"/>
  <c r="I81" i="19" a="1"/>
  <c r="O533" i="19" a="1"/>
  <c r="I852" i="19" a="1"/>
  <c r="O174" i="19" a="1"/>
  <c r="O733" i="19" a="1"/>
  <c r="H355" i="19" a="1"/>
  <c r="G282" i="19" a="1"/>
  <c r="L790" i="19" a="1"/>
  <c r="H78" i="19" a="1"/>
  <c r="H303" i="19" a="1"/>
  <c r="M107" i="19" a="1"/>
  <c r="H39" i="19" a="1"/>
  <c r="M287" i="19" a="1"/>
  <c r="N138" i="19" a="1"/>
  <c r="H608" i="19" a="1"/>
  <c r="O15" i="19" a="1"/>
  <c r="H152" i="19" a="1"/>
  <c r="G498" i="19" a="1"/>
  <c r="I881" i="19" a="1"/>
  <c r="I835" i="19" a="1"/>
  <c r="I257" i="19" a="1"/>
  <c r="N551" i="19" a="1"/>
  <c r="O761" i="19" a="1"/>
  <c r="H553" i="19" a="1"/>
  <c r="G675" i="19" a="1"/>
  <c r="I368" i="19" a="1"/>
  <c r="H540" i="19" a="1"/>
  <c r="N731" i="19" a="1"/>
  <c r="M623" i="19" a="1"/>
  <c r="I207" i="19" l="1"/>
  <c r="H109" i="19"/>
  <c r="G17" i="19"/>
  <c r="K87" i="19"/>
  <c r="M155" i="19"/>
  <c r="I999" i="19"/>
  <c r="N95" i="19"/>
  <c r="M275" i="19"/>
  <c r="N695" i="19"/>
  <c r="G466" i="19"/>
  <c r="O892" i="19"/>
  <c r="C458" i="19"/>
  <c r="G568" i="19"/>
  <c r="H1137" i="19"/>
  <c r="G847" i="19"/>
  <c r="M655" i="19"/>
  <c r="N118" i="19"/>
  <c r="G336" i="19"/>
  <c r="N355" i="19"/>
  <c r="H554" i="19"/>
  <c r="M545" i="19"/>
  <c r="N681" i="19"/>
  <c r="O175" i="19"/>
  <c r="I827" i="19"/>
  <c r="I731" i="19"/>
  <c r="N153" i="19"/>
  <c r="G783" i="19"/>
  <c r="N665" i="19"/>
  <c r="N138" i="19"/>
  <c r="B679" i="19"/>
  <c r="O172" i="19"/>
  <c r="H850" i="19"/>
  <c r="N98" i="19"/>
  <c r="N789" i="19"/>
  <c r="M561" i="19"/>
  <c r="H481" i="19"/>
  <c r="O710" i="19"/>
  <c r="G294" i="19"/>
  <c r="I119" i="19"/>
  <c r="M856" i="19"/>
  <c r="M370" i="19"/>
  <c r="O857" i="19"/>
  <c r="O924" i="19"/>
  <c r="H519" i="19"/>
  <c r="G953" i="19"/>
  <c r="H493" i="19"/>
  <c r="M378" i="19"/>
  <c r="N186" i="19"/>
  <c r="G675" i="19"/>
  <c r="O290" i="19"/>
  <c r="O851" i="19"/>
  <c r="N600" i="19"/>
  <c r="H649" i="19"/>
  <c r="G77" i="19"/>
  <c r="G201" i="19"/>
  <c r="H468" i="19"/>
  <c r="M394" i="19"/>
  <c r="I507" i="19"/>
  <c r="B383" i="19"/>
  <c r="O43" i="19"/>
  <c r="H546" i="19"/>
  <c r="O737" i="19"/>
  <c r="H628" i="19"/>
  <c r="H786" i="19"/>
  <c r="I627" i="19"/>
  <c r="I98" i="19"/>
  <c r="H558" i="19"/>
  <c r="G1068" i="19"/>
  <c r="O181" i="19"/>
  <c r="H871" i="19"/>
  <c r="M224" i="19"/>
  <c r="G32" i="19"/>
  <c r="G524" i="19"/>
  <c r="G995" i="19"/>
  <c r="I907" i="19"/>
  <c r="I667" i="19"/>
  <c r="M55" i="19"/>
  <c r="H445" i="19"/>
  <c r="N954" i="19"/>
  <c r="O634" i="19"/>
  <c r="M341" i="19"/>
  <c r="O628" i="19"/>
  <c r="G577" i="19"/>
  <c r="G593" i="19"/>
  <c r="G235" i="19"/>
  <c r="M119" i="19"/>
  <c r="M496" i="19"/>
  <c r="H180" i="19"/>
  <c r="G402" i="19"/>
  <c r="G416" i="19"/>
  <c r="G489" i="19"/>
  <c r="N271" i="19"/>
  <c r="O860" i="19"/>
  <c r="I483" i="19"/>
  <c r="I399" i="19"/>
  <c r="G574" i="19"/>
  <c r="M579" i="19"/>
  <c r="M180" i="19"/>
  <c r="M107" i="19"/>
  <c r="G481" i="19"/>
  <c r="M404" i="19"/>
  <c r="M903" i="19"/>
  <c r="G490" i="19"/>
  <c r="I989" i="19"/>
  <c r="M552" i="19"/>
  <c r="G303" i="19"/>
  <c r="M369" i="19"/>
  <c r="O37" i="19"/>
  <c r="I298" i="19"/>
  <c r="G155" i="19"/>
  <c r="M167" i="19"/>
  <c r="O526" i="19"/>
  <c r="M36" i="19"/>
  <c r="G287" i="19"/>
  <c r="G415" i="19"/>
  <c r="O1126" i="19"/>
  <c r="N223" i="19"/>
  <c r="O207" i="19"/>
  <c r="O170" i="19"/>
  <c r="I323" i="19"/>
  <c r="G15" i="19"/>
  <c r="G814" i="19"/>
  <c r="H736" i="19"/>
  <c r="O707" i="19"/>
  <c r="H472" i="19"/>
  <c r="N382" i="19"/>
  <c r="G331" i="19"/>
  <c r="M213" i="19"/>
  <c r="N518" i="19"/>
  <c r="N585" i="19"/>
  <c r="H62" i="19"/>
  <c r="N652" i="19"/>
  <c r="G374" i="19"/>
  <c r="G137" i="19"/>
  <c r="O735" i="19"/>
  <c r="H821" i="19"/>
  <c r="O647" i="19"/>
  <c r="N312" i="19"/>
  <c r="M411" i="19"/>
  <c r="M806" i="19"/>
  <c r="I186" i="19"/>
  <c r="B418" i="19"/>
  <c r="B973" i="19"/>
  <c r="N559" i="19"/>
  <c r="G840" i="19"/>
  <c r="H274" i="19"/>
  <c r="H720" i="19"/>
  <c r="G604" i="19"/>
  <c r="G642" i="19"/>
  <c r="I371" i="19"/>
  <c r="N748" i="19"/>
  <c r="O32" i="19"/>
  <c r="G549" i="19"/>
  <c r="H127" i="19"/>
  <c r="M52" i="19"/>
  <c r="G69" i="19"/>
  <c r="O552" i="19"/>
  <c r="N244" i="19"/>
  <c r="O727" i="19"/>
  <c r="H931" i="19"/>
  <c r="H281" i="19"/>
  <c r="M141" i="19"/>
  <c r="M104" i="19"/>
  <c r="N687" i="19"/>
  <c r="C976" i="19"/>
  <c r="M487" i="19"/>
  <c r="H328" i="19"/>
  <c r="I850" i="19"/>
  <c r="O443" i="19"/>
  <c r="O584" i="19"/>
  <c r="I299" i="19"/>
  <c r="G801" i="19"/>
  <c r="H318" i="19"/>
  <c r="H441" i="19"/>
  <c r="H515" i="19"/>
  <c r="H576" i="19"/>
  <c r="M30" i="19"/>
  <c r="I54" i="19"/>
  <c r="M327" i="19"/>
  <c r="H224" i="19"/>
  <c r="N348" i="19"/>
  <c r="H381" i="19"/>
  <c r="M77" i="19"/>
  <c r="O399" i="19"/>
  <c r="N432" i="19"/>
  <c r="K901" i="19"/>
  <c r="B159" i="19"/>
  <c r="H17" i="19"/>
  <c r="M1058" i="19"/>
  <c r="H436" i="19"/>
  <c r="I485" i="19"/>
  <c r="O363" i="19"/>
  <c r="G339" i="19"/>
  <c r="I550" i="19"/>
  <c r="H243" i="19"/>
  <c r="I419" i="19"/>
  <c r="I1080" i="19"/>
  <c r="M31" i="19"/>
  <c r="G231" i="19"/>
  <c r="O907" i="19"/>
  <c r="L235" i="19"/>
  <c r="N662" i="19"/>
  <c r="I147" i="19"/>
  <c r="M175" i="19"/>
  <c r="O895" i="19"/>
  <c r="G633" i="19"/>
  <c r="G224" i="19"/>
  <c r="M993" i="19"/>
  <c r="M406" i="19"/>
  <c r="M74" i="19"/>
  <c r="N431" i="19"/>
  <c r="N405" i="19"/>
  <c r="I859" i="19"/>
  <c r="L679" i="19"/>
  <c r="N139" i="19"/>
  <c r="M287" i="19"/>
  <c r="G34" i="19"/>
  <c r="N35" i="19"/>
  <c r="N575" i="19"/>
  <c r="H1024" i="19"/>
  <c r="O217" i="19"/>
  <c r="N65" i="19"/>
  <c r="I370" i="19"/>
  <c r="N128" i="19"/>
  <c r="I519" i="19"/>
  <c r="N522" i="19"/>
  <c r="N579" i="19"/>
  <c r="G470" i="19"/>
  <c r="M360" i="19"/>
  <c r="I642" i="19"/>
  <c r="N1008" i="19"/>
  <c r="O415" i="19"/>
  <c r="N294" i="19"/>
  <c r="N201" i="19"/>
  <c r="H260" i="19"/>
  <c r="O42" i="19"/>
  <c r="O28" i="19"/>
  <c r="N72" i="19"/>
  <c r="H303" i="19"/>
  <c r="M563" i="19"/>
  <c r="G1143" i="19"/>
  <c r="M674" i="19"/>
  <c r="N37" i="19"/>
  <c r="G328" i="19"/>
  <c r="G128" i="19"/>
  <c r="N315" i="19"/>
  <c r="M445" i="19"/>
  <c r="H182" i="19"/>
  <c r="G370" i="19"/>
  <c r="G191" i="19"/>
  <c r="I37" i="19"/>
  <c r="M988" i="19"/>
  <c r="G560" i="19"/>
  <c r="N917" i="19"/>
  <c r="O245" i="19"/>
  <c r="N131" i="19"/>
  <c r="H510" i="19"/>
  <c r="M959" i="19"/>
  <c r="I291" i="19"/>
  <c r="G141" i="19"/>
  <c r="H74" i="19"/>
  <c r="N78" i="19"/>
  <c r="I698" i="19"/>
  <c r="G508" i="19"/>
  <c r="N792" i="19"/>
  <c r="O766" i="19"/>
  <c r="G140" i="19"/>
  <c r="O108" i="19"/>
  <c r="I142" i="19"/>
  <c r="M431" i="19"/>
  <c r="H283" i="19"/>
  <c r="M647" i="19"/>
  <c r="M435" i="19"/>
  <c r="I571" i="19"/>
  <c r="M257" i="19"/>
  <c r="M206" i="19"/>
  <c r="I725" i="19"/>
  <c r="O1107" i="19"/>
  <c r="O649" i="19"/>
  <c r="G867" i="19"/>
  <c r="I317" i="19"/>
  <c r="G33" i="19"/>
  <c r="O595" i="19"/>
  <c r="H70" i="19"/>
  <c r="I409" i="19"/>
  <c r="G1073" i="19"/>
  <c r="H607" i="19"/>
  <c r="I244" i="19"/>
  <c r="H332" i="19"/>
  <c r="M479" i="19"/>
  <c r="G242" i="19"/>
  <c r="G525" i="19"/>
  <c r="M588" i="19"/>
  <c r="H117" i="19"/>
  <c r="O487" i="19"/>
  <c r="H321" i="19"/>
  <c r="H464" i="19"/>
  <c r="N25" i="19"/>
  <c r="H383" i="19"/>
  <c r="O1028" i="19"/>
  <c r="H553" i="19"/>
  <c r="G731" i="19"/>
  <c r="I187" i="19"/>
  <c r="I614" i="19"/>
  <c r="B457" i="19"/>
  <c r="M623" i="19"/>
  <c r="H222" i="19"/>
  <c r="G276" i="19"/>
  <c r="O977" i="19"/>
  <c r="N66" i="19"/>
  <c r="N34" i="19"/>
  <c r="H78" i="19"/>
  <c r="O113" i="19"/>
  <c r="G794" i="19"/>
  <c r="G625" i="19"/>
  <c r="N190" i="19"/>
  <c r="H171" i="19"/>
  <c r="M92" i="19"/>
  <c r="I925" i="19"/>
  <c r="O820" i="19"/>
  <c r="O444" i="19"/>
  <c r="N174" i="19"/>
  <c r="H875" i="19"/>
  <c r="N731" i="19"/>
  <c r="N23" i="19"/>
  <c r="O39" i="19"/>
  <c r="G280" i="19"/>
  <c r="H1123" i="19"/>
  <c r="O925" i="19"/>
  <c r="G198" i="19"/>
  <c r="I727" i="19"/>
  <c r="G163" i="19"/>
  <c r="H163" i="19"/>
  <c r="G653" i="19"/>
  <c r="H988" i="19"/>
  <c r="G503" i="19"/>
  <c r="G227" i="19"/>
  <c r="I339" i="19"/>
  <c r="O597" i="19"/>
  <c r="O285" i="19"/>
  <c r="H483" i="19"/>
  <c r="H886" i="19"/>
  <c r="G439" i="19"/>
  <c r="M724" i="19"/>
  <c r="M671" i="19"/>
  <c r="N686" i="19"/>
  <c r="G815" i="19"/>
  <c r="G335" i="19"/>
  <c r="I920" i="19"/>
  <c r="M225" i="19"/>
  <c r="M243" i="19"/>
  <c r="O35" i="19"/>
  <c r="I129" i="19"/>
  <c r="G108" i="19"/>
  <c r="I662" i="19"/>
  <c r="O691" i="19"/>
  <c r="H923" i="19"/>
  <c r="I58" i="19"/>
  <c r="H262" i="19"/>
  <c r="N904" i="19"/>
  <c r="M222" i="19"/>
  <c r="O805" i="19"/>
  <c r="I681" i="19"/>
  <c r="G143" i="19"/>
  <c r="N952" i="19"/>
  <c r="I757" i="19"/>
  <c r="I549" i="19"/>
  <c r="O786" i="19"/>
  <c r="M152" i="19"/>
  <c r="G300" i="19"/>
  <c r="M328" i="19"/>
  <c r="N62" i="19"/>
  <c r="N391" i="19"/>
  <c r="H572" i="19"/>
  <c r="O200" i="19"/>
  <c r="M1021" i="19"/>
  <c r="H397" i="19"/>
  <c r="M733" i="19"/>
  <c r="H856" i="19"/>
  <c r="H566" i="19"/>
  <c r="G494" i="19"/>
  <c r="M139" i="19"/>
  <c r="O191" i="19"/>
  <c r="M594" i="19"/>
  <c r="H129" i="19"/>
  <c r="H456" i="19"/>
  <c r="I52" i="19"/>
  <c r="G99" i="19"/>
  <c r="G350" i="19"/>
  <c r="H862" i="19"/>
  <c r="O609" i="19"/>
  <c r="N741" i="19"/>
  <c r="O711" i="19"/>
  <c r="O147" i="19"/>
  <c r="G151" i="19"/>
  <c r="N644" i="19"/>
  <c r="G551" i="19"/>
  <c r="I618" i="19"/>
  <c r="O186" i="19"/>
  <c r="H187" i="19"/>
  <c r="G205" i="19"/>
  <c r="H401" i="19"/>
  <c r="O835" i="19"/>
  <c r="G351" i="19"/>
  <c r="M137" i="19"/>
  <c r="G557" i="19"/>
  <c r="G965" i="19"/>
  <c r="N333" i="19"/>
  <c r="O409" i="19"/>
  <c r="N745" i="19"/>
  <c r="M897" i="19"/>
  <c r="N664" i="19"/>
  <c r="O354" i="19"/>
  <c r="G387" i="19"/>
  <c r="O305" i="19"/>
  <c r="I146" i="19"/>
  <c r="I374" i="19"/>
  <c r="I690" i="19"/>
  <c r="N353" i="19"/>
  <c r="G315" i="19"/>
  <c r="H174" i="19"/>
  <c r="I581" i="19"/>
  <c r="I157" i="19"/>
  <c r="N796" i="19"/>
  <c r="N119" i="19"/>
  <c r="H43" i="19"/>
  <c r="G202" i="19"/>
  <c r="I260" i="19"/>
  <c r="L790" i="19"/>
  <c r="O943" i="19"/>
  <c r="H564" i="19"/>
  <c r="O535" i="19"/>
  <c r="O83" i="19"/>
  <c r="G41" i="19"/>
  <c r="O1130" i="19"/>
  <c r="H238" i="19"/>
  <c r="M756" i="19"/>
  <c r="O71" i="19"/>
  <c r="I268" i="19"/>
  <c r="I675" i="19"/>
  <c r="G845" i="19"/>
  <c r="H764" i="19"/>
  <c r="I857" i="19"/>
  <c r="N359" i="19"/>
  <c r="I522" i="19"/>
  <c r="G674" i="19"/>
  <c r="I552" i="19"/>
  <c r="I551" i="19"/>
  <c r="O561" i="19"/>
  <c r="G725" i="19"/>
  <c r="O435" i="19"/>
  <c r="O402" i="19"/>
  <c r="H18" i="19"/>
  <c r="O357" i="19"/>
  <c r="O501" i="19"/>
  <c r="O1112" i="19"/>
  <c r="M613" i="19"/>
  <c r="O40" i="19"/>
  <c r="N266" i="19"/>
  <c r="G954" i="19"/>
  <c r="M452" i="19"/>
  <c r="O352" i="19"/>
  <c r="N1122" i="19"/>
  <c r="O1033" i="19"/>
  <c r="G720" i="19"/>
  <c r="M551" i="19"/>
  <c r="I104" i="19"/>
  <c r="H478" i="19"/>
  <c r="G186" i="19"/>
  <c r="I198" i="19"/>
  <c r="N675" i="19"/>
  <c r="G40" i="19"/>
  <c r="H463" i="19"/>
  <c r="N156" i="19"/>
  <c r="G320" i="19"/>
  <c r="G134" i="19"/>
  <c r="H350" i="19"/>
  <c r="H160" i="19"/>
  <c r="O761" i="19"/>
  <c r="M1075" i="19"/>
  <c r="H229" i="19"/>
  <c r="H645" i="19"/>
  <c r="O348" i="19"/>
  <c r="O431" i="19"/>
  <c r="N965" i="19"/>
  <c r="I686" i="19"/>
  <c r="G319" i="19"/>
  <c r="G883" i="19"/>
  <c r="O335" i="19"/>
  <c r="G434" i="19"/>
  <c r="H83" i="19"/>
  <c r="B161" i="19"/>
  <c r="G282" i="19"/>
  <c r="O77" i="19"/>
  <c r="H327" i="19"/>
  <c r="H96" i="19"/>
  <c r="O265" i="19"/>
  <c r="M291" i="19"/>
  <c r="I849" i="19"/>
  <c r="H840" i="19"/>
  <c r="I819" i="19"/>
  <c r="N1066" i="19"/>
  <c r="G411" i="19"/>
  <c r="M497" i="19"/>
  <c r="H204" i="19"/>
  <c r="H934" i="19"/>
  <c r="G12" i="19"/>
  <c r="O66" i="19"/>
  <c r="C26" i="19"/>
  <c r="G485" i="19"/>
  <c r="O651" i="19"/>
  <c r="O238" i="19"/>
  <c r="H130" i="19"/>
  <c r="O260" i="19"/>
  <c r="I153" i="19"/>
  <c r="N287" i="19"/>
  <c r="I630" i="19"/>
  <c r="G459" i="19"/>
  <c r="M95" i="19"/>
  <c r="M983" i="19"/>
  <c r="O506" i="19"/>
  <c r="M181" i="19"/>
  <c r="M476" i="19"/>
  <c r="N693" i="19"/>
  <c r="O556" i="19"/>
  <c r="N647" i="19"/>
  <c r="G573" i="19"/>
  <c r="M506" i="19"/>
  <c r="G284" i="19"/>
  <c r="M741" i="19"/>
  <c r="M260" i="19"/>
  <c r="G38" i="19"/>
  <c r="G212" i="19"/>
  <c r="I435" i="19"/>
  <c r="N598" i="19"/>
  <c r="N459" i="19"/>
  <c r="I212" i="19"/>
  <c r="G544" i="19"/>
  <c r="M355" i="19"/>
  <c r="N106" i="19"/>
  <c r="M469" i="19"/>
  <c r="O54" i="19"/>
  <c r="G152" i="19"/>
  <c r="G229" i="19"/>
  <c r="M230" i="19"/>
  <c r="N551" i="19"/>
  <c r="O461" i="19"/>
  <c r="C24" i="19"/>
  <c r="H636" i="19"/>
  <c r="G547" i="19"/>
  <c r="H400" i="19"/>
  <c r="M215" i="19"/>
  <c r="H355" i="19"/>
  <c r="H652" i="19"/>
  <c r="H661" i="19"/>
  <c r="G498" i="19"/>
  <c r="H147" i="19"/>
  <c r="M661" i="19"/>
  <c r="O842" i="19"/>
  <c r="N798" i="19"/>
  <c r="G238" i="19"/>
  <c r="I622" i="19"/>
  <c r="G115" i="19"/>
  <c r="G810" i="19"/>
  <c r="G360" i="19"/>
  <c r="H268" i="19"/>
  <c r="H571" i="19"/>
  <c r="N187" i="19"/>
  <c r="M845" i="19"/>
  <c r="M555" i="19"/>
  <c r="I887" i="19"/>
  <c r="H279" i="19"/>
  <c r="I598" i="19"/>
  <c r="O1005" i="19"/>
  <c r="N794" i="19"/>
  <c r="I1030" i="19"/>
  <c r="G480" i="19"/>
  <c r="G628" i="19"/>
  <c r="M869" i="19"/>
  <c r="I452" i="19"/>
  <c r="H492" i="19"/>
  <c r="I277" i="19"/>
  <c r="M321" i="19"/>
  <c r="M114" i="19"/>
  <c r="H738" i="19"/>
  <c r="I854" i="19"/>
  <c r="M284" i="19"/>
  <c r="O897" i="19"/>
  <c r="H87" i="19"/>
  <c r="G588" i="19"/>
  <c r="O138" i="19"/>
  <c r="I79" i="19"/>
  <c r="H810" i="19"/>
  <c r="O1016" i="19"/>
  <c r="N219" i="19"/>
  <c r="I30" i="19"/>
  <c r="H525" i="19"/>
  <c r="H378" i="19"/>
  <c r="G228" i="19"/>
  <c r="O331" i="19"/>
  <c r="G748" i="19"/>
  <c r="I628" i="19"/>
  <c r="H438" i="19"/>
  <c r="M437" i="19"/>
  <c r="G541" i="19"/>
  <c r="I1101" i="19"/>
  <c r="M56" i="19"/>
  <c r="I998" i="19"/>
  <c r="I665" i="19"/>
  <c r="I345" i="19"/>
  <c r="G670" i="19"/>
  <c r="H75" i="19"/>
  <c r="O630" i="19"/>
  <c r="M252" i="19"/>
  <c r="H175" i="19"/>
  <c r="G372" i="19"/>
  <c r="G245" i="19"/>
  <c r="I521" i="19"/>
  <c r="G522" i="19"/>
  <c r="O733" i="19"/>
  <c r="G211" i="19"/>
  <c r="O511" i="19"/>
  <c r="G1025" i="19"/>
  <c r="N364" i="19"/>
  <c r="H13" i="19"/>
  <c r="H801" i="19"/>
  <c r="G530" i="19"/>
  <c r="H31" i="19"/>
  <c r="H905" i="19"/>
  <c r="I978" i="19"/>
  <c r="M116" i="19"/>
  <c r="O169" i="19"/>
  <c r="N301" i="19"/>
  <c r="N376" i="19"/>
  <c r="N504" i="19"/>
  <c r="H559" i="19"/>
  <c r="G39" i="19"/>
  <c r="M468" i="19"/>
  <c r="M440" i="19"/>
  <c r="O360" i="19"/>
  <c r="I881" i="19"/>
  <c r="N617" i="19"/>
  <c r="G352" i="19"/>
  <c r="O284" i="19"/>
  <c r="G169" i="19"/>
  <c r="I934" i="19"/>
  <c r="N657" i="19"/>
  <c r="M299" i="19"/>
  <c r="H196" i="19"/>
  <c r="M72" i="19"/>
  <c r="H226" i="19"/>
  <c r="M610" i="19"/>
  <c r="O481" i="19"/>
  <c r="M533" i="19"/>
  <c r="O644" i="19"/>
  <c r="M800" i="19"/>
  <c r="G805" i="19"/>
  <c r="O858" i="19"/>
  <c r="A568" i="19"/>
  <c r="G484" i="19"/>
  <c r="H490" i="19"/>
  <c r="N983" i="19"/>
  <c r="I341" i="19"/>
  <c r="H173" i="19"/>
  <c r="G57" i="19"/>
  <c r="G317" i="19"/>
  <c r="H398" i="19"/>
  <c r="N341" i="19"/>
  <c r="G311" i="19"/>
  <c r="G624" i="19"/>
  <c r="I390" i="19"/>
  <c r="G348" i="19"/>
  <c r="L568" i="19"/>
  <c r="H385" i="19"/>
  <c r="M93" i="19"/>
  <c r="C875" i="19"/>
  <c r="K50" i="19"/>
  <c r="H442" i="19"/>
  <c r="N570" i="19"/>
  <c r="H73" i="19"/>
  <c r="O466" i="19"/>
  <c r="G142" i="19"/>
  <c r="N515" i="19"/>
  <c r="C15" i="19"/>
  <c r="H285" i="19"/>
  <c r="O426" i="19"/>
  <c r="G775" i="19"/>
  <c r="G241" i="19"/>
  <c r="O830" i="19"/>
  <c r="M989" i="19"/>
  <c r="H698" i="19"/>
  <c r="G157" i="19"/>
  <c r="I228" i="19"/>
  <c r="I707" i="19"/>
  <c r="O672" i="19"/>
  <c r="I813" i="19"/>
  <c r="M777" i="19"/>
  <c r="I124" i="19"/>
  <c r="I290" i="19"/>
  <c r="N740" i="19"/>
  <c r="G501" i="19"/>
  <c r="N715" i="19"/>
  <c r="G94" i="19"/>
  <c r="I785" i="19"/>
  <c r="G623" i="19"/>
  <c r="N240" i="19"/>
  <c r="I70" i="19"/>
  <c r="H24" i="19"/>
  <c r="I542" i="19"/>
  <c r="G736" i="19"/>
  <c r="M210" i="19"/>
  <c r="H291" i="19"/>
  <c r="I92" i="19"/>
  <c r="H289" i="19"/>
  <c r="O793" i="19"/>
  <c r="G274" i="19"/>
  <c r="G475" i="19"/>
  <c r="G461" i="19"/>
  <c r="N15" i="19"/>
  <c r="H540" i="19"/>
  <c r="O553" i="19"/>
  <c r="G42" i="19"/>
  <c r="N211" i="19"/>
  <c r="O339" i="19"/>
  <c r="B307" i="19"/>
  <c r="G222" i="19"/>
  <c r="H868" i="19"/>
  <c r="N147" i="19"/>
  <c r="I130" i="19"/>
  <c r="G598" i="19"/>
  <c r="O997" i="19"/>
  <c r="M875" i="19"/>
  <c r="G308" i="19"/>
  <c r="O137" i="19"/>
  <c r="I336" i="19"/>
  <c r="G974" i="19"/>
  <c r="G283" i="19"/>
  <c r="H744" i="19"/>
  <c r="H217" i="19"/>
  <c r="H111" i="19"/>
  <c r="G881" i="19"/>
  <c r="O592" i="19"/>
  <c r="G672" i="19"/>
  <c r="O499" i="19"/>
  <c r="H368" i="19"/>
  <c r="O589" i="19"/>
  <c r="N590" i="19"/>
  <c r="O45" i="19"/>
  <c r="I562" i="19"/>
  <c r="F568" i="19"/>
  <c r="G337" i="19"/>
  <c r="O295" i="19"/>
  <c r="G64" i="19"/>
  <c r="I969" i="19"/>
  <c r="N913" i="19"/>
  <c r="M336" i="19"/>
  <c r="N323" i="19"/>
  <c r="O547" i="19"/>
  <c r="I534" i="19"/>
  <c r="G988" i="19"/>
  <c r="O626" i="19"/>
  <c r="I178" i="19"/>
  <c r="O46" i="19"/>
  <c r="N213" i="19"/>
  <c r="G323" i="19"/>
  <c r="N31" i="19"/>
  <c r="N557" i="19"/>
  <c r="G346" i="19"/>
  <c r="H126" i="19"/>
  <c r="N1077" i="19"/>
  <c r="M247" i="19"/>
  <c r="M433" i="19"/>
  <c r="H573" i="19"/>
  <c r="H128" i="19"/>
  <c r="I535" i="19"/>
  <c r="H465" i="19"/>
  <c r="O174" i="19"/>
  <c r="M501" i="19"/>
  <c r="G126" i="19"/>
  <c r="N701" i="19"/>
  <c r="N203" i="19"/>
  <c r="H513" i="19"/>
  <c r="I425" i="19"/>
  <c r="H500" i="19"/>
  <c r="M849" i="19"/>
  <c r="O94" i="19"/>
  <c r="N39" i="19"/>
  <c r="H570" i="19"/>
  <c r="H103" i="19"/>
  <c r="O79" i="19"/>
  <c r="I975" i="19"/>
  <c r="G537" i="19"/>
  <c r="N167" i="19"/>
  <c r="O1014" i="19"/>
  <c r="M515" i="19"/>
  <c r="N622" i="19"/>
  <c r="G16" i="19"/>
  <c r="H323" i="19"/>
  <c r="N286" i="19"/>
  <c r="H100" i="19"/>
  <c r="N73" i="19"/>
  <c r="M837" i="19"/>
  <c r="M662" i="19"/>
  <c r="O477" i="19"/>
  <c r="M723" i="19"/>
  <c r="M254" i="19"/>
  <c r="H213" i="19"/>
  <c r="N596" i="19"/>
  <c r="O224" i="19"/>
  <c r="G591" i="19"/>
  <c r="O764" i="19"/>
  <c r="H586" i="19"/>
  <c r="H1026" i="19"/>
  <c r="F309" i="19"/>
  <c r="O497" i="19"/>
  <c r="H336" i="19"/>
  <c r="G412" i="19"/>
  <c r="H325" i="19"/>
  <c r="H48" i="19"/>
  <c r="N486" i="19"/>
  <c r="G71" i="19"/>
  <c r="I645" i="19"/>
  <c r="N439" i="19"/>
  <c r="M923" i="19"/>
  <c r="N1025" i="19"/>
  <c r="N478" i="19"/>
  <c r="O205" i="19"/>
  <c r="O33" i="19"/>
  <c r="O588" i="19"/>
  <c r="G822" i="19"/>
  <c r="M361" i="19"/>
  <c r="M29" i="19"/>
  <c r="N378" i="19"/>
  <c r="H597" i="19"/>
  <c r="O600" i="19"/>
  <c r="A935" i="19"/>
  <c r="O316" i="19"/>
  <c r="H348" i="19"/>
  <c r="G334" i="19"/>
  <c r="F161" i="19"/>
  <c r="A272" i="19"/>
  <c r="I292" i="19"/>
  <c r="O408" i="19"/>
  <c r="M106" i="19"/>
  <c r="N130" i="19"/>
  <c r="H504" i="19"/>
  <c r="G572" i="19"/>
  <c r="I106" i="19"/>
  <c r="G540" i="19"/>
  <c r="G240" i="19"/>
  <c r="H139" i="19"/>
  <c r="N206" i="19"/>
  <c r="O292" i="19"/>
  <c r="O729" i="19"/>
  <c r="O1089" i="19"/>
  <c r="I580" i="19"/>
  <c r="I171" i="19"/>
  <c r="H76" i="19"/>
  <c r="M94" i="19"/>
  <c r="H344" i="19"/>
  <c r="G218" i="19"/>
  <c r="I161" i="19"/>
  <c r="O400" i="19"/>
  <c r="M136" i="19"/>
  <c r="N352" i="19"/>
  <c r="G292" i="19"/>
  <c r="M483" i="19"/>
  <c r="I737" i="19"/>
  <c r="O1029" i="19"/>
  <c r="H396" i="19"/>
  <c r="H806" i="19"/>
  <c r="L13" i="19"/>
  <c r="I359" i="19"/>
  <c r="N135" i="19"/>
  <c r="N765" i="19"/>
  <c r="M120" i="19"/>
  <c r="O536" i="19"/>
  <c r="H142" i="19"/>
  <c r="H730" i="19"/>
  <c r="G669" i="19"/>
  <c r="G290" i="19"/>
  <c r="O188" i="19"/>
  <c r="I303" i="19"/>
  <c r="H37" i="19"/>
  <c r="N94" i="19"/>
  <c r="G278" i="19"/>
  <c r="G620" i="19"/>
  <c r="O379" i="19"/>
  <c r="I385" i="19"/>
  <c r="I177" i="19"/>
  <c r="I276" i="19"/>
  <c r="I852" i="19"/>
  <c r="H802" i="19"/>
  <c r="O264" i="19"/>
  <c r="I777" i="19"/>
  <c r="M386" i="19"/>
  <c r="G316" i="19"/>
  <c r="I477" i="19"/>
  <c r="M932" i="19"/>
  <c r="G637" i="19"/>
  <c r="I246" i="19"/>
  <c r="O282" i="19"/>
  <c r="M700" i="19"/>
  <c r="M735" i="19"/>
  <c r="G659" i="19"/>
  <c r="M35" i="19"/>
  <c r="H284" i="19"/>
  <c r="A827" i="19"/>
  <c r="G263" i="19"/>
  <c r="N1014" i="19"/>
  <c r="H320" i="19"/>
  <c r="G428" i="19"/>
  <c r="O220" i="19"/>
  <c r="I12" i="19"/>
  <c r="M505" i="19"/>
  <c r="I251" i="19"/>
  <c r="M244" i="19"/>
  <c r="G616" i="19"/>
  <c r="N93" i="19"/>
  <c r="H511" i="19"/>
  <c r="H386" i="19"/>
  <c r="B936" i="19"/>
  <c r="G21" i="19"/>
  <c r="I540" i="19"/>
  <c r="I699" i="19"/>
  <c r="G376" i="19"/>
  <c r="H1007" i="19"/>
  <c r="N444" i="19"/>
  <c r="G80" i="19"/>
  <c r="I475" i="19"/>
  <c r="H198" i="19"/>
  <c r="G184" i="19"/>
  <c r="O171" i="19"/>
  <c r="O586" i="19"/>
  <c r="I280" i="19"/>
  <c r="M690" i="19"/>
  <c r="I134" i="19"/>
  <c r="G239" i="19"/>
  <c r="M517" i="19"/>
  <c r="N33" i="19"/>
  <c r="H425" i="19"/>
  <c r="H265" i="19"/>
  <c r="G361" i="19"/>
  <c r="O74" i="19"/>
  <c r="N517" i="19"/>
  <c r="O887" i="19"/>
  <c r="H520" i="19"/>
  <c r="N804" i="19"/>
  <c r="N308" i="19"/>
  <c r="H423" i="19"/>
  <c r="O95" i="19"/>
  <c r="N113" i="19"/>
  <c r="I957" i="19"/>
  <c r="G790" i="19"/>
  <c r="I314" i="19"/>
  <c r="M556" i="19"/>
  <c r="B752" i="19"/>
  <c r="H120" i="19"/>
  <c r="G910" i="19"/>
  <c r="M570" i="19"/>
  <c r="O802" i="19"/>
  <c r="M96" i="19"/>
  <c r="M749" i="19"/>
  <c r="O799" i="19"/>
  <c r="H242" i="19"/>
  <c r="H792" i="19"/>
  <c r="I326" i="19"/>
  <c r="N332" i="19"/>
  <c r="O869" i="19"/>
  <c r="M371" i="19"/>
  <c r="H763" i="19"/>
  <c r="G1008" i="19"/>
  <c r="G244" i="19"/>
  <c r="O304" i="19"/>
  <c r="G97" i="19"/>
  <c r="O904" i="19"/>
  <c r="I257" i="19"/>
  <c r="I20" i="19"/>
  <c r="H1101" i="19"/>
  <c r="H619" i="19"/>
  <c r="G667" i="19"/>
  <c r="M591" i="19"/>
  <c r="O337" i="19"/>
  <c r="M390" i="19"/>
  <c r="I256" i="19"/>
  <c r="G562" i="19"/>
  <c r="M362" i="19"/>
  <c r="H124" i="19"/>
  <c r="H149" i="19"/>
  <c r="N57" i="19"/>
  <c r="O326" i="19"/>
  <c r="O546" i="19"/>
  <c r="O406" i="19"/>
  <c r="M348" i="19"/>
  <c r="H300" i="19"/>
  <c r="M1045" i="19"/>
  <c r="H620" i="19"/>
  <c r="G608" i="19"/>
  <c r="M792" i="19"/>
  <c r="O319" i="19"/>
  <c r="N466" i="19"/>
  <c r="H113" i="19"/>
  <c r="M416" i="19"/>
  <c r="O665" i="19"/>
  <c r="N845" i="19"/>
  <c r="B308" i="19"/>
  <c r="G990" i="19"/>
  <c r="O978" i="19"/>
  <c r="H69" i="19"/>
  <c r="H81" i="19"/>
  <c r="M357" i="19"/>
  <c r="O23" i="19"/>
  <c r="M66" i="19"/>
  <c r="G66" i="19"/>
  <c r="N469" i="19"/>
  <c r="N86" i="19"/>
  <c r="M554" i="19"/>
  <c r="I719" i="19"/>
  <c r="H741" i="19"/>
  <c r="G638" i="19"/>
  <c r="M295" i="19"/>
  <c r="N927" i="19"/>
  <c r="M105" i="19"/>
  <c r="M833" i="19"/>
  <c r="O385" i="19"/>
  <c r="N769" i="19"/>
  <c r="G534" i="19"/>
  <c r="G923" i="19"/>
  <c r="I576" i="19"/>
  <c r="N114" i="19"/>
  <c r="H1115" i="19"/>
  <c r="M297" i="19"/>
  <c r="N452" i="19"/>
  <c r="N394" i="19"/>
  <c r="A679" i="19"/>
  <c r="O681" i="19"/>
  <c r="H259" i="19"/>
  <c r="O580" i="19"/>
  <c r="K531" i="19"/>
  <c r="O784" i="19"/>
  <c r="I488" i="19"/>
  <c r="I463" i="19"/>
  <c r="G260" i="19"/>
  <c r="I66" i="19"/>
  <c r="G843" i="19"/>
  <c r="H579" i="19"/>
  <c r="M797" i="19"/>
  <c r="I376" i="19"/>
  <c r="M28" i="19"/>
  <c r="O832" i="19"/>
  <c r="M707" i="19"/>
  <c r="I109" i="19"/>
  <c r="G83" i="19"/>
  <c r="M46" i="19"/>
  <c r="N387" i="19"/>
  <c r="M358" i="19"/>
  <c r="M629" i="19"/>
  <c r="O163" i="19"/>
  <c r="H338" i="19"/>
  <c r="N296" i="19"/>
  <c r="G1130" i="19"/>
  <c r="O741" i="19"/>
  <c r="I683" i="19"/>
  <c r="I247" i="19"/>
  <c r="M20" i="19"/>
  <c r="H638" i="19"/>
  <c r="O533" i="19"/>
  <c r="I19" i="19"/>
  <c r="O375" i="19"/>
  <c r="B49" i="19"/>
  <c r="G663" i="19"/>
  <c r="I486" i="19"/>
  <c r="I472" i="19"/>
  <c r="G13" i="19"/>
  <c r="H241" i="19"/>
  <c r="I387" i="19"/>
  <c r="O504" i="19"/>
  <c r="M486" i="19"/>
  <c r="H23" i="19"/>
  <c r="O452" i="19"/>
  <c r="G984" i="19"/>
  <c r="H248" i="19"/>
  <c r="H884" i="19"/>
  <c r="I227" i="19"/>
  <c r="H473" i="19"/>
  <c r="N876" i="19"/>
  <c r="N649" i="19"/>
  <c r="N773" i="19"/>
  <c r="O395" i="19"/>
  <c r="M450" i="19"/>
  <c r="N132" i="19"/>
  <c r="H205" i="19"/>
  <c r="N356" i="19"/>
  <c r="O266" i="19"/>
  <c r="M140" i="19"/>
  <c r="O371" i="19"/>
  <c r="N947" i="19"/>
  <c r="B1048" i="19"/>
  <c r="O549" i="19"/>
  <c r="M846" i="19"/>
  <c r="M562" i="19"/>
  <c r="G138" i="19"/>
  <c r="H469" i="19"/>
  <c r="G266" i="19"/>
  <c r="H1106" i="19"/>
  <c r="O933" i="19"/>
  <c r="H312" i="19"/>
  <c r="N146" i="19"/>
  <c r="O467" i="19"/>
  <c r="G225" i="19"/>
  <c r="H307" i="19"/>
  <c r="I710" i="19"/>
  <c r="N463" i="19"/>
  <c r="N561" i="19"/>
  <c r="M318" i="19"/>
  <c r="I586" i="19"/>
  <c r="O359" i="19"/>
  <c r="I94" i="19"/>
  <c r="H608" i="19"/>
  <c r="I168" i="19"/>
  <c r="G176" i="19"/>
  <c r="M462" i="19"/>
  <c r="O585" i="19"/>
  <c r="I221" i="19"/>
  <c r="O1001" i="19"/>
  <c r="H477" i="19"/>
  <c r="A87" i="19"/>
  <c r="G324" i="19"/>
  <c r="N401" i="19"/>
  <c r="O436" i="19"/>
  <c r="O465" i="19"/>
  <c r="N221" i="19"/>
  <c r="H732" i="19"/>
  <c r="G50" i="19"/>
  <c r="G619" i="19"/>
  <c r="O833" i="19"/>
  <c r="G130" i="19"/>
  <c r="N389" i="19"/>
  <c r="I432" i="19"/>
  <c r="M518" i="19"/>
  <c r="N882" i="19"/>
  <c r="N858" i="19"/>
  <c r="G429" i="19"/>
  <c r="O216" i="19"/>
  <c r="O143" i="19"/>
  <c r="G190" i="19"/>
  <c r="O453" i="19"/>
  <c r="M413" i="19"/>
  <c r="M311" i="19"/>
  <c r="O119" i="19"/>
  <c r="M850" i="19"/>
  <c r="H319" i="19"/>
  <c r="M630" i="19"/>
  <c r="M911" i="19"/>
  <c r="G975" i="19"/>
  <c r="M762" i="19"/>
  <c r="M915" i="19"/>
  <c r="M577" i="19"/>
  <c r="M190" i="19"/>
  <c r="H1008" i="19"/>
  <c r="M256" i="19"/>
  <c r="N453" i="19"/>
  <c r="M624" i="19"/>
  <c r="L901" i="19"/>
  <c r="N400" i="19"/>
  <c r="M38" i="19"/>
  <c r="N489" i="19"/>
  <c r="H337" i="19"/>
  <c r="M611" i="19"/>
  <c r="I140" i="19"/>
  <c r="H256" i="19"/>
  <c r="O619" i="19"/>
  <c r="G98" i="19"/>
  <c r="O571" i="19"/>
  <c r="O201" i="19"/>
  <c r="O557" i="19"/>
  <c r="M164" i="19"/>
  <c r="M202" i="19"/>
  <c r="I103" i="19"/>
  <c r="N385" i="19"/>
  <c r="H297" i="19"/>
  <c r="M430" i="19"/>
  <c r="G523" i="19"/>
  <c r="H526" i="19"/>
  <c r="H666" i="19"/>
  <c r="M144" i="19"/>
  <c r="N142" i="19"/>
  <c r="I601" i="19"/>
  <c r="G989" i="19"/>
  <c r="G545" i="19"/>
  <c r="G661" i="19"/>
  <c r="G234" i="19"/>
  <c r="I547" i="19"/>
  <c r="G879" i="19"/>
  <c r="K235" i="19"/>
  <c r="G145" i="19"/>
  <c r="I389" i="19"/>
  <c r="H258" i="19"/>
  <c r="M258" i="19"/>
  <c r="O102" i="19"/>
  <c r="H54" i="19"/>
  <c r="O986" i="19"/>
  <c r="M149" i="19"/>
  <c r="N107" i="19"/>
  <c r="M298" i="19"/>
  <c r="M67" i="19"/>
  <c r="O403" i="19"/>
  <c r="I883" i="19"/>
  <c r="O248" i="19"/>
  <c r="O816" i="19"/>
  <c r="M520" i="19"/>
  <c r="H112" i="19"/>
  <c r="O259" i="19"/>
  <c r="G404" i="19"/>
  <c r="M111" i="19"/>
  <c r="G249" i="19"/>
  <c r="I1028" i="19"/>
  <c r="N108" i="19"/>
  <c r="G414" i="19"/>
  <c r="N1101" i="19"/>
  <c r="N291" i="19"/>
  <c r="H44" i="19"/>
  <c r="I597" i="19"/>
  <c r="O139" i="19"/>
  <c r="G576" i="19"/>
  <c r="N739" i="19"/>
  <c r="M339" i="19"/>
  <c r="M100" i="19"/>
  <c r="G104" i="19"/>
  <c r="O393" i="19"/>
  <c r="I81" i="19"/>
  <c r="N127" i="19"/>
  <c r="I759" i="19"/>
  <c r="H49" i="19"/>
  <c r="N805" i="19"/>
  <c r="H1068" i="19"/>
  <c r="M956" i="19"/>
  <c r="H203" i="19"/>
  <c r="G444" i="19"/>
  <c r="M26" i="19"/>
  <c r="G696" i="19"/>
  <c r="M219" i="19"/>
  <c r="N228" i="19"/>
  <c r="I415" i="19"/>
  <c r="C643" i="19"/>
  <c r="O117" i="19"/>
  <c r="I499" i="19"/>
  <c r="G210" i="19"/>
  <c r="H1151" i="19"/>
  <c r="M374" i="19"/>
  <c r="O724" i="19"/>
  <c r="H761" i="19"/>
  <c r="H50" i="19"/>
  <c r="M201" i="19"/>
  <c r="G453" i="19"/>
  <c r="N426" i="19"/>
  <c r="H413" i="19"/>
  <c r="G622" i="19"/>
  <c r="G567" i="19"/>
  <c r="I366" i="19"/>
  <c r="M251" i="19"/>
  <c r="G468" i="19"/>
  <c r="H798" i="19"/>
  <c r="N367" i="19"/>
  <c r="O656" i="19"/>
  <c r="M1055" i="19"/>
  <c r="M803" i="19"/>
  <c r="O520" i="19"/>
  <c r="G268" i="19"/>
  <c r="B50" i="19"/>
  <c r="N516" i="19"/>
  <c r="G536" i="19"/>
  <c r="H1004" i="19"/>
  <c r="G60" i="19"/>
  <c r="H449" i="19"/>
  <c r="N42" i="19"/>
  <c r="G272" i="19"/>
  <c r="G420" i="19"/>
  <c r="I29" i="19"/>
  <c r="H609" i="19"/>
  <c r="I1036" i="19"/>
  <c r="I114" i="19"/>
  <c r="H430" i="19"/>
  <c r="G54" i="19"/>
  <c r="N958" i="19"/>
  <c r="O572" i="19"/>
  <c r="O1092" i="19"/>
  <c r="M439" i="19"/>
  <c r="I985" i="19"/>
  <c r="O267" i="19"/>
  <c r="N54" i="19"/>
  <c r="B270" i="19"/>
  <c r="M332" i="19"/>
  <c r="I254" i="19"/>
  <c r="G660" i="19"/>
  <c r="M542" i="19"/>
  <c r="G67" i="19"/>
  <c r="H34" i="19"/>
  <c r="G208" i="19"/>
  <c r="O612" i="19"/>
  <c r="H1104" i="19"/>
  <c r="L346" i="19"/>
  <c r="H138" i="19"/>
  <c r="G400" i="19"/>
  <c r="H583" i="19"/>
  <c r="I596" i="19"/>
  <c r="N250" i="19"/>
  <c r="O838" i="19"/>
  <c r="G502" i="19"/>
  <c r="N507" i="19"/>
  <c r="N288" i="19"/>
  <c r="H653" i="19"/>
  <c r="G757" i="19"/>
  <c r="I262" i="19"/>
  <c r="M1094" i="19"/>
  <c r="M675" i="19"/>
  <c r="M434" i="19"/>
  <c r="O215" i="19"/>
  <c r="H1092" i="19"/>
  <c r="H56" i="19"/>
  <c r="N654" i="19"/>
  <c r="G1012" i="19"/>
  <c r="M176" i="19"/>
  <c r="O296" i="19"/>
  <c r="H82" i="19"/>
  <c r="H508" i="19"/>
  <c r="I799" i="19"/>
  <c r="I790" i="19"/>
  <c r="G286" i="19"/>
  <c r="G931" i="19"/>
  <c r="H66" i="19"/>
  <c r="I127" i="19"/>
  <c r="I214" i="19"/>
  <c r="I397" i="19"/>
  <c r="N599" i="19"/>
  <c r="I728" i="19"/>
  <c r="I846" i="19"/>
  <c r="I970" i="19"/>
  <c r="O114" i="19"/>
  <c r="G607" i="19"/>
  <c r="H593" i="19"/>
  <c r="M866" i="19"/>
  <c r="G486" i="19"/>
  <c r="H324" i="19"/>
  <c r="N863" i="19"/>
  <c r="H140" i="19"/>
  <c r="N354" i="19"/>
  <c r="G764" i="19"/>
  <c r="N726" i="19"/>
  <c r="I480" i="19"/>
  <c r="I59" i="19"/>
  <c r="H696" i="19"/>
  <c r="O657" i="19"/>
  <c r="G183" i="19"/>
  <c r="A50" i="19"/>
  <c r="M205" i="19"/>
  <c r="G117" i="19"/>
  <c r="G763" i="19"/>
  <c r="M429" i="19"/>
  <c r="N854" i="19"/>
  <c r="H567" i="19"/>
  <c r="A124" i="19"/>
  <c r="O286" i="19"/>
  <c r="N234" i="19"/>
  <c r="M19" i="19"/>
  <c r="G433" i="19"/>
  <c r="H36" i="19"/>
  <c r="H825" i="19"/>
  <c r="M580" i="19"/>
  <c r="M335" i="19"/>
  <c r="H201" i="19"/>
  <c r="I83" i="19"/>
  <c r="H990" i="19"/>
  <c r="O525" i="19"/>
  <c r="G780" i="19"/>
  <c r="G309" i="19"/>
  <c r="O624" i="19"/>
  <c r="H488" i="19"/>
  <c r="N477" i="19"/>
  <c r="G514" i="19"/>
  <c r="I324" i="19"/>
  <c r="C22" i="19"/>
  <c r="H610" i="19"/>
  <c r="N140" i="19"/>
  <c r="H629" i="19"/>
  <c r="I281" i="19"/>
  <c r="O298" i="19"/>
  <c r="H420" i="19"/>
  <c r="I170" i="19"/>
  <c r="G694" i="19"/>
  <c r="M805" i="19"/>
  <c r="M395" i="19"/>
  <c r="H277" i="19"/>
  <c r="H150" i="19"/>
  <c r="I225" i="19"/>
  <c r="G463" i="19"/>
  <c r="B419" i="19"/>
  <c r="G769" i="19"/>
  <c r="N473" i="19"/>
  <c r="G927" i="19"/>
  <c r="H550" i="19"/>
  <c r="O496" i="19"/>
  <c r="O992" i="19"/>
  <c r="G634" i="19"/>
  <c r="I959" i="19"/>
  <c r="H556" i="19"/>
  <c r="I991" i="19"/>
  <c r="N216" i="19"/>
  <c r="M485" i="19"/>
  <c r="N1063" i="19"/>
  <c r="O812" i="19"/>
  <c r="N53" i="19"/>
  <c r="M359" i="19"/>
  <c r="O134" i="19"/>
  <c r="H912" i="19"/>
  <c r="O803" i="19"/>
  <c r="G648" i="19"/>
  <c r="H239" i="19"/>
  <c r="N134" i="19"/>
  <c r="M375" i="19"/>
  <c r="N63" i="19"/>
  <c r="H156" i="19"/>
  <c r="G739" i="19"/>
  <c r="H659" i="19"/>
  <c r="O451" i="19"/>
  <c r="H39" i="19"/>
  <c r="M654" i="19"/>
  <c r="H131" i="19"/>
  <c r="I946" i="19"/>
  <c r="I333" i="19"/>
  <c r="N262" i="19"/>
  <c r="M1110" i="19"/>
  <c r="O1021" i="19"/>
  <c r="I38" i="19"/>
  <c r="G647" i="19"/>
  <c r="O214" i="19"/>
  <c r="N70" i="19"/>
  <c r="N373" i="19"/>
  <c r="G226" i="19"/>
  <c r="G961" i="19"/>
  <c r="H471" i="19"/>
  <c r="H136" i="19"/>
  <c r="I509" i="19"/>
  <c r="N163" i="19"/>
  <c r="I253" i="19"/>
  <c r="H952" i="19"/>
  <c r="M609" i="19"/>
  <c r="N670" i="19"/>
  <c r="A642" i="19"/>
  <c r="O369" i="19"/>
  <c r="N168" i="19"/>
  <c r="I520" i="19"/>
  <c r="O551" i="19"/>
  <c r="M608" i="19"/>
  <c r="N536" i="19"/>
  <c r="I578" i="19"/>
  <c r="H369" i="19"/>
  <c r="N239" i="19"/>
  <c r="N613" i="19"/>
  <c r="O1077" i="19"/>
  <c r="A938" i="19"/>
  <c r="M466" i="19"/>
  <c r="N610" i="19"/>
  <c r="I72" i="19"/>
  <c r="G425" i="19"/>
  <c r="G471" i="19"/>
  <c r="G950" i="19"/>
  <c r="H805" i="19"/>
  <c r="G500" i="19"/>
  <c r="I248" i="19"/>
  <c r="O25" i="19"/>
  <c r="N1001" i="19"/>
  <c r="N109" i="19"/>
  <c r="I760" i="19"/>
  <c r="O632" i="19"/>
  <c r="G644" i="19"/>
  <c r="I466" i="19"/>
  <c r="M994" i="19"/>
  <c r="N407" i="19"/>
  <c r="I117" i="19"/>
  <c r="I410" i="19"/>
  <c r="O324" i="19"/>
  <c r="H584" i="19"/>
  <c r="H288" i="19"/>
  <c r="G219" i="19"/>
  <c r="N205" i="19"/>
  <c r="N181" i="19"/>
  <c r="O353" i="19"/>
  <c r="H617" i="19"/>
  <c r="O109" i="19"/>
  <c r="H290" i="19"/>
  <c r="N620" i="19"/>
  <c r="O893" i="19"/>
  <c r="G102" i="19"/>
  <c r="N821" i="19"/>
  <c r="I169" i="19"/>
  <c r="G82" i="19"/>
  <c r="H996" i="19"/>
  <c r="H484" i="19"/>
  <c r="H22" i="19"/>
  <c r="G325" i="19"/>
  <c r="I413" i="19"/>
  <c r="G340" i="19"/>
  <c r="A457" i="19"/>
  <c r="H141" i="19"/>
  <c r="O300" i="19"/>
  <c r="G96" i="19"/>
  <c r="N911" i="19"/>
  <c r="N172" i="19"/>
  <c r="O65" i="19"/>
  <c r="H892" i="19"/>
  <c r="G795" i="19"/>
  <c r="O251" i="19"/>
  <c r="N416" i="19"/>
  <c r="A713" i="19"/>
  <c r="G863" i="19"/>
  <c r="N58" i="19"/>
  <c r="I546" i="19"/>
  <c r="K309" i="19"/>
  <c r="M627" i="19"/>
  <c r="I95" i="19"/>
  <c r="H97" i="19"/>
  <c r="O26" i="19"/>
  <c r="H20" i="19"/>
  <c r="I135" i="19"/>
  <c r="I16" i="19"/>
  <c r="H220" i="19"/>
  <c r="O425" i="19"/>
  <c r="G61" i="19"/>
  <c r="H349" i="19"/>
  <c r="H102" i="19"/>
  <c r="I940" i="19"/>
  <c r="M170" i="19"/>
  <c r="N126" i="19"/>
  <c r="I909" i="19"/>
  <c r="I71" i="19"/>
  <c r="M228" i="19"/>
  <c r="B605" i="19"/>
  <c r="O732" i="19"/>
  <c r="G371" i="19"/>
  <c r="H134" i="19"/>
  <c r="O484" i="19"/>
  <c r="M465" i="19"/>
  <c r="G472" i="19"/>
  <c r="H105" i="19"/>
  <c r="N197" i="19"/>
  <c r="H186" i="19"/>
  <c r="H457" i="19"/>
  <c r="M277" i="19"/>
  <c r="G773" i="19"/>
  <c r="L642" i="19"/>
  <c r="I634" i="19"/>
  <c r="G651" i="19"/>
  <c r="H776" i="19"/>
  <c r="M704" i="19"/>
  <c r="H427" i="19"/>
  <c r="I505" i="19"/>
  <c r="N447" i="19"/>
  <c r="O396" i="19"/>
  <c r="M622" i="19"/>
  <c r="O483" i="19"/>
  <c r="N238" i="19"/>
  <c r="I559" i="19"/>
  <c r="B13" i="19"/>
  <c r="I184" i="19"/>
  <c r="N502" i="19"/>
  <c r="I392" i="19"/>
  <c r="B197" i="19"/>
  <c r="G252" i="19"/>
  <c r="F531" i="19"/>
  <c r="O334" i="19"/>
  <c r="N321" i="19"/>
  <c r="M621" i="19"/>
  <c r="O776" i="19"/>
  <c r="H683" i="19"/>
  <c r="O93" i="19"/>
  <c r="I446" i="19"/>
  <c r="O440" i="19"/>
  <c r="G894" i="19"/>
  <c r="N41" i="19"/>
  <c r="N136" i="19"/>
  <c r="O31" i="19"/>
  <c r="G321" i="19"/>
  <c r="G75" i="19"/>
  <c r="I116" i="19"/>
  <c r="I657" i="19"/>
  <c r="G139" i="19"/>
  <c r="H295" i="19"/>
  <c r="G1150" i="19"/>
  <c r="H107" i="19"/>
  <c r="G129" i="19"/>
  <c r="I765" i="19"/>
  <c r="M128" i="19"/>
  <c r="H304" i="19"/>
  <c r="N589" i="19"/>
  <c r="M263" i="19"/>
  <c r="M388" i="19"/>
  <c r="M303" i="19"/>
  <c r="N375" i="19"/>
  <c r="O63" i="19"/>
  <c r="H772" i="19"/>
  <c r="H143" i="19"/>
  <c r="I64" i="19"/>
  <c r="A602" i="19"/>
  <c r="F50" i="19"/>
  <c r="H632" i="19"/>
  <c r="G521" i="19"/>
  <c r="I34" i="19"/>
  <c r="N123" i="19"/>
  <c r="M839" i="19"/>
  <c r="G600" i="19"/>
  <c r="M217" i="19"/>
  <c r="H415" i="19"/>
  <c r="I118" i="19"/>
  <c r="I33" i="19"/>
  <c r="H316" i="19"/>
  <c r="N614" i="19"/>
  <c r="N627" i="19"/>
  <c r="I481" i="19"/>
  <c r="M628" i="19"/>
  <c r="H237" i="19"/>
  <c r="N846" i="19"/>
  <c r="O185" i="19"/>
  <c r="N801" i="19"/>
  <c r="M177" i="19"/>
  <c r="H410" i="19"/>
  <c r="O432" i="19"/>
  <c r="N841" i="19"/>
  <c r="O180" i="19"/>
  <c r="B494" i="19"/>
  <c r="N793" i="19"/>
  <c r="M726" i="19"/>
  <c r="O509" i="19"/>
  <c r="B123" i="19"/>
  <c r="O488" i="19"/>
  <c r="O91" i="19"/>
  <c r="H152" i="19"/>
  <c r="O671" i="19"/>
  <c r="H206" i="19"/>
  <c r="N1053" i="19"/>
  <c r="M910" i="19"/>
  <c r="B160" i="19"/>
  <c r="H408" i="19"/>
  <c r="O414" i="19"/>
  <c r="M99" i="19"/>
  <c r="H596" i="19"/>
  <c r="G341" i="19"/>
  <c r="N82" i="19"/>
  <c r="H364" i="19"/>
  <c r="N313" i="19"/>
  <c r="G354" i="19"/>
  <c r="N992" i="19"/>
  <c r="G460" i="19"/>
  <c r="A232" i="19"/>
  <c r="N534" i="19"/>
  <c r="I511" i="19"/>
  <c r="G671" i="19"/>
  <c r="M401" i="19"/>
  <c r="M585" i="19"/>
  <c r="H670" i="19"/>
  <c r="I1134" i="19"/>
  <c r="O150" i="19"/>
  <c r="B198" i="19"/>
  <c r="H888" i="19"/>
  <c r="N877" i="19"/>
  <c r="M586" i="19"/>
  <c r="M203" i="19"/>
  <c r="M279" i="19"/>
  <c r="I945" i="19"/>
  <c r="M438" i="19"/>
  <c r="A198" i="19"/>
  <c r="O1150" i="19"/>
  <c r="N875" i="19"/>
  <c r="G1016" i="19"/>
  <c r="I877" i="19"/>
  <c r="H1012" i="19"/>
  <c r="N226" i="19"/>
  <c r="I156" i="19"/>
  <c r="O209" i="19"/>
  <c r="G1082" i="19"/>
  <c r="I313" i="19"/>
  <c r="N527" i="19"/>
  <c r="G409" i="19"/>
  <c r="G31" i="19"/>
  <c r="O1026" i="19"/>
  <c r="G111" i="19"/>
  <c r="I329" i="19"/>
  <c r="G105" i="19"/>
  <c r="I439" i="19"/>
  <c r="I224" i="19"/>
  <c r="H479" i="19"/>
  <c r="M326" i="19"/>
  <c r="G170" i="19"/>
  <c r="M467" i="19"/>
  <c r="N1096" i="19"/>
  <c r="O1111" i="19"/>
  <c r="I531" i="19"/>
  <c r="I202" i="19"/>
  <c r="H848" i="19"/>
  <c r="O64" i="19"/>
  <c r="N189" i="19"/>
  <c r="I412" i="19"/>
  <c r="H266" i="19"/>
  <c r="M572" i="19"/>
  <c r="G477" i="19"/>
  <c r="O686" i="19"/>
  <c r="M511" i="19"/>
  <c r="G192" i="19"/>
  <c r="I315" i="19"/>
  <c r="H700" i="19"/>
  <c r="I82" i="19"/>
  <c r="H235" i="19"/>
  <c r="O562" i="19"/>
  <c r="O44" i="19"/>
  <c r="O165" i="19"/>
  <c r="G312" i="19"/>
  <c r="C606" i="19"/>
  <c r="O607" i="19"/>
  <c r="H234" i="19"/>
  <c r="N207" i="19"/>
  <c r="N468" i="19"/>
  <c r="M182" i="19"/>
  <c r="N1051" i="19"/>
  <c r="H52" i="19"/>
  <c r="H309" i="19"/>
  <c r="O327" i="19"/>
  <c r="N261" i="19"/>
  <c r="G552" i="19"/>
  <c r="O446" i="19"/>
  <c r="I73" i="19"/>
  <c r="N188" i="19"/>
  <c r="C569" i="19"/>
  <c r="M127" i="19"/>
  <c r="N761" i="19"/>
  <c r="M32" i="19"/>
  <c r="O364" i="19"/>
  <c r="M207" i="19"/>
  <c r="I408" i="19"/>
  <c r="K457" i="19"/>
  <c r="O661" i="19"/>
  <c r="M650" i="19"/>
  <c r="O758" i="19"/>
  <c r="I99" i="19"/>
  <c r="H927" i="19"/>
  <c r="G983" i="19"/>
  <c r="N786" i="19"/>
  <c r="M288" i="19"/>
  <c r="O517" i="19"/>
  <c r="O167" i="19"/>
  <c r="I414" i="19"/>
  <c r="M145" i="19"/>
  <c r="H179" i="19"/>
  <c r="N329" i="19"/>
  <c r="H271" i="19"/>
  <c r="M881" i="19"/>
  <c r="N340" i="19"/>
  <c r="I105" i="19"/>
  <c r="G43" i="19"/>
  <c r="O192" i="19"/>
  <c r="H115" i="19"/>
  <c r="G305" i="19"/>
  <c r="M259" i="19"/>
  <c r="N650" i="19"/>
  <c r="G734" i="19"/>
  <c r="K494" i="19"/>
  <c r="I353" i="19"/>
  <c r="O374" i="19"/>
  <c r="M387" i="19"/>
  <c r="G179" i="19"/>
  <c r="I658" i="19"/>
  <c r="N685" i="19"/>
  <c r="H448" i="19"/>
  <c r="O962" i="19"/>
  <c r="M626" i="19"/>
  <c r="G375" i="19"/>
  <c r="H29" i="19"/>
  <c r="N280" i="19"/>
  <c r="I235" i="19"/>
  <c r="M882" i="19"/>
  <c r="H783" i="19"/>
  <c r="O411" i="19"/>
  <c r="M1069" i="19"/>
  <c r="I50" i="19"/>
  <c r="N45" i="19"/>
  <c r="O430" i="19"/>
  <c r="H627" i="19"/>
  <c r="N116" i="19"/>
  <c r="M945" i="19"/>
  <c r="I321" i="19"/>
  <c r="I518" i="19"/>
  <c r="M699" i="19"/>
  <c r="M103" i="19"/>
  <c r="O144" i="19"/>
  <c r="G62" i="19"/>
  <c r="H1081" i="19"/>
  <c r="G860" i="19"/>
  <c r="N120" i="19"/>
  <c r="N445" i="19"/>
  <c r="H690" i="19"/>
  <c r="N409" i="19"/>
  <c r="O98" i="19"/>
  <c r="G258" i="19"/>
  <c r="O424" i="19"/>
  <c r="O218" i="19"/>
  <c r="N762" i="19"/>
  <c r="I259" i="19"/>
  <c r="M352" i="19"/>
  <c r="I44" i="19"/>
  <c r="N560" i="19"/>
  <c r="H390" i="19"/>
  <c r="G154" i="19"/>
  <c r="H543" i="19"/>
  <c r="M249" i="19"/>
  <c r="O646" i="19"/>
  <c r="H79" i="19"/>
  <c r="N423" i="19"/>
  <c r="H250" i="19"/>
  <c r="H106" i="19"/>
  <c r="G385" i="19"/>
  <c r="N255" i="19"/>
  <c r="M54" i="19"/>
  <c r="O660" i="19"/>
  <c r="M59" i="19"/>
  <c r="H651" i="19"/>
  <c r="H176" i="19"/>
  <c r="I53" i="19"/>
  <c r="O15" i="19"/>
  <c r="M842" i="19"/>
  <c r="N293" i="19"/>
  <c r="N69" i="19"/>
  <c r="M637" i="19"/>
  <c r="I107" i="19"/>
  <c r="N372" i="19"/>
  <c r="N75" i="19"/>
  <c r="I340" i="19"/>
  <c r="I267" i="19"/>
  <c r="O610" i="19"/>
  <c r="N335" i="19"/>
  <c r="I42" i="19"/>
  <c r="H711" i="19"/>
  <c r="N202" i="19"/>
  <c r="A975" i="19"/>
  <c r="B455" i="19"/>
  <c r="H1085" i="19"/>
  <c r="I355" i="19"/>
  <c r="H185" i="19"/>
  <c r="O164" i="19"/>
  <c r="G432" i="19"/>
  <c r="G304" i="19"/>
  <c r="H67" i="19"/>
  <c r="I456" i="19"/>
  <c r="I133" i="19"/>
  <c r="I213" i="19"/>
  <c r="N105" i="19"/>
  <c r="I93" i="19"/>
  <c r="N897" i="19"/>
  <c r="B235" i="19"/>
  <c r="N32" i="19"/>
  <c r="I368" i="19"/>
  <c r="N151" i="19"/>
  <c r="M729" i="19"/>
  <c r="N485" i="19"/>
  <c r="I574" i="19"/>
  <c r="G257" i="19"/>
  <c r="N808" i="19"/>
  <c r="G900" i="19"/>
  <c r="H622" i="19"/>
  <c r="M722" i="19"/>
  <c r="O29" i="19"/>
  <c r="I401" i="19"/>
  <c r="O450" i="19"/>
  <c r="I302" i="19"/>
  <c r="B531" i="19"/>
  <c r="M316" i="19"/>
  <c r="H637" i="19"/>
  <c r="G601" i="19"/>
  <c r="A491" i="19"/>
  <c r="C680" i="19"/>
  <c r="H863" i="19"/>
  <c r="C347" i="19"/>
  <c r="M17" i="19"/>
  <c r="N176" i="19"/>
  <c r="H194" i="19"/>
  <c r="O558" i="19"/>
  <c r="I406" i="19"/>
  <c r="O151" i="19"/>
  <c r="L309" i="19"/>
  <c r="I372" i="19"/>
  <c r="H930" i="19"/>
  <c r="O390" i="19"/>
  <c r="I296" i="19"/>
  <c r="M818" i="19"/>
  <c r="G397" i="19"/>
  <c r="N349" i="19"/>
  <c r="G388" i="19"/>
  <c r="N546" i="19"/>
  <c r="N102" i="19"/>
  <c r="N1089" i="19"/>
  <c r="I151" i="19"/>
  <c r="I166" i="19"/>
  <c r="G281" i="19"/>
  <c r="O1032" i="19"/>
  <c r="M746" i="19"/>
  <c r="N883" i="19"/>
  <c r="M1073" i="19"/>
  <c r="I624" i="19"/>
  <c r="O141" i="19"/>
  <c r="I395" i="19"/>
  <c r="O111" i="19"/>
  <c r="O146" i="19"/>
  <c r="N1098" i="19"/>
  <c r="G166" i="19"/>
  <c r="G917" i="19"/>
  <c r="M178" i="19"/>
  <c r="G291" i="19"/>
  <c r="N1044" i="19"/>
  <c r="N871" i="19"/>
  <c r="M537" i="19"/>
  <c r="G614" i="19"/>
  <c r="M764" i="19"/>
  <c r="M687" i="19"/>
  <c r="M1019" i="19"/>
  <c r="H254" i="19"/>
  <c r="M220" i="19"/>
  <c r="N456" i="19"/>
  <c r="N295" i="19"/>
  <c r="O262" i="19"/>
  <c r="I22" i="19"/>
  <c r="H539" i="19"/>
  <c r="H644" i="19"/>
  <c r="M443" i="19"/>
  <c r="M300" i="19"/>
  <c r="M499" i="19"/>
  <c r="H94" i="19"/>
  <c r="I567" i="19"/>
  <c r="H311" i="19"/>
  <c r="H678" i="19"/>
  <c r="M296" i="19"/>
  <c r="I589" i="19"/>
  <c r="I613" i="19"/>
  <c r="M446" i="19"/>
  <c r="G609" i="19"/>
  <c r="I641" i="19"/>
  <c r="H658" i="19"/>
  <c r="M324" i="19"/>
  <c r="I285" i="19"/>
  <c r="H774" i="19"/>
  <c r="I363" i="19"/>
  <c r="N953" i="19"/>
  <c r="N326" i="19"/>
  <c r="I649" i="19"/>
  <c r="G124" i="19"/>
  <c r="H365" i="19"/>
  <c r="M853" i="19"/>
  <c r="N934" i="19"/>
  <c r="L864" i="19"/>
  <c r="A269" i="19"/>
  <c r="O692" i="19"/>
  <c r="H486" i="19"/>
  <c r="N56" i="19"/>
  <c r="M548" i="19"/>
  <c r="O22" i="19"/>
  <c r="N548" i="19"/>
  <c r="H119" i="19"/>
  <c r="H814" i="19"/>
  <c r="G161" i="19"/>
  <c r="O412" i="19"/>
  <c r="O132" i="19"/>
  <c r="M80" i="19"/>
  <c r="O814" i="19"/>
  <c r="G271" i="19"/>
  <c r="H98" i="19"/>
  <c r="G451" i="19"/>
  <c r="H211" i="19"/>
  <c r="F272" i="19"/>
  <c r="M218" i="19"/>
  <c r="N633" i="19"/>
  <c r="H154" i="19"/>
  <c r="H527" i="19"/>
  <c r="N525" i="19"/>
  <c r="H157" i="19"/>
  <c r="I807" i="19"/>
  <c r="N648" i="19"/>
  <c r="O591" i="19"/>
  <c r="G177" i="19"/>
  <c r="H529" i="19"/>
  <c r="I853" i="19"/>
  <c r="O219" i="19"/>
  <c r="O773" i="19"/>
  <c r="O554" i="19"/>
  <c r="H172" i="19"/>
  <c r="G431" i="19"/>
  <c r="I245" i="19"/>
  <c r="M1156" i="19"/>
  <c r="G450" i="19"/>
  <c r="I337" i="19"/>
  <c r="H835" i="19"/>
  <c r="M24" i="19"/>
  <c r="N55" i="19"/>
  <c r="O608" i="19"/>
  <c r="M851" i="19"/>
  <c r="G79" i="19"/>
  <c r="N251" i="19"/>
  <c r="G895" i="19"/>
  <c r="I231" i="19"/>
  <c r="H177" i="19"/>
  <c r="M484" i="19"/>
  <c r="G735" i="19"/>
  <c r="G206" i="19"/>
  <c r="H777" i="19"/>
  <c r="M41" i="19"/>
  <c r="G595" i="19"/>
  <c r="I718" i="19"/>
  <c r="N363" i="19"/>
  <c r="N490" i="19"/>
  <c r="M952" i="19"/>
  <c r="N148" i="19"/>
  <c r="G446" i="19"/>
  <c r="I243" i="19"/>
  <c r="N583" i="19"/>
  <c r="I57" i="19"/>
  <c r="M399" i="19"/>
  <c r="I364" i="19"/>
  <c r="H426" i="19"/>
  <c r="N619" i="19"/>
  <c r="M1098" i="19"/>
  <c r="G220" i="19"/>
  <c r="H673" i="19"/>
  <c r="N671" i="19"/>
  <c r="M1032" i="19"/>
  <c r="H418" i="19"/>
  <c r="N782" i="19"/>
  <c r="N141" i="19"/>
  <c r="H640" i="19"/>
  <c r="H452" i="19"/>
  <c r="B381" i="19"/>
  <c r="B716" i="19"/>
  <c r="H46" i="19"/>
  <c r="G509" i="19"/>
  <c r="I420" i="19"/>
  <c r="G247" i="19"/>
  <c r="O225" i="19"/>
  <c r="I780" i="19"/>
  <c r="I1085" i="19"/>
  <c r="I404" i="19"/>
  <c r="N659" i="19"/>
  <c r="H665" i="19"/>
  <c r="M69" i="19"/>
  <c r="M393" i="19"/>
  <c r="M168" i="19"/>
  <c r="G156" i="19"/>
  <c r="G37" i="19"/>
  <c r="O133" i="19"/>
  <c r="I841" i="19"/>
  <c r="M146" i="19"/>
  <c r="G1005" i="19"/>
  <c r="G474" i="19"/>
  <c r="A309" i="19"/>
  <c r="O593" i="19"/>
  <c r="O78" i="19"/>
  <c r="M39" i="19"/>
  <c r="M815" i="19"/>
  <c r="N558" i="19"/>
  <c r="M653" i="19"/>
  <c r="H360" i="19"/>
  <c r="K161" i="19"/>
  <c r="H419" i="19"/>
  <c r="I27" i="19"/>
  <c r="N678" i="19"/>
  <c r="N212" i="19"/>
  <c r="M329" i="19"/>
  <c r="M432" i="19"/>
  <c r="I149" i="19"/>
  <c r="G30" i="19"/>
  <c r="G253" i="19"/>
  <c r="G92" i="19"/>
  <c r="M701" i="19"/>
  <c r="H287" i="19"/>
  <c r="I308" i="19"/>
  <c r="M186" i="19"/>
  <c r="M559" i="19"/>
  <c r="N881" i="19"/>
  <c r="N519" i="19"/>
  <c r="H116" i="19"/>
  <c r="H240" i="19"/>
  <c r="M681" i="19"/>
  <c r="O785" i="19"/>
  <c r="M226" i="19"/>
  <c r="N637" i="19"/>
  <c r="G1034" i="19"/>
  <c r="G59" i="19"/>
  <c r="G457" i="19"/>
  <c r="G386" i="19"/>
  <c r="K13" i="19"/>
  <c r="O388" i="19"/>
  <c r="M398" i="19"/>
  <c r="I394" i="19"/>
  <c r="I200" i="19"/>
  <c r="C125" i="19"/>
  <c r="M248" i="19"/>
  <c r="G941" i="19"/>
  <c r="M132" i="19"/>
  <c r="H614" i="19"/>
  <c r="H358" i="19"/>
  <c r="M463" i="19"/>
  <c r="N59" i="19"/>
  <c r="M143" i="19"/>
  <c r="G531" i="19"/>
  <c r="H299" i="19"/>
  <c r="I46" i="19"/>
  <c r="M840" i="19"/>
  <c r="M131" i="19"/>
  <c r="N365" i="19"/>
  <c r="I174" i="19"/>
  <c r="I666" i="19"/>
  <c r="O475" i="19"/>
  <c r="H518" i="19"/>
  <c r="I762" i="19"/>
  <c r="G217" i="19"/>
  <c r="H313" i="19"/>
  <c r="G313" i="19"/>
  <c r="N143" i="19"/>
  <c r="H278" i="19"/>
  <c r="I440" i="19"/>
  <c r="I729" i="19"/>
  <c r="M536" i="19"/>
  <c r="H542" i="19"/>
  <c r="M407" i="19"/>
  <c r="G465" i="19"/>
  <c r="M1044" i="19"/>
  <c r="M967" i="19"/>
  <c r="H190" i="19"/>
  <c r="I478" i="19"/>
  <c r="O136" i="19"/>
  <c r="G462" i="19"/>
  <c r="K568" i="19"/>
  <c r="I444" i="19"/>
  <c r="H159" i="19"/>
  <c r="M183" i="19"/>
  <c r="M18" i="19"/>
  <c r="H363" i="19"/>
  <c r="I968" i="19"/>
  <c r="K864" i="19"/>
  <c r="M992" i="19"/>
  <c r="H26" i="19"/>
  <c r="N512" i="19"/>
  <c r="N222" i="19"/>
  <c r="O658" i="19"/>
  <c r="M464" i="19"/>
  <c r="M163" i="19"/>
  <c r="A420" i="19"/>
  <c r="N284" i="19"/>
  <c r="H367" i="19"/>
  <c r="H375" i="19"/>
  <c r="O813" i="19"/>
  <c r="M482" i="19"/>
  <c r="H230" i="19"/>
  <c r="A1046" i="19"/>
  <c r="M37" i="19"/>
  <c r="O891" i="19"/>
  <c r="O277" i="19"/>
  <c r="H896" i="19"/>
  <c r="I469" i="19"/>
  <c r="H503" i="19"/>
  <c r="O1109" i="19"/>
  <c r="G26" i="19"/>
  <c r="O620" i="19"/>
  <c r="H537" i="19"/>
  <c r="O780" i="19"/>
  <c r="I1035" i="19"/>
  <c r="I822" i="19"/>
  <c r="N424" i="19"/>
  <c r="G136" i="19"/>
  <c r="G981" i="19"/>
  <c r="H223" i="19"/>
  <c r="I443" i="19"/>
  <c r="M130" i="19"/>
  <c r="N498" i="19"/>
  <c r="N182" i="19"/>
  <c r="O468" i="19"/>
  <c r="I644" i="19"/>
  <c r="N316" i="19"/>
  <c r="N839" i="19"/>
  <c r="O55" i="19"/>
  <c r="N398" i="19"/>
  <c r="I96" i="19"/>
  <c r="O82" i="19"/>
  <c r="O244" i="19"/>
  <c r="M1006" i="19"/>
  <c r="H167" i="19"/>
  <c r="L457" i="19"/>
  <c r="O386" i="19"/>
  <c r="H480" i="19"/>
  <c r="M727" i="19"/>
  <c r="I206" i="19"/>
  <c r="O726" i="19"/>
  <c r="H933" i="19"/>
  <c r="I219" i="19"/>
  <c r="G52" i="19"/>
  <c r="H1149" i="19"/>
  <c r="G561" i="19"/>
  <c r="M27" i="19"/>
  <c r="N945" i="19"/>
  <c r="H298" i="19"/>
  <c r="H522" i="19"/>
  <c r="H422" i="19"/>
  <c r="H498" i="19"/>
  <c r="I708" i="19"/>
  <c r="H555" i="19"/>
  <c r="F827" i="19"/>
  <c r="H161" i="19"/>
  <c r="O809" i="19"/>
  <c r="O68" i="19"/>
  <c r="M581" i="19"/>
  <c r="H615" i="19"/>
  <c r="H215" i="19"/>
  <c r="G884" i="19"/>
  <c r="O153" i="19"/>
  <c r="G395" i="19"/>
  <c r="M695" i="19"/>
  <c r="I843" i="19"/>
  <c r="M322" i="19"/>
  <c r="G188" i="19"/>
  <c r="I961" i="19"/>
  <c r="H41" i="19"/>
  <c r="N467" i="19"/>
  <c r="I393" i="19"/>
  <c r="O279" i="19"/>
  <c r="M436" i="19"/>
  <c r="I416" i="19"/>
  <c r="I301" i="19"/>
  <c r="I747" i="19"/>
  <c r="N61" i="19"/>
  <c r="G804" i="19"/>
  <c r="H692" i="19"/>
  <c r="G165" i="19"/>
  <c r="K790" i="19"/>
  <c r="I893" i="19"/>
  <c r="N290" i="19"/>
  <c r="I705" i="19"/>
  <c r="H292" i="19"/>
  <c r="G297" i="19"/>
  <c r="O157" i="19"/>
  <c r="M231" i="19"/>
  <c r="I318" i="19"/>
  <c r="G215" i="19"/>
  <c r="H342" i="19"/>
  <c r="G87" i="19"/>
  <c r="I319" i="19"/>
  <c r="G398" i="19"/>
  <c r="N777" i="19"/>
  <c r="O221" i="19"/>
  <c r="M823" i="19"/>
  <c r="M1023" i="19"/>
  <c r="H357" i="19"/>
  <c r="I152" i="19"/>
  <c r="I111" i="19"/>
  <c r="H447" i="19"/>
  <c r="O254" i="19"/>
  <c r="G798" i="19"/>
  <c r="G345" i="19"/>
  <c r="G649" i="19"/>
  <c r="O288" i="19"/>
  <c r="N475" i="19"/>
  <c r="I775" i="19"/>
  <c r="O73" i="19"/>
  <c r="M208" i="19"/>
  <c r="I362" i="19"/>
  <c r="O823" i="19"/>
  <c r="O945" i="19"/>
  <c r="M576" i="19"/>
  <c r="N869" i="19"/>
  <c r="G542" i="19"/>
  <c r="G76" i="19"/>
  <c r="L272" i="19"/>
  <c r="H989" i="19"/>
  <c r="G662" i="19"/>
  <c r="O100" i="19"/>
  <c r="I595" i="19"/>
  <c r="H501" i="19"/>
  <c r="O598" i="19"/>
  <c r="G65" i="19"/>
  <c r="O302" i="19"/>
  <c r="O202" i="19"/>
  <c r="H482" i="19"/>
  <c r="M350" i="19"/>
  <c r="I753" i="19"/>
  <c r="M804" i="19"/>
  <c r="G741" i="19"/>
  <c r="M179" i="19"/>
  <c r="M474" i="19"/>
  <c r="H394" i="19"/>
  <c r="H104" i="19"/>
  <c r="M758" i="19"/>
  <c r="K124" i="19"/>
  <c r="H374" i="19"/>
  <c r="O314" i="19"/>
  <c r="O447" i="19"/>
  <c r="O875" i="19"/>
  <c r="G164" i="19"/>
  <c r="H251" i="19"/>
  <c r="G768" i="19"/>
  <c r="O242" i="19"/>
  <c r="H263" i="19"/>
  <c r="O1006" i="19"/>
  <c r="L753" i="19"/>
  <c r="H1107" i="19"/>
  <c r="H630" i="19"/>
  <c r="H880" i="19"/>
  <c r="M184" i="19"/>
  <c r="I297" i="19"/>
  <c r="I493" i="19"/>
  <c r="G515" i="19"/>
  <c r="M412" i="19"/>
  <c r="O459" i="19"/>
  <c r="O942" i="19"/>
  <c r="I1029" i="19"/>
  <c r="I305" i="19"/>
  <c r="M223" i="19"/>
  <c r="I274" i="19"/>
  <c r="O76" i="19"/>
  <c r="M276" i="19"/>
  <c r="N829" i="19"/>
  <c r="O140" i="19"/>
  <c r="O99" i="19"/>
  <c r="G1054" i="19"/>
  <c r="M301" i="19"/>
  <c r="H545" i="19"/>
  <c r="M405" i="19"/>
  <c r="M245" i="19"/>
  <c r="N101" i="19"/>
  <c r="H574" i="19"/>
  <c r="I668" i="19"/>
  <c r="N641" i="19"/>
  <c r="O765" i="19"/>
  <c r="O249" i="19"/>
  <c r="G570" i="19"/>
  <c r="H317" i="19"/>
  <c r="H655" i="19"/>
  <c r="M921" i="19"/>
  <c r="H412" i="19"/>
  <c r="I31" i="19"/>
  <c r="N144" i="19"/>
  <c r="N1072" i="19"/>
  <c r="I948" i="19"/>
  <c r="I736" i="19"/>
  <c r="O103" i="19"/>
  <c r="I1021" i="19"/>
  <c r="O1003" i="19"/>
  <c r="F605" i="19"/>
  <c r="I638" i="19"/>
  <c r="I1145" i="19"/>
  <c r="O1051" i="19"/>
  <c r="O1142" i="19"/>
  <c r="M280" i="19"/>
  <c r="K679" i="19"/>
  <c r="I798" i="19"/>
  <c r="H762" i="19"/>
  <c r="O618" i="19"/>
  <c r="M261" i="19"/>
  <c r="O515" i="19"/>
  <c r="B640" i="19"/>
  <c r="N909" i="19"/>
  <c r="K198" i="19"/>
  <c r="C1050" i="19"/>
  <c r="I467" i="19"/>
  <c r="G1140" i="19"/>
  <c r="N766" i="19"/>
  <c r="N481" i="19"/>
  <c r="I32" i="19"/>
  <c r="N412" i="19"/>
  <c r="H302" i="19"/>
  <c r="I386" i="19"/>
  <c r="O480" i="19"/>
  <c r="O874" i="19"/>
  <c r="H63" i="19"/>
  <c r="O807" i="19"/>
  <c r="M540" i="19"/>
  <c r="O760" i="19"/>
  <c r="G655" i="19"/>
  <c r="N16" i="19"/>
  <c r="G650" i="19"/>
  <c r="N921" i="19"/>
  <c r="G393" i="19"/>
  <c r="G942" i="19"/>
  <c r="N981" i="19"/>
  <c r="K383" i="19"/>
  <c r="O373" i="19"/>
  <c r="M859" i="19"/>
  <c r="G193" i="19"/>
  <c r="I810" i="19"/>
  <c r="I427" i="19"/>
  <c r="O730" i="19"/>
  <c r="H866" i="19"/>
  <c r="G399" i="19"/>
  <c r="I548" i="19"/>
  <c r="G367" i="19"/>
  <c r="G132" i="19"/>
  <c r="O182" i="19"/>
  <c r="O69" i="19"/>
  <c r="N814" i="19"/>
  <c r="M15" i="19"/>
  <c r="I927" i="19"/>
  <c r="G396" i="19"/>
  <c r="I513" i="19"/>
  <c r="M860" i="19"/>
  <c r="I497" i="19"/>
  <c r="N860" i="19"/>
  <c r="F87" i="19"/>
  <c r="O177" i="19"/>
  <c r="H135" i="19"/>
  <c r="O989" i="19"/>
  <c r="I892" i="19"/>
  <c r="C469" i="19"/>
  <c r="M664" i="19"/>
  <c r="I582" i="19"/>
  <c r="G636" i="19"/>
  <c r="G390" i="19"/>
  <c r="H758" i="19"/>
  <c r="G1091" i="19"/>
  <c r="I1091" i="19"/>
  <c r="M1095" i="19"/>
  <c r="N369" i="19"/>
  <c r="O596" i="19"/>
  <c r="M979" i="19"/>
  <c r="O778" i="19"/>
  <c r="I217" i="19"/>
  <c r="M632" i="19"/>
  <c r="M571" i="19"/>
  <c r="I23" i="19"/>
  <c r="N268" i="19"/>
  <c r="M385" i="19"/>
  <c r="H681" i="19"/>
  <c r="M73" i="19"/>
  <c r="I25" i="19"/>
  <c r="O130" i="19"/>
  <c r="H189" i="19"/>
  <c r="G182" i="19"/>
  <c r="G112" i="19"/>
  <c r="G107" i="19"/>
  <c r="I145" i="19"/>
  <c r="G101" i="19"/>
  <c r="M810" i="19"/>
  <c r="M919" i="19"/>
  <c r="O127" i="19"/>
  <c r="M147" i="19"/>
  <c r="H376" i="19"/>
  <c r="O275" i="19"/>
  <c r="H897" i="19"/>
  <c r="I182" i="19"/>
  <c r="I933" i="19"/>
  <c r="H846" i="19"/>
  <c r="N278" i="19"/>
  <c r="N700" i="19"/>
  <c r="G832" i="19"/>
  <c r="F642" i="19"/>
  <c r="I304" i="19"/>
  <c r="O965" i="19"/>
  <c r="I295" i="19"/>
  <c r="I423" i="19"/>
  <c r="H595" i="19"/>
  <c r="H61" i="19"/>
  <c r="G443" i="19"/>
  <c r="M237" i="19"/>
  <c r="G53" i="19"/>
  <c r="H379" i="19"/>
  <c r="N651" i="19"/>
  <c r="H605" i="19"/>
  <c r="G214" i="19"/>
  <c r="G178" i="19"/>
  <c r="M538" i="19"/>
  <c r="N366" i="19"/>
  <c r="I238" i="19"/>
  <c r="N184" i="19"/>
  <c r="F198" i="19"/>
  <c r="G535" i="19"/>
  <c r="I744" i="19"/>
  <c r="I514" i="19"/>
  <c r="H392" i="19"/>
  <c r="I512" i="19"/>
  <c r="O21" i="19"/>
  <c r="I242" i="19"/>
  <c r="M426" i="19"/>
  <c r="I403" i="19"/>
  <c r="G469" i="19"/>
  <c r="C532" i="19"/>
  <c r="G23" i="19"/>
  <c r="B233" i="19"/>
  <c r="I271" i="19"/>
  <c r="G792" i="19"/>
  <c r="M83" i="19"/>
  <c r="I501" i="19"/>
  <c r="B678" i="19"/>
  <c r="F235" i="19"/>
  <c r="H341" i="19"/>
  <c r="G703" i="19"/>
  <c r="O104" i="19"/>
  <c r="H339" i="19"/>
  <c r="G368" i="19"/>
  <c r="N443" i="19"/>
  <c r="N817" i="19"/>
  <c r="M110" i="19"/>
  <c r="O994" i="19"/>
  <c r="G952" i="19"/>
  <c r="N246" i="19"/>
  <c r="M166" i="19"/>
  <c r="N931" i="19"/>
  <c r="I838" i="19"/>
  <c r="H280" i="19"/>
  <c r="O687" i="19"/>
  <c r="N368" i="19"/>
  <c r="M65" i="19"/>
  <c r="G1153" i="19"/>
  <c r="H922" i="19"/>
  <c r="N851" i="19"/>
  <c r="M693" i="19"/>
  <c r="I163" i="19"/>
  <c r="M649" i="19"/>
  <c r="M1126" i="19"/>
  <c r="G618" i="19"/>
  <c r="O1140" i="19"/>
  <c r="I1128" i="19"/>
  <c r="H594" i="19"/>
  <c r="H19" i="19"/>
  <c r="H1062" i="19"/>
  <c r="G262" i="19"/>
  <c r="O70" i="19"/>
  <c r="N345" i="19"/>
  <c r="O954" i="19"/>
  <c r="O524" i="19"/>
  <c r="N813" i="19"/>
  <c r="N988" i="19"/>
  <c r="I150" i="19"/>
  <c r="O1096" i="19"/>
  <c r="N1038" i="19"/>
  <c r="N137" i="19"/>
  <c r="G144" i="19"/>
  <c r="I286" i="19"/>
  <c r="M578" i="19"/>
  <c r="I709" i="19"/>
  <c r="M402" i="19"/>
  <c r="N264" i="19"/>
  <c r="G520" i="19"/>
  <c r="G834" i="19"/>
  <c r="G338" i="19"/>
  <c r="H1042" i="19"/>
  <c r="M917" i="19"/>
  <c r="N903" i="19"/>
  <c r="I1075" i="19"/>
  <c r="H108" i="19"/>
  <c r="I593" i="19"/>
  <c r="H753" i="19"/>
  <c r="N218" i="19"/>
  <c r="N267" i="19"/>
  <c r="M798" i="19"/>
  <c r="G18" i="19"/>
  <c r="H72" i="19"/>
  <c r="H1051" i="19"/>
  <c r="N1152" i="19"/>
  <c r="I650" i="19"/>
  <c r="H760" i="19"/>
  <c r="H1033" i="19"/>
  <c r="M171" i="19"/>
  <c r="N735" i="19"/>
  <c r="M625" i="19"/>
  <c r="O662" i="19"/>
  <c r="H351" i="19"/>
  <c r="M157" i="19"/>
  <c r="O355" i="19"/>
  <c r="G103" i="19"/>
  <c r="H706" i="19"/>
  <c r="O329" i="19"/>
  <c r="M156" i="19"/>
  <c r="N110" i="19"/>
  <c r="H496" i="19"/>
  <c r="N414" i="19"/>
  <c r="O479" i="19"/>
  <c r="F494" i="19"/>
  <c r="H881" i="19"/>
  <c r="O655" i="19"/>
  <c r="N160" i="19"/>
  <c r="N550" i="19"/>
  <c r="M1057" i="19"/>
  <c r="G436" i="19"/>
  <c r="N317" i="19"/>
  <c r="H613" i="19"/>
  <c r="N464" i="19"/>
  <c r="O281" i="19"/>
  <c r="M200" i="19"/>
  <c r="C14" i="19"/>
  <c r="N1140" i="19"/>
  <c r="H95" i="19"/>
  <c r="G379" i="19"/>
  <c r="N878" i="19"/>
  <c r="I433" i="19"/>
  <c r="I561" i="19"/>
  <c r="N553" i="19"/>
  <c r="M977" i="19"/>
  <c r="I265" i="19"/>
  <c r="N311" i="19"/>
  <c r="H437" i="19"/>
  <c r="G626" i="19"/>
  <c r="N718" i="19"/>
  <c r="I840" i="19"/>
  <c r="G1146" i="19"/>
  <c r="O694" i="19"/>
  <c r="I1000" i="19"/>
  <c r="H1034" i="19"/>
  <c r="C1095" i="19"/>
  <c r="O423" i="19"/>
  <c r="I537" i="19"/>
  <c r="H974" i="19"/>
  <c r="G250" i="19"/>
  <c r="N446" i="19"/>
  <c r="I241" i="19"/>
  <c r="H662" i="19"/>
  <c r="I240" i="19"/>
  <c r="M1016" i="19"/>
  <c r="G100" i="19"/>
  <c r="G1099" i="19"/>
  <c r="I783" i="19"/>
  <c r="O947" i="19"/>
  <c r="N840" i="19"/>
  <c r="O881" i="19"/>
  <c r="I594" i="19"/>
  <c r="O263" i="19"/>
  <c r="G752" i="19"/>
  <c r="I591" i="19"/>
  <c r="M64" i="19"/>
  <c r="H424" i="19"/>
  <c r="M33" i="19"/>
  <c r="H15" i="19"/>
  <c r="O706" i="19"/>
  <c r="N645" i="19"/>
  <c r="I808" i="19"/>
  <c r="O341" i="19"/>
  <c r="I615" i="19"/>
  <c r="A235" i="19"/>
  <c r="I205" i="19"/>
  <c r="O439" i="19"/>
  <c r="G171" i="19"/>
  <c r="N215" i="19"/>
  <c r="G483" i="19"/>
  <c r="I484" i="19"/>
  <c r="G512" i="19"/>
  <c r="O1057" i="19"/>
  <c r="M364" i="19"/>
  <c r="G838" i="19"/>
  <c r="O1100" i="19"/>
  <c r="H709" i="19"/>
  <c r="O237" i="19"/>
  <c r="I74" i="19"/>
  <c r="I516" i="19"/>
  <c r="N183" i="19"/>
  <c r="B938" i="19"/>
  <c r="O81" i="19"/>
  <c r="N46" i="19"/>
  <c r="M744" i="19"/>
  <c r="G349" i="19"/>
  <c r="O441" i="19"/>
  <c r="I701" i="19"/>
  <c r="N145" i="19"/>
  <c r="O550" i="19"/>
  <c r="G362" i="19"/>
  <c r="O413" i="19"/>
  <c r="M281" i="19"/>
  <c r="H40" i="19"/>
  <c r="N227" i="19"/>
  <c r="N404" i="19"/>
  <c r="O222" i="19"/>
  <c r="N848" i="19"/>
  <c r="O115" i="19"/>
  <c r="N922" i="19"/>
  <c r="I407" i="19"/>
  <c r="H724" i="19"/>
  <c r="I283" i="19"/>
  <c r="O542" i="19"/>
  <c r="I993" i="19"/>
  <c r="H1138" i="19"/>
  <c r="M535" i="19"/>
  <c r="N964" i="19"/>
  <c r="G912" i="19"/>
  <c r="M21" i="19"/>
  <c r="N1003" i="19"/>
  <c r="I132" i="19"/>
  <c r="H536" i="19"/>
  <c r="M61" i="19"/>
  <c r="G882" i="19"/>
  <c r="G63" i="19"/>
  <c r="M782" i="19"/>
  <c r="O90" i="19"/>
  <c r="M461" i="19"/>
  <c r="O129" i="19"/>
  <c r="I995" i="19"/>
  <c r="B12" i="19"/>
  <c r="M71" i="19"/>
  <c r="H548" i="19"/>
  <c r="N493" i="19"/>
  <c r="H270" i="19"/>
  <c r="O19" i="19"/>
  <c r="N1133" i="19"/>
  <c r="O636" i="19"/>
  <c r="G877" i="19"/>
  <c r="I1008" i="19"/>
  <c r="I36" i="19"/>
  <c r="O407" i="19"/>
  <c r="G369" i="19"/>
  <c r="G445" i="19"/>
  <c r="B827" i="19"/>
  <c r="I49" i="19"/>
  <c r="O258" i="19"/>
  <c r="M209" i="19"/>
  <c r="G592" i="19"/>
  <c r="O350" i="19"/>
  <c r="G49" i="19"/>
  <c r="M951" i="19"/>
  <c r="N397" i="19"/>
  <c r="I971" i="19"/>
  <c r="N771" i="19"/>
  <c r="M1005" i="19"/>
  <c r="M342" i="19"/>
  <c r="G656" i="19"/>
  <c r="M442" i="19"/>
  <c r="O128" i="19"/>
  <c r="G426" i="19"/>
  <c r="M710" i="19"/>
  <c r="O599" i="19"/>
  <c r="I358" i="19"/>
  <c r="M500" i="19"/>
  <c r="I402" i="19"/>
  <c r="N171" i="19"/>
  <c r="N1007" i="19"/>
  <c r="O75" i="19"/>
  <c r="B862" i="19"/>
  <c r="H688" i="19"/>
  <c r="H977" i="19"/>
  <c r="I1054" i="19"/>
  <c r="O577" i="19"/>
  <c r="O505" i="19"/>
  <c r="I278" i="19"/>
  <c r="H560" i="19"/>
  <c r="G326" i="19"/>
  <c r="G353" i="19"/>
  <c r="G803" i="19"/>
  <c r="N941" i="19"/>
  <c r="M391" i="19"/>
  <c r="B975" i="19"/>
  <c r="N403" i="19"/>
  <c r="M590" i="19"/>
  <c r="M612" i="19"/>
  <c r="H183" i="19"/>
  <c r="O204" i="19"/>
  <c r="H646" i="19"/>
  <c r="H440" i="19"/>
  <c r="O342" i="19"/>
  <c r="M595" i="19"/>
  <c r="I120" i="19"/>
  <c r="N809" i="19"/>
  <c r="N1141" i="19"/>
  <c r="G505" i="19"/>
  <c r="M354" i="19"/>
  <c r="H1109" i="19"/>
  <c r="I590" i="19"/>
  <c r="G435" i="19"/>
  <c r="M1147" i="19"/>
  <c r="I570" i="19"/>
  <c r="H184" i="19"/>
  <c r="I144" i="19"/>
  <c r="O148" i="19"/>
  <c r="N996" i="19"/>
  <c r="H521" i="19"/>
  <c r="I28" i="19"/>
  <c r="B271" i="19"/>
  <c r="M1125" i="19"/>
  <c r="N852" i="19"/>
  <c r="H785" i="19"/>
  <c r="N303" i="19"/>
  <c r="G357" i="19"/>
  <c r="N799" i="19"/>
  <c r="H249" i="19"/>
  <c r="G73" i="19"/>
  <c r="N870" i="19"/>
  <c r="I293" i="19"/>
  <c r="N357" i="19"/>
  <c r="O578" i="19"/>
  <c r="G256" i="19"/>
  <c r="N842" i="19"/>
  <c r="H1056" i="19"/>
  <c r="G413" i="19"/>
  <c r="I1143" i="19"/>
  <c r="I1118" i="19"/>
  <c r="G36" i="19"/>
  <c r="I623" i="19"/>
  <c r="N449" i="19"/>
  <c r="I647" i="19"/>
  <c r="M583" i="19"/>
  <c r="G1136" i="19"/>
  <c r="I545" i="19"/>
  <c r="I462" i="19"/>
  <c r="N1060" i="19"/>
  <c r="O587" i="19"/>
  <c r="H505" i="19"/>
  <c r="I949" i="19"/>
  <c r="I322" i="19"/>
  <c r="O404" i="19"/>
  <c r="I814" i="19"/>
  <c r="N866" i="19"/>
  <c r="N17" i="19"/>
  <c r="M292" i="19"/>
  <c r="M1148" i="19"/>
  <c r="G1093" i="19"/>
  <c r="G555" i="19"/>
  <c r="H59" i="19"/>
  <c r="I464" i="19"/>
  <c r="I175" i="19"/>
  <c r="G615" i="19"/>
  <c r="M289" i="19"/>
  <c r="I26" i="19"/>
  <c r="G279" i="19"/>
  <c r="G722" i="19"/>
  <c r="H475" i="19"/>
  <c r="I489" i="19"/>
  <c r="O740" i="19"/>
  <c r="M504" i="19"/>
  <c r="O728" i="19"/>
  <c r="L161" i="19"/>
  <c r="M185" i="19"/>
  <c r="N1130" i="19"/>
  <c r="O311" i="19"/>
  <c r="O394" i="19"/>
  <c r="I332" i="19"/>
  <c r="N764" i="19"/>
  <c r="N12" i="19"/>
  <c r="I646" i="19"/>
  <c r="H244" i="19"/>
  <c r="G527" i="19"/>
  <c r="G72" i="19"/>
  <c r="N759" i="19"/>
  <c r="M305" i="19"/>
  <c r="I872" i="19"/>
  <c r="H354" i="19"/>
  <c r="H669" i="19"/>
  <c r="G960" i="19"/>
  <c r="I309" i="19"/>
  <c r="O695" i="19"/>
  <c r="N450" i="19"/>
  <c r="I696" i="19"/>
  <c r="N572" i="19"/>
  <c r="H340" i="19"/>
  <c r="G197" i="19"/>
  <c r="N932" i="19"/>
  <c r="N482" i="19"/>
  <c r="M211" i="19"/>
  <c r="O247" i="19"/>
  <c r="C23" i="19"/>
  <c r="M1144" i="19"/>
  <c r="H188" i="19"/>
  <c r="H443" i="19"/>
  <c r="I544" i="19"/>
  <c r="I113" i="19"/>
  <c r="M648" i="19"/>
  <c r="M227" i="19"/>
  <c r="I100" i="19"/>
  <c r="H308" i="19"/>
  <c r="M659" i="19"/>
  <c r="G473" i="19"/>
  <c r="O427" i="19"/>
  <c r="G809" i="19"/>
  <c r="N785" i="19"/>
  <c r="O131" i="19"/>
  <c r="M108" i="19"/>
  <c r="H366" i="19"/>
  <c r="N283" i="19"/>
  <c r="N593" i="19"/>
  <c r="H361" i="19"/>
  <c r="H1069" i="19"/>
  <c r="O27" i="19"/>
  <c r="N230" i="19"/>
  <c r="N302" i="19"/>
  <c r="G599" i="19"/>
  <c r="G550" i="19"/>
  <c r="M821" i="19"/>
  <c r="H767" i="19"/>
  <c r="G106" i="19"/>
  <c r="O178" i="19"/>
  <c r="G410" i="19"/>
  <c r="G682" i="19"/>
  <c r="G230" i="19"/>
  <c r="O559" i="19"/>
  <c r="G1152" i="19"/>
  <c r="H168" i="19"/>
  <c r="G221" i="19"/>
  <c r="H272" i="19"/>
  <c r="N254" i="19"/>
  <c r="O474" i="19"/>
  <c r="N441" i="19"/>
  <c r="G467" i="19"/>
  <c r="I510" i="19"/>
  <c r="H253" i="19"/>
  <c r="N895" i="19"/>
  <c r="C162" i="19"/>
  <c r="M25" i="19"/>
  <c r="M692" i="19"/>
  <c r="N545" i="19"/>
  <c r="M706" i="19"/>
  <c r="G55" i="19"/>
  <c r="I482" i="19"/>
  <c r="H404" i="19"/>
  <c r="I373" i="19"/>
  <c r="F1049" i="19"/>
  <c r="H999" i="19"/>
  <c r="M830" i="19"/>
  <c r="I428" i="19"/>
  <c r="O1040" i="19"/>
  <c r="O538" i="19"/>
  <c r="B196" i="19"/>
  <c r="G174" i="19"/>
  <c r="O106" i="19"/>
  <c r="I249" i="19"/>
  <c r="H282" i="19"/>
  <c r="H345" i="19"/>
  <c r="M109" i="19"/>
  <c r="M187" i="19"/>
  <c r="M75" i="19"/>
  <c r="O97" i="19"/>
  <c r="G359" i="19"/>
  <c r="O909" i="19"/>
  <c r="N918" i="19"/>
  <c r="I311" i="19"/>
  <c r="G167" i="19"/>
  <c r="G437" i="19"/>
  <c r="O107" i="19"/>
  <c r="I960" i="19"/>
  <c r="M873" i="19"/>
  <c r="K753" i="19"/>
  <c r="O959" i="19"/>
  <c r="N1019" i="19"/>
  <c r="O61" i="19"/>
  <c r="H451" i="19"/>
  <c r="G967" i="19"/>
  <c r="N49" i="19"/>
  <c r="O228" i="19"/>
  <c r="M498" i="19"/>
  <c r="O545" i="19"/>
  <c r="N894" i="19"/>
  <c r="G688" i="19"/>
  <c r="H476" i="19"/>
  <c r="N265" i="19"/>
  <c r="G629" i="19"/>
  <c r="I1027" i="19"/>
  <c r="I752" i="19"/>
  <c r="M229" i="19"/>
  <c r="G538" i="19"/>
  <c r="M771" i="19"/>
  <c r="N462" i="19"/>
  <c r="I768" i="19"/>
  <c r="H296" i="19"/>
  <c r="I172" i="19"/>
  <c r="N224" i="19"/>
  <c r="I21" i="19"/>
  <c r="M174" i="19"/>
  <c r="I953" i="19"/>
  <c r="I41" i="19"/>
  <c r="H373" i="19"/>
  <c r="M656" i="19"/>
  <c r="G924" i="19"/>
  <c r="M703" i="19"/>
  <c r="I356" i="19"/>
  <c r="G24" i="19"/>
  <c r="M427" i="19"/>
  <c r="H507" i="19"/>
  <c r="N68" i="19"/>
  <c r="I197" i="19"/>
  <c r="I1064" i="19"/>
  <c r="H516" i="19"/>
  <c r="N231" i="19"/>
  <c r="M414" i="19"/>
  <c r="I523" i="19"/>
  <c r="I962" i="19"/>
  <c r="H1153" i="19"/>
  <c r="I755" i="19"/>
  <c r="O866" i="19"/>
  <c r="M513" i="19"/>
  <c r="M757" i="19"/>
  <c r="H286" i="19"/>
  <c r="O36" i="19"/>
  <c r="H86" i="19"/>
  <c r="C950" i="19"/>
  <c r="O80" i="19"/>
  <c r="H737" i="19"/>
  <c r="H775" i="19"/>
  <c r="H524" i="19"/>
  <c r="G583" i="19"/>
  <c r="C128" i="19"/>
  <c r="N734" i="19"/>
  <c r="H133" i="19"/>
  <c r="L716" i="19"/>
  <c r="I328" i="19"/>
  <c r="I429" i="19"/>
  <c r="I1024" i="19"/>
  <c r="M592" i="19"/>
  <c r="H1155" i="19"/>
  <c r="N29" i="19"/>
  <c r="H679" i="19"/>
  <c r="M909" i="19"/>
  <c r="N245" i="19"/>
  <c r="N653" i="19"/>
  <c r="H114" i="19"/>
  <c r="G571" i="19"/>
  <c r="M880" i="19"/>
  <c r="M313" i="19"/>
  <c r="M70" i="19"/>
  <c r="H577" i="19"/>
  <c r="C754" i="19"/>
  <c r="I75" i="19"/>
  <c r="O534" i="19"/>
  <c r="N577" i="19"/>
  <c r="O523" i="19"/>
  <c r="O883" i="19"/>
  <c r="M221" i="19"/>
  <c r="G56" i="19"/>
  <c r="O112" i="19"/>
  <c r="I160" i="19"/>
  <c r="M444" i="19"/>
  <c r="H512" i="19"/>
  <c r="H122" i="19"/>
  <c r="N64" i="19"/>
  <c r="H255" i="19"/>
  <c r="N179" i="19"/>
  <c r="N395" i="19"/>
  <c r="I450" i="19"/>
  <c r="I1126" i="19"/>
  <c r="M888" i="19"/>
  <c r="I436" i="19"/>
  <c r="G513" i="19"/>
  <c r="G796" i="19"/>
  <c r="I653" i="19"/>
  <c r="H231" i="19"/>
  <c r="O16" i="19"/>
  <c r="O708" i="19"/>
  <c r="M636" i="19"/>
  <c r="H314" i="19"/>
  <c r="G1004" i="19"/>
  <c r="A531" i="19"/>
  <c r="O391" i="19"/>
  <c r="N479" i="19"/>
  <c r="I229" i="19"/>
  <c r="O518" i="19"/>
  <c r="N277" i="19"/>
  <c r="M134" i="19"/>
  <c r="I585" i="19"/>
  <c r="N112" i="19"/>
  <c r="N930" i="19"/>
  <c r="M81" i="19"/>
  <c r="N554" i="19"/>
  <c r="G870" i="19"/>
  <c r="H210" i="19"/>
  <c r="G668" i="19"/>
  <c r="N96" i="19"/>
  <c r="N533" i="19"/>
  <c r="H834" i="19"/>
  <c r="C17" i="19"/>
  <c r="A161" i="19"/>
  <c r="G438" i="19"/>
  <c r="G203" i="19"/>
  <c r="H461" i="19"/>
  <c r="G295" i="19"/>
  <c r="A121" i="19"/>
  <c r="I342" i="19"/>
  <c r="O229" i="19"/>
  <c r="G264" i="19"/>
  <c r="N523" i="19"/>
  <c r="M686" i="19"/>
  <c r="C236" i="19"/>
  <c r="N79" i="19"/>
  <c r="M98" i="19"/>
  <c r="I669" i="19"/>
  <c r="M60" i="19"/>
  <c r="G254" i="19"/>
  <c r="H216" i="19"/>
  <c r="N21" i="19"/>
  <c r="I879" i="19"/>
  <c r="H854" i="19"/>
  <c r="G135" i="19"/>
  <c r="I101" i="19"/>
  <c r="N520" i="19"/>
  <c r="M283" i="19"/>
  <c r="I530" i="19"/>
  <c r="N192" i="19"/>
  <c r="I411" i="19"/>
  <c r="O1052" i="19"/>
  <c r="A454" i="19"/>
  <c r="G118" i="19"/>
  <c r="O614" i="19"/>
  <c r="G383" i="19"/>
  <c r="G510" i="19"/>
  <c r="G799" i="19"/>
  <c r="I136" i="19"/>
  <c r="H462" i="19"/>
  <c r="H549" i="19"/>
  <c r="G1078" i="19"/>
  <c r="C25" i="19"/>
  <c r="N948" i="19"/>
  <c r="O312" i="19"/>
  <c r="N209" i="19"/>
  <c r="H92" i="19"/>
  <c r="G985" i="19"/>
  <c r="H691" i="19"/>
  <c r="N1146" i="19"/>
  <c r="I1022" i="19"/>
  <c r="O847" i="19"/>
  <c r="G1028" i="19"/>
  <c r="O303" i="19"/>
  <c r="B272" i="19"/>
  <c r="N563" i="19"/>
  <c r="N149" i="19"/>
  <c r="N429" i="19"/>
  <c r="G333" i="19"/>
  <c r="O211" i="19"/>
  <c r="G776" i="19"/>
  <c r="O173" i="19"/>
  <c r="N774" i="19"/>
  <c r="I45" i="19"/>
  <c r="O1073" i="19"/>
  <c r="O815" i="19"/>
  <c r="I835" i="19"/>
  <c r="N44" i="19"/>
  <c r="M68" i="19"/>
  <c r="H686" i="19"/>
  <c r="G365" i="19"/>
  <c r="G586" i="19"/>
  <c r="H722" i="19"/>
  <c r="I275" i="19"/>
  <c r="N1068" i="19"/>
  <c r="N28" i="19"/>
  <c r="G237" i="19"/>
  <c r="I35" i="19"/>
  <c r="G692" i="19"/>
  <c r="M894" i="19"/>
  <c r="O1078" i="19"/>
  <c r="H941" i="19"/>
  <c r="B493" i="19"/>
  <c r="H155" i="19"/>
  <c r="G621" i="19"/>
  <c r="O478" i="19"/>
  <c r="M599" i="19"/>
  <c r="O521" i="19"/>
  <c r="G590" i="19"/>
  <c r="M615" i="19"/>
  <c r="O882" i="19"/>
  <c r="G582" i="19"/>
  <c r="M978" i="19"/>
  <c r="O952" i="19"/>
  <c r="G695" i="19"/>
  <c r="O621" i="19"/>
  <c r="H305" i="19"/>
  <c r="N180" i="19"/>
  <c r="H804" i="19"/>
  <c r="G1003" i="19"/>
  <c r="N208" i="19"/>
  <c r="O318" i="19"/>
  <c r="H940" i="19"/>
  <c r="H944" i="19"/>
  <c r="N154" i="19"/>
  <c r="M766" i="19"/>
  <c r="N1048" i="19"/>
  <c r="I1043" i="19"/>
  <c r="N816" i="19"/>
  <c r="I932" i="19"/>
  <c r="M1062" i="19"/>
  <c r="O239" i="19"/>
  <c r="I1060" i="19"/>
  <c r="N742" i="19"/>
  <c r="N256" i="19"/>
  <c r="N937" i="19"/>
  <c r="O757" i="19"/>
  <c r="M377" i="19"/>
  <c r="H965" i="19"/>
  <c r="I1038" i="19"/>
  <c r="M1007" i="19"/>
  <c r="H33" i="19"/>
  <c r="I1098" i="19"/>
  <c r="G816" i="19"/>
  <c r="O855" i="19"/>
  <c r="N1067" i="19"/>
  <c r="G499" i="19"/>
  <c r="M138" i="19"/>
  <c r="G358" i="19"/>
  <c r="M323" i="19"/>
  <c r="M396" i="19"/>
  <c r="M126" i="19"/>
  <c r="M82" i="19"/>
  <c r="I496" i="19"/>
  <c r="N838" i="19"/>
  <c r="N556" i="19"/>
  <c r="G81" i="19"/>
  <c r="G507" i="19"/>
  <c r="H28" i="19"/>
  <c r="O416" i="19"/>
  <c r="G223" i="19"/>
  <c r="I889" i="19"/>
  <c r="N38" i="19"/>
  <c r="F13" i="19"/>
  <c r="M884" i="19"/>
  <c r="I449" i="19"/>
  <c r="G382" i="19"/>
  <c r="N20" i="19"/>
  <c r="M1102" i="19"/>
  <c r="O470" i="19"/>
  <c r="H137" i="19"/>
  <c r="H839" i="19"/>
  <c r="I18" i="19"/>
  <c r="M267" i="19"/>
  <c r="I600" i="19"/>
  <c r="M58" i="19"/>
  <c r="H563" i="19"/>
  <c r="I62" i="19"/>
  <c r="H326" i="19"/>
  <c r="I164" i="19"/>
  <c r="I165" i="19"/>
  <c r="N673" i="19"/>
  <c r="I230" i="19"/>
  <c r="M172" i="19"/>
  <c r="O156" i="19"/>
  <c r="M246" i="19"/>
  <c r="M238" i="19"/>
  <c r="G267" i="19"/>
  <c r="O878" i="19"/>
  <c r="C1124" i="19"/>
  <c r="H876" i="19"/>
  <c r="N111" i="19"/>
  <c r="O57" i="19"/>
  <c r="H707" i="19"/>
  <c r="O795" i="19"/>
  <c r="H885" i="19"/>
  <c r="M115" i="19"/>
  <c r="G389" i="19"/>
  <c r="I13" i="19"/>
  <c r="M871" i="19"/>
  <c r="I471" i="19"/>
  <c r="O516" i="19"/>
  <c r="O17" i="19"/>
  <c r="I847" i="19"/>
  <c r="N330" i="19"/>
  <c r="G1081" i="19"/>
  <c r="I203" i="19"/>
  <c r="I833" i="19"/>
  <c r="M212" i="19"/>
  <c r="M673" i="19"/>
  <c r="M242" i="19"/>
  <c r="I137" i="19"/>
  <c r="G585" i="19"/>
  <c r="M574" i="19"/>
  <c r="O194" i="19"/>
  <c r="H42" i="19"/>
  <c r="I836" i="19"/>
  <c r="H68" i="19"/>
  <c r="N413" i="19"/>
  <c r="M1041" i="19"/>
  <c r="G1077" i="19"/>
  <c r="A84" i="19"/>
  <c r="N361" i="19"/>
  <c r="I1112" i="19"/>
  <c r="H858" i="19"/>
  <c r="I346" i="19"/>
  <c r="M600" i="19"/>
  <c r="O422" i="19"/>
  <c r="H624" i="19"/>
  <c r="I533" i="19"/>
  <c r="G581" i="19"/>
  <c r="O871" i="19"/>
  <c r="M112" i="19"/>
  <c r="G255" i="19"/>
  <c r="I460" i="19"/>
  <c r="F864" i="19"/>
  <c r="M389" i="19"/>
  <c r="G476" i="19"/>
  <c r="M240" i="19"/>
  <c r="I437" i="19"/>
  <c r="I557" i="19"/>
  <c r="O460" i="19"/>
  <c r="M527" i="19"/>
  <c r="M428" i="19"/>
  <c r="M351" i="19"/>
  <c r="M118" i="19"/>
  <c r="G44" i="19"/>
  <c r="M188" i="19"/>
  <c r="I255" i="19"/>
  <c r="M34" i="19"/>
  <c r="N43" i="19"/>
  <c r="I711" i="19"/>
  <c r="G559" i="19"/>
  <c r="B751" i="19"/>
  <c r="M79" i="19"/>
  <c r="I795" i="19"/>
  <c r="O617" i="19"/>
  <c r="H207" i="19"/>
  <c r="O293" i="19"/>
  <c r="O844" i="19"/>
  <c r="G745" i="19"/>
  <c r="G1155" i="19"/>
  <c r="H433" i="19"/>
  <c r="I112" i="19"/>
  <c r="O34" i="19"/>
  <c r="I871" i="19"/>
  <c r="I331" i="19"/>
  <c r="I208" i="19"/>
  <c r="O836" i="19"/>
  <c r="I554" i="19"/>
  <c r="G702" i="19"/>
  <c r="G150" i="19"/>
  <c r="G114" i="19"/>
  <c r="I474" i="19"/>
  <c r="H874" i="19"/>
  <c r="G892" i="19"/>
  <c r="O763" i="19"/>
  <c r="G610" i="19"/>
  <c r="I815" i="19"/>
  <c r="N874" i="19"/>
  <c r="G855" i="19"/>
  <c r="C506" i="19"/>
  <c r="A343" i="19"/>
  <c r="I875" i="19"/>
  <c r="I77" i="19"/>
  <c r="B346" i="19"/>
  <c r="H110" i="19"/>
  <c r="M319" i="19"/>
  <c r="H611" i="19"/>
  <c r="N696" i="19"/>
  <c r="O913" i="19"/>
  <c r="H409" i="19"/>
  <c r="N36" i="19"/>
  <c r="H740" i="19"/>
  <c r="H218" i="19"/>
  <c r="I451" i="19"/>
  <c r="G874" i="19"/>
  <c r="K346" i="19"/>
  <c r="H411" i="19"/>
  <c r="G207" i="19"/>
  <c r="N906" i="19"/>
  <c r="G314" i="19"/>
  <c r="N744" i="19"/>
  <c r="O226" i="19"/>
  <c r="H675" i="19"/>
  <c r="H650" i="19"/>
  <c r="I994" i="19"/>
  <c r="O448" i="19"/>
  <c r="N1006" i="19"/>
  <c r="O731" i="19"/>
  <c r="M960" i="19"/>
  <c r="M62" i="19"/>
  <c r="H929" i="19"/>
  <c r="M685" i="19"/>
  <c r="M829" i="19"/>
  <c r="I388" i="19"/>
  <c r="N1105" i="19"/>
  <c r="G827" i="19"/>
  <c r="H1098" i="19"/>
  <c r="N631" i="19"/>
  <c r="O1076" i="19"/>
  <c r="C356" i="19"/>
  <c r="M1074" i="19"/>
  <c r="G1027" i="19"/>
  <c r="G275" i="19"/>
  <c r="N980" i="19"/>
  <c r="H382" i="19"/>
  <c r="H389" i="19"/>
  <c r="N658" i="19"/>
  <c r="G366" i="19"/>
  <c r="N1145" i="19"/>
  <c r="I487" i="19"/>
  <c r="H65" i="19"/>
  <c r="C21" i="19"/>
  <c r="H12" i="19"/>
  <c r="I325" i="19"/>
  <c r="G58" i="19"/>
  <c r="N749" i="19"/>
  <c r="H60" i="19"/>
  <c r="I758" i="19"/>
  <c r="N178" i="19"/>
  <c r="G873" i="19"/>
  <c r="I539" i="19"/>
  <c r="G716" i="19"/>
  <c r="I720" i="19"/>
  <c r="O1105" i="19"/>
  <c r="O18" i="19"/>
  <c r="M23" i="19"/>
  <c r="O240" i="19"/>
  <c r="O434" i="19"/>
  <c r="H444" i="19"/>
  <c r="G553" i="19"/>
  <c r="I802" i="19"/>
  <c r="N99" i="19"/>
  <c r="I1003" i="19"/>
  <c r="O338" i="19"/>
  <c r="O208" i="19"/>
  <c r="N1126" i="19"/>
  <c r="O1030" i="19"/>
  <c r="I110" i="19"/>
  <c r="N578" i="19"/>
  <c r="O722" i="19"/>
  <c r="H470" i="19"/>
  <c r="O543" i="19"/>
  <c r="B826" i="19"/>
  <c r="M514" i="19"/>
  <c r="O442" i="19"/>
  <c r="G991" i="19"/>
  <c r="M169" i="19"/>
  <c r="O101" i="19"/>
  <c r="I568" i="19"/>
  <c r="N567" i="19"/>
  <c r="I553" i="19"/>
  <c r="A195" i="19"/>
  <c r="H541" i="19"/>
  <c r="N100" i="19"/>
  <c r="O469" i="19"/>
  <c r="O777" i="19"/>
  <c r="M356" i="19"/>
  <c r="H578" i="19"/>
  <c r="G944" i="19"/>
  <c r="H815" i="19"/>
  <c r="G909" i="19"/>
  <c r="H11" i="19"/>
  <c r="H27" i="19"/>
  <c r="M755" i="19"/>
  <c r="O92" i="19"/>
  <c r="I563" i="19"/>
  <c r="G28" i="19"/>
  <c r="N115" i="19"/>
  <c r="G95" i="19"/>
  <c r="N920" i="19"/>
  <c r="H53" i="19"/>
  <c r="M368" i="19"/>
  <c r="H193" i="19"/>
  <c r="A10" i="19"/>
  <c r="O668" i="19"/>
  <c r="H93" i="19"/>
  <c r="I468" i="19"/>
  <c r="G448" i="19"/>
  <c r="M373" i="19"/>
  <c r="N487" i="19"/>
  <c r="G149" i="19"/>
  <c r="H221" i="19"/>
  <c r="H57" i="19"/>
  <c r="O340" i="19"/>
  <c r="H589" i="19"/>
  <c r="G70" i="19"/>
  <c r="M423" i="19"/>
  <c r="N342" i="19"/>
  <c r="N982" i="19"/>
  <c r="H735" i="19"/>
  <c r="I756" i="19"/>
  <c r="N586" i="19"/>
  <c r="O59" i="19"/>
  <c r="I620" i="19"/>
  <c r="N587" i="19"/>
  <c r="O926" i="19"/>
  <c r="G580" i="19"/>
  <c r="O203" i="19"/>
  <c r="N304" i="19"/>
  <c r="N351" i="19"/>
  <c r="G110" i="19"/>
  <c r="I612" i="19"/>
  <c r="O742" i="19"/>
  <c r="I543" i="19"/>
  <c r="O152" i="19"/>
  <c r="N155" i="19"/>
  <c r="O670" i="19"/>
  <c r="I1122" i="19"/>
  <c r="O62" i="19"/>
  <c r="G356" i="19"/>
  <c r="I703" i="19"/>
  <c r="G833" i="19"/>
  <c r="M913" i="19"/>
  <c r="I67" i="19"/>
  <c r="N408" i="19"/>
  <c r="H932" i="19"/>
  <c r="O854" i="19"/>
  <c r="N1030" i="19"/>
  <c r="G259" i="19"/>
  <c r="N634" i="19"/>
  <c r="O41" i="19"/>
  <c r="M620" i="19"/>
  <c r="M302" i="19"/>
  <c r="H45" i="19"/>
  <c r="N1052" i="19"/>
  <c r="M843" i="19"/>
  <c r="H729" i="19"/>
  <c r="G45" i="19"/>
  <c r="B603" i="19"/>
  <c r="O615" i="19"/>
  <c r="I215" i="19"/>
  <c r="M78" i="19"/>
  <c r="O370" i="19"/>
  <c r="B420" i="19"/>
  <c r="I864" i="19"/>
  <c r="G209" i="19"/>
  <c r="O666" i="19"/>
  <c r="M148" i="19"/>
  <c r="H80" i="19"/>
  <c r="G627" i="19"/>
  <c r="H664" i="19"/>
  <c r="O850" i="19"/>
  <c r="M489" i="19"/>
  <c r="M102" i="19"/>
  <c r="M1130" i="19"/>
  <c r="G133" i="19"/>
  <c r="G875" i="19"/>
  <c r="M1039" i="19"/>
  <c r="N1129" i="19"/>
  <c r="N970" i="19"/>
  <c r="O856" i="19"/>
  <c r="I901" i="19"/>
  <c r="M876" i="19"/>
  <c r="N247" i="19"/>
  <c r="G1069" i="19"/>
  <c r="G479" i="19"/>
  <c r="O544" i="19"/>
  <c r="I218" i="19"/>
  <c r="N299" i="19"/>
  <c r="N608" i="19"/>
  <c r="L420" i="19"/>
  <c r="O801" i="19"/>
  <c r="M460" i="19"/>
  <c r="H467" i="19"/>
  <c r="O333" i="19"/>
  <c r="G377" i="19"/>
  <c r="I1011" i="19"/>
  <c r="H144" i="19"/>
  <c r="I338" i="19"/>
  <c r="H945" i="19"/>
  <c r="A158" i="19"/>
  <c r="O276" i="19"/>
  <c r="H581" i="19"/>
  <c r="H523" i="19"/>
  <c r="G194" i="19"/>
  <c r="O1148" i="19"/>
  <c r="I209" i="19"/>
  <c r="O145" i="19"/>
  <c r="G1132" i="19"/>
  <c r="N1102" i="19"/>
  <c r="M878" i="19"/>
  <c r="O573" i="19"/>
  <c r="G442" i="19"/>
  <c r="H1001" i="19"/>
  <c r="N582" i="19"/>
  <c r="H714" i="19"/>
  <c r="M596" i="19"/>
  <c r="M831" i="19"/>
  <c r="G120" i="19"/>
  <c r="G594" i="19"/>
  <c r="N1045" i="19"/>
  <c r="M665" i="19"/>
  <c r="G148" i="19"/>
  <c r="M995" i="19"/>
  <c r="O629" i="19"/>
  <c r="M453" i="19"/>
  <c r="N812" i="19"/>
  <c r="O848" i="19"/>
  <c r="A306" i="19"/>
  <c r="I1109" i="19"/>
  <c r="O297" i="19"/>
  <c r="O783" i="19"/>
  <c r="N157" i="19"/>
  <c r="G729" i="19"/>
  <c r="B604" i="19"/>
  <c r="N1092" i="19"/>
  <c r="M688" i="19"/>
  <c r="I108" i="19"/>
  <c r="M480" i="19"/>
  <c r="H1029" i="19"/>
  <c r="M847" i="19"/>
  <c r="I749" i="19"/>
  <c r="O250" i="19"/>
  <c r="I102" i="19"/>
  <c r="G86" i="19"/>
  <c r="H918" i="19"/>
  <c r="G548" i="19"/>
  <c r="G852" i="19"/>
  <c r="I465" i="19"/>
  <c r="I966" i="19"/>
  <c r="G296" i="19"/>
  <c r="O510" i="19"/>
  <c r="O637" i="19"/>
  <c r="O433" i="19"/>
  <c r="H843" i="19"/>
  <c r="H725" i="19"/>
  <c r="I185" i="19"/>
  <c r="N719" i="19"/>
  <c r="N297" i="19"/>
  <c r="I65" i="19"/>
  <c r="I367" i="19"/>
  <c r="G539" i="19"/>
  <c r="N252" i="19"/>
  <c r="C273" i="19"/>
  <c r="N191" i="19"/>
  <c r="M736" i="19"/>
  <c r="O920" i="19"/>
  <c r="M740" i="19"/>
  <c r="M133" i="19"/>
  <c r="N83" i="19"/>
  <c r="M767" i="19"/>
  <c r="N513" i="19"/>
  <c r="I76" i="19"/>
  <c r="N471" i="19"/>
  <c r="I740" i="19"/>
  <c r="N298" i="19"/>
  <c r="N133" i="19"/>
  <c r="N81" i="19"/>
  <c r="M53" i="19"/>
  <c r="N555" i="19"/>
  <c r="H582" i="19"/>
  <c r="G771" i="19"/>
  <c r="N956" i="19"/>
  <c r="H1142" i="19"/>
  <c r="I180" i="19"/>
  <c r="H585" i="19"/>
  <c r="H178" i="19"/>
  <c r="I17" i="19"/>
  <c r="G744" i="19"/>
  <c r="O570" i="19"/>
  <c r="M669" i="19"/>
  <c r="I660" i="19"/>
  <c r="I1049" i="19"/>
  <c r="O317" i="19"/>
  <c r="G153" i="19"/>
  <c r="M519" i="19"/>
  <c r="H600" i="19"/>
  <c r="N165" i="19"/>
  <c r="N702" i="19"/>
  <c r="N474" i="19"/>
  <c r="O500" i="19"/>
  <c r="G189" i="19"/>
  <c r="O257" i="19"/>
  <c r="N703" i="19"/>
  <c r="H552" i="19"/>
  <c r="G277" i="19"/>
  <c r="N279" i="19"/>
  <c r="H1132" i="19"/>
  <c r="M667" i="19"/>
  <c r="G856" i="19"/>
  <c r="I279" i="19"/>
  <c r="N705" i="19"/>
  <c r="F679" i="19"/>
  <c r="M841" i="19"/>
  <c r="H769" i="19"/>
  <c r="I447" i="19"/>
  <c r="H181" i="19"/>
  <c r="I1032" i="19"/>
  <c r="B974" i="19"/>
  <c r="I155" i="19"/>
  <c r="H1079" i="19"/>
  <c r="H333" i="19"/>
  <c r="I459" i="19"/>
  <c r="G251" i="19"/>
  <c r="I87" i="19"/>
  <c r="O721" i="19"/>
  <c r="I63" i="19"/>
  <c r="I806" i="19"/>
  <c r="M459" i="19"/>
  <c r="H494" i="19"/>
  <c r="I442" i="19"/>
  <c r="M638" i="19"/>
  <c r="N263" i="19"/>
  <c r="G1106" i="19"/>
  <c r="H356" i="19"/>
  <c r="H38" i="19"/>
  <c r="I335" i="19"/>
  <c r="H432" i="19"/>
  <c r="G563" i="19"/>
  <c r="H790" i="19"/>
  <c r="N694" i="19"/>
  <c r="I201" i="19"/>
  <c r="I223" i="19"/>
  <c r="M709" i="19"/>
  <c r="M57" i="19"/>
  <c r="H370" i="19"/>
  <c r="O268" i="19"/>
  <c r="N253" i="19"/>
  <c r="O38" i="19"/>
  <c r="I672" i="19"/>
  <c r="N1135" i="19"/>
  <c r="O252" i="19"/>
  <c r="O987" i="19"/>
  <c r="G35" i="19"/>
  <c r="G172" i="19"/>
  <c r="M796" i="19"/>
  <c r="I264" i="19"/>
  <c r="I776" i="19"/>
  <c r="N169" i="19"/>
  <c r="I904" i="19"/>
  <c r="N597" i="19"/>
  <c r="G25" i="19"/>
  <c r="M573" i="19"/>
  <c r="H118" i="19"/>
  <c r="O519" i="19"/>
  <c r="N436" i="19"/>
  <c r="G678" i="19"/>
  <c r="H85" i="19"/>
  <c r="I220" i="19"/>
  <c r="M708" i="19"/>
  <c r="O389" i="19"/>
  <c r="I351" i="19"/>
  <c r="N324" i="19"/>
  <c r="O648" i="19"/>
  <c r="K605" i="19"/>
  <c r="L494" i="19"/>
  <c r="N592" i="19"/>
  <c r="M315" i="19"/>
  <c r="O193" i="19"/>
  <c r="I695" i="19"/>
  <c r="O336" i="19"/>
  <c r="O60" i="19"/>
  <c r="N488" i="19"/>
  <c r="N767" i="19"/>
  <c r="M510" i="19"/>
  <c r="I809" i="19"/>
  <c r="N358" i="19"/>
  <c r="O330" i="19"/>
  <c r="I1020" i="19"/>
  <c r="O471" i="19"/>
  <c r="G248" i="19"/>
  <c r="N584" i="19"/>
  <c r="N780" i="19"/>
  <c r="H151" i="19"/>
  <c r="I986" i="19"/>
  <c r="H562" i="19"/>
  <c r="G1056" i="19"/>
  <c r="N928" i="19"/>
  <c r="H857" i="19"/>
  <c r="M539" i="19"/>
  <c r="I625" i="19"/>
  <c r="N371" i="19"/>
  <c r="O241" i="19"/>
  <c r="N334" i="19"/>
  <c r="M473" i="19"/>
  <c r="G422" i="19"/>
  <c r="A753" i="19"/>
  <c r="O20" i="19"/>
  <c r="O287" i="19"/>
  <c r="O367" i="19"/>
  <c r="G903" i="19"/>
  <c r="I782" i="19"/>
  <c r="O155" i="19"/>
  <c r="M422" i="19"/>
  <c r="I405" i="19"/>
  <c r="O365" i="19"/>
  <c r="M44" i="19"/>
  <c r="O437" i="19"/>
  <c r="O956" i="19"/>
  <c r="G686" i="19"/>
  <c r="I604" i="19"/>
  <c r="B348" i="19"/>
  <c r="H677" i="19"/>
  <c r="O1154" i="19"/>
  <c r="O755" i="19"/>
  <c r="G293" i="19"/>
  <c r="O622" i="19"/>
  <c r="I1058" i="19"/>
  <c r="L87" i="19"/>
  <c r="M135" i="19"/>
  <c r="H699" i="19"/>
  <c r="H466" i="19"/>
  <c r="N104" i="19"/>
  <c r="O1020" i="19"/>
  <c r="G478" i="19"/>
  <c r="I700" i="19"/>
  <c r="I453" i="19"/>
  <c r="N609" i="19"/>
  <c r="O653" i="19"/>
  <c r="I139" i="19"/>
  <c r="H955" i="19"/>
  <c r="O299" i="19"/>
  <c r="N1153" i="19"/>
  <c r="I735" i="19"/>
  <c r="O982" i="19"/>
  <c r="G727" i="19"/>
  <c r="H797" i="19"/>
  <c r="G1137" i="19"/>
  <c r="M441" i="19"/>
  <c r="O149" i="19"/>
  <c r="N636" i="19"/>
  <c r="I1146" i="19"/>
  <c r="G261" i="19"/>
  <c r="M927" i="19"/>
  <c r="I211" i="19"/>
  <c r="N891" i="19"/>
  <c r="N77" i="19"/>
  <c r="H702" i="19"/>
  <c r="G487" i="19"/>
  <c r="O719" i="19"/>
  <c r="C798" i="19"/>
  <c r="H1032" i="19"/>
  <c r="H439" i="19"/>
  <c r="I1111" i="19"/>
  <c r="O256" i="19"/>
  <c r="I192" i="19"/>
  <c r="I983" i="19"/>
  <c r="M16" i="19"/>
  <c r="M809" i="19"/>
  <c r="G1035" i="19"/>
  <c r="O1058" i="19"/>
  <c r="G1094" i="19"/>
  <c r="O867" i="19"/>
  <c r="O873" i="19"/>
  <c r="M928" i="19"/>
  <c r="I778" i="19"/>
  <c r="N819" i="19"/>
  <c r="I300" i="19"/>
  <c r="I500" i="19"/>
  <c r="I515" i="19"/>
  <c r="M367" i="19"/>
  <c r="O611" i="19"/>
  <c r="O623" i="19"/>
  <c r="G406" i="19"/>
  <c r="N1137" i="19"/>
  <c r="N433" i="19"/>
  <c r="M943" i="19"/>
  <c r="H1119" i="19"/>
  <c r="H1014" i="19"/>
  <c r="N521" i="19"/>
  <c r="H1144" i="19"/>
  <c r="O921" i="19"/>
  <c r="O349" i="19"/>
  <c r="H925" i="19"/>
  <c r="N164" i="19"/>
  <c r="I732" i="19"/>
  <c r="I1076" i="19"/>
  <c r="A494" i="19"/>
  <c r="M763" i="19"/>
  <c r="I148" i="19"/>
  <c r="M400" i="19"/>
  <c r="O797" i="19"/>
  <c r="N535" i="19"/>
  <c r="I587" i="19"/>
  <c r="O576" i="19"/>
  <c r="I930" i="19"/>
  <c r="G1061" i="19"/>
  <c r="H538" i="19"/>
  <c r="M314" i="19"/>
  <c r="I797" i="19"/>
  <c r="H123" i="19"/>
  <c r="O650" i="19"/>
  <c r="G116" i="19"/>
  <c r="G817" i="19"/>
  <c r="N725" i="19"/>
  <c r="O1108" i="19"/>
  <c r="O984" i="19"/>
  <c r="I349" i="19"/>
  <c r="I365" i="19"/>
  <c r="N977" i="19"/>
  <c r="M890" i="19"/>
  <c r="N1125" i="19"/>
  <c r="I607" i="19"/>
  <c r="O1138" i="19"/>
  <c r="M1054" i="19"/>
  <c r="G938" i="19"/>
  <c r="M822" i="19"/>
  <c r="I724" i="19"/>
  <c r="N872" i="19"/>
  <c r="G173" i="19"/>
  <c r="H89" i="19"/>
  <c r="I272" i="19"/>
  <c r="I357" i="19"/>
  <c r="N1131" i="19"/>
  <c r="G657" i="19"/>
  <c r="M502" i="19"/>
  <c r="I181" i="19"/>
  <c r="M512" i="19"/>
  <c r="G774" i="19"/>
  <c r="O853" i="19"/>
  <c r="M478" i="19"/>
  <c r="M470" i="19"/>
  <c r="I572" i="19"/>
  <c r="I1071" i="19"/>
  <c r="O1025" i="19"/>
  <c r="G424" i="19"/>
  <c r="H743" i="19"/>
  <c r="M1067" i="19"/>
  <c r="N379" i="19"/>
  <c r="G811" i="19"/>
  <c r="G1066" i="19"/>
  <c r="G1002" i="19"/>
  <c r="G966" i="19"/>
  <c r="C137" i="19"/>
  <c r="H860" i="19"/>
  <c r="C791" i="19"/>
  <c r="C138" i="19"/>
  <c r="C63" i="19"/>
  <c r="H377" i="19"/>
  <c r="O1041" i="19"/>
  <c r="A676" i="19"/>
  <c r="C434" i="19"/>
  <c r="I688" i="19"/>
  <c r="B641" i="19"/>
  <c r="I167" i="19"/>
  <c r="N506" i="19"/>
  <c r="N969" i="19"/>
  <c r="M784" i="19"/>
  <c r="G1113" i="19"/>
  <c r="B122" i="19"/>
  <c r="G930" i="19"/>
  <c r="O105" i="19"/>
  <c r="M616" i="19"/>
  <c r="H867" i="19"/>
  <c r="O845" i="19"/>
  <c r="M955" i="19"/>
  <c r="C505" i="19"/>
  <c r="H1095" i="19"/>
  <c r="M490" i="19"/>
  <c r="H557" i="19"/>
  <c r="I461" i="19"/>
  <c r="N260" i="19"/>
  <c r="M488" i="19"/>
  <c r="M694" i="19"/>
  <c r="I733" i="19"/>
  <c r="H329" i="19"/>
  <c r="G886" i="19"/>
  <c r="A750" i="19"/>
  <c r="I261" i="19"/>
  <c r="G181" i="19"/>
  <c r="I97" i="19"/>
  <c r="N484" i="19"/>
  <c r="O227" i="19"/>
  <c r="H485" i="19"/>
  <c r="I43" i="19"/>
  <c r="H1131" i="19"/>
  <c r="M366" i="19"/>
  <c r="N305" i="19"/>
  <c r="M392" i="19"/>
  <c r="N103" i="19"/>
  <c r="N60" i="19"/>
  <c r="M154" i="19"/>
  <c r="O315" i="19"/>
  <c r="N756" i="19"/>
  <c r="H431" i="19"/>
  <c r="N338" i="19"/>
  <c r="N285" i="19"/>
  <c r="O368" i="19"/>
  <c r="G1051" i="19"/>
  <c r="I1004" i="19"/>
  <c r="N692" i="19"/>
  <c r="I354" i="19"/>
  <c r="M1052" i="19"/>
  <c r="I503" i="19"/>
  <c r="N776" i="19"/>
  <c r="O1044" i="19"/>
  <c r="M820" i="19"/>
  <c r="H1018" i="19"/>
  <c r="O961" i="19"/>
  <c r="C1055" i="19"/>
  <c r="G1128" i="19"/>
  <c r="I1133" i="19"/>
  <c r="I918" i="19"/>
  <c r="M986" i="19"/>
  <c r="O745" i="19"/>
  <c r="O482" i="19"/>
  <c r="C432" i="19"/>
  <c r="N1076" i="19"/>
  <c r="M1038" i="19"/>
  <c r="I821" i="19"/>
  <c r="M508" i="19"/>
  <c r="C835" i="19"/>
  <c r="H877" i="19"/>
  <c r="H991" i="19"/>
  <c r="B642" i="19"/>
  <c r="H981" i="19"/>
  <c r="O811" i="19"/>
  <c r="M547" i="19"/>
  <c r="G777" i="19"/>
  <c r="G493" i="19"/>
  <c r="N552" i="19"/>
  <c r="I868" i="19"/>
  <c r="M895" i="19"/>
  <c r="I258" i="19"/>
  <c r="M45" i="19"/>
  <c r="M253" i="19"/>
  <c r="H293" i="19"/>
  <c r="I1056" i="19"/>
  <c r="O841" i="19"/>
  <c r="H891" i="19"/>
  <c r="C173" i="19"/>
  <c r="N588" i="19"/>
  <c r="I992" i="19"/>
  <c r="N419" i="19"/>
  <c r="M1112" i="19"/>
  <c r="O320" i="19"/>
  <c r="K420" i="19"/>
  <c r="H145" i="19"/>
  <c r="N210" i="19"/>
  <c r="O872" i="19"/>
  <c r="I490" i="19"/>
  <c r="I1017" i="19"/>
  <c r="M721" i="19"/>
  <c r="C656" i="19"/>
  <c r="N867" i="19"/>
  <c r="G733" i="19"/>
  <c r="I1100" i="19"/>
  <c r="N508" i="19"/>
  <c r="G511" i="19"/>
  <c r="G1021" i="19"/>
  <c r="N282" i="19"/>
  <c r="O540" i="19"/>
  <c r="N92" i="19"/>
  <c r="G738" i="19"/>
  <c r="H752" i="19"/>
  <c r="I188" i="19"/>
  <c r="G749" i="19"/>
  <c r="N831" i="19"/>
  <c r="I504" i="19"/>
  <c r="H517" i="19"/>
  <c r="M142" i="19"/>
  <c r="H633" i="19"/>
  <c r="I664" i="19"/>
  <c r="M1015" i="19"/>
  <c r="G364" i="19"/>
  <c r="I818" i="19"/>
  <c r="N849" i="19"/>
  <c r="G1071" i="19"/>
  <c r="N1149" i="19"/>
  <c r="O685" i="19"/>
  <c r="G904" i="19"/>
  <c r="G488" i="19"/>
  <c r="G1156" i="19"/>
  <c r="A898" i="19"/>
  <c r="M424" i="19"/>
  <c r="N150" i="19"/>
  <c r="O631" i="19"/>
  <c r="N510" i="19"/>
  <c r="M696" i="19"/>
  <c r="H1055" i="19"/>
  <c r="M1111" i="19"/>
  <c r="N1069" i="19"/>
  <c r="H534" i="19"/>
  <c r="H728" i="19"/>
  <c r="H687" i="19"/>
  <c r="N728" i="19"/>
  <c r="I541" i="19"/>
  <c r="N661" i="19"/>
  <c r="I438" i="19"/>
  <c r="G1023" i="19"/>
  <c r="N618" i="19"/>
  <c r="H352" i="19"/>
  <c r="H245" i="19"/>
  <c r="O445" i="19"/>
  <c r="N1080" i="19"/>
  <c r="O911" i="19"/>
  <c r="O673" i="19"/>
  <c r="O613" i="19"/>
  <c r="I987" i="19"/>
  <c r="O166" i="19"/>
  <c r="B567" i="19"/>
  <c r="M1036" i="19"/>
  <c r="O1045" i="19"/>
  <c r="N779" i="19"/>
  <c r="C903" i="19"/>
  <c r="I1148" i="19"/>
  <c r="H1064" i="19"/>
  <c r="C353" i="19"/>
  <c r="G645" i="19"/>
  <c r="H648" i="19"/>
  <c r="N360" i="19"/>
  <c r="N480" i="19"/>
  <c r="G213" i="19"/>
  <c r="M587" i="19"/>
  <c r="C20" i="19"/>
  <c r="G613" i="19"/>
  <c r="M1035" i="19"/>
  <c r="N319" i="19"/>
  <c r="H247" i="19"/>
  <c r="O709" i="19"/>
  <c r="M331" i="19"/>
  <c r="O378" i="19"/>
  <c r="O332" i="19"/>
  <c r="N797" i="19"/>
  <c r="H1090" i="19"/>
  <c r="H733" i="19"/>
  <c r="I963" i="19"/>
  <c r="C283" i="19"/>
  <c r="C209" i="19"/>
  <c r="M607" i="19"/>
  <c r="C395" i="19"/>
  <c r="I1106" i="19"/>
  <c r="O118" i="19"/>
  <c r="N1061" i="19"/>
  <c r="H947" i="19"/>
  <c r="N524" i="19"/>
  <c r="H580" i="19"/>
  <c r="N90" i="19"/>
  <c r="G999" i="19"/>
  <c r="I173" i="19"/>
  <c r="C865" i="19"/>
  <c r="C765" i="19"/>
  <c r="I917" i="19"/>
  <c r="B753" i="19"/>
  <c r="M1003" i="19"/>
  <c r="G90" i="19"/>
  <c r="N823" i="19"/>
  <c r="C533" i="19"/>
  <c r="H228" i="19"/>
  <c r="M372" i="19"/>
  <c r="H32" i="19"/>
  <c r="H219" i="19"/>
  <c r="M472" i="19"/>
  <c r="I895" i="19"/>
  <c r="G1129" i="19"/>
  <c r="I996" i="19"/>
  <c r="M781" i="19"/>
  <c r="M526" i="19"/>
  <c r="I764" i="19"/>
  <c r="G977" i="19"/>
  <c r="H406" i="19"/>
  <c r="O246" i="19"/>
  <c r="I1007" i="19"/>
  <c r="I706" i="19"/>
  <c r="N778" i="19"/>
  <c r="I621" i="19"/>
  <c r="H975" i="19"/>
  <c r="H395" i="19"/>
  <c r="H656" i="19"/>
  <c r="M448" i="19"/>
  <c r="N709" i="19"/>
  <c r="N422" i="19"/>
  <c r="I837" i="19"/>
  <c r="G808" i="19"/>
  <c r="O725" i="19"/>
  <c r="N886" i="19"/>
  <c r="O930" i="19"/>
  <c r="B1049" i="19"/>
  <c r="I784" i="19"/>
  <c r="B1121" i="19"/>
  <c r="O963" i="19"/>
  <c r="H591" i="19"/>
  <c r="O210" i="19"/>
  <c r="H704" i="19"/>
  <c r="H169" i="19"/>
  <c r="I905" i="19"/>
  <c r="I781" i="19"/>
  <c r="N699" i="19"/>
  <c r="H535" i="19"/>
  <c r="M646" i="19"/>
  <c r="I858" i="19"/>
  <c r="G1119" i="19"/>
  <c r="I661" i="19"/>
  <c r="G893" i="19"/>
  <c r="H914" i="19"/>
  <c r="M891" i="19"/>
  <c r="G830" i="19"/>
  <c r="C495" i="19"/>
  <c r="B977" i="19"/>
  <c r="H502" i="19"/>
  <c r="C99" i="19"/>
  <c r="H789" i="19"/>
  <c r="N318" i="19"/>
  <c r="O702" i="19"/>
  <c r="G1033" i="19"/>
  <c r="O696" i="19"/>
  <c r="M113" i="19"/>
  <c r="M925" i="19"/>
  <c r="M320" i="19"/>
  <c r="N1144" i="19"/>
  <c r="G770" i="19"/>
  <c r="N499" i="19"/>
  <c r="H826" i="19"/>
  <c r="C650" i="19"/>
  <c r="N616" i="19"/>
  <c r="L938" i="19"/>
  <c r="N274" i="19"/>
  <c r="N18" i="19"/>
  <c r="G762" i="19"/>
  <c r="N434" i="19"/>
  <c r="M773" i="19"/>
  <c r="I726" i="19"/>
  <c r="N339" i="19"/>
  <c r="G265" i="19"/>
  <c r="I619" i="19"/>
  <c r="N720" i="19"/>
  <c r="I1108" i="19"/>
  <c r="M996" i="19"/>
  <c r="I525" i="19"/>
  <c r="N924" i="19"/>
  <c r="N880" i="19"/>
  <c r="M1025" i="19"/>
  <c r="O993" i="19"/>
  <c r="I910" i="19"/>
  <c r="N837" i="19"/>
  <c r="G994" i="19"/>
  <c r="I869" i="19"/>
  <c r="M672" i="19"/>
  <c r="H1084" i="19"/>
  <c r="N399" i="19"/>
  <c r="H827" i="19"/>
  <c r="M912" i="19"/>
  <c r="O179" i="19"/>
  <c r="N393" i="19"/>
  <c r="O880" i="19"/>
  <c r="I913" i="19"/>
  <c r="H1134" i="19"/>
  <c r="H446" i="19"/>
  <c r="M63" i="19"/>
  <c r="I222" i="19"/>
  <c r="G1018" i="19"/>
  <c r="H1103" i="19"/>
  <c r="M984" i="19"/>
  <c r="I803" i="19"/>
  <c r="G1062" i="19"/>
  <c r="M775" i="19"/>
  <c r="H568" i="19"/>
  <c r="N966" i="19"/>
  <c r="C541" i="19"/>
  <c r="H315" i="19"/>
  <c r="N259" i="19"/>
  <c r="M42" i="19"/>
  <c r="N986" i="19"/>
  <c r="O1088" i="19"/>
  <c r="M940" i="19"/>
  <c r="I312" i="19"/>
  <c r="H671" i="19"/>
  <c r="M553" i="19"/>
  <c r="H331" i="19"/>
  <c r="G1151" i="19"/>
  <c r="G394" i="19"/>
  <c r="H951" i="19"/>
  <c r="M557" i="19"/>
  <c r="C433" i="19"/>
  <c r="I831" i="19"/>
  <c r="H903" i="19"/>
  <c r="N856" i="19"/>
  <c r="N350" i="19"/>
  <c r="I216" i="19"/>
  <c r="M916" i="19"/>
  <c r="O652" i="19"/>
  <c r="G46" i="19"/>
  <c r="G964" i="19"/>
  <c r="N933" i="19"/>
  <c r="H946" i="19"/>
  <c r="N1011" i="19"/>
  <c r="G679" i="19"/>
  <c r="M1153" i="19"/>
  <c r="M560" i="19"/>
  <c r="G1006" i="19"/>
  <c r="M819" i="19"/>
  <c r="M1020" i="19"/>
  <c r="N815" i="19"/>
  <c r="G1090" i="19"/>
  <c r="H192" i="19"/>
  <c r="M933" i="19"/>
  <c r="A901" i="19"/>
  <c r="O738" i="19"/>
  <c r="N26" i="19"/>
  <c r="G175" i="19"/>
  <c r="H778" i="19"/>
  <c r="O325" i="19"/>
  <c r="I988" i="19"/>
  <c r="M1064" i="19"/>
  <c r="L531" i="19"/>
  <c r="I558" i="19"/>
  <c r="H346" i="19"/>
  <c r="G652" i="19"/>
  <c r="H58" i="19"/>
  <c r="G517" i="19"/>
  <c r="H642" i="19"/>
  <c r="O684" i="19"/>
  <c r="N258" i="19"/>
  <c r="M1117" i="19"/>
  <c r="I1153" i="19"/>
  <c r="M475" i="19"/>
  <c r="H968" i="19"/>
  <c r="M734" i="19"/>
  <c r="O223" i="19"/>
  <c r="I1061" i="19"/>
  <c r="G690" i="19"/>
  <c r="G1141" i="19"/>
  <c r="B385" i="19"/>
  <c r="G1074" i="19"/>
  <c r="I801" i="19"/>
  <c r="C692" i="19"/>
  <c r="I131" i="19"/>
  <c r="N542" i="19"/>
  <c r="O931" i="19"/>
  <c r="I954" i="19"/>
  <c r="A787" i="19"/>
  <c r="M1034" i="19"/>
  <c r="A565" i="19"/>
  <c r="B901" i="19"/>
  <c r="I498" i="19"/>
  <c r="G730" i="19"/>
  <c r="I1119" i="19"/>
  <c r="H1088" i="19"/>
  <c r="M651" i="19"/>
  <c r="I61" i="19"/>
  <c r="G216" i="19"/>
  <c r="H674" i="19"/>
  <c r="G373" i="19"/>
  <c r="H416" i="19"/>
  <c r="O739" i="19"/>
  <c r="N229" i="19"/>
  <c r="G842" i="19"/>
  <c r="B790" i="19"/>
  <c r="I470" i="19"/>
  <c r="M334" i="19"/>
  <c r="G575" i="19"/>
  <c r="M980" i="19"/>
  <c r="M1146" i="19"/>
  <c r="I1155" i="19"/>
  <c r="N893" i="19"/>
  <c r="H689" i="19"/>
  <c r="O463" i="19"/>
  <c r="I951" i="19"/>
  <c r="G740" i="19"/>
  <c r="G146" i="19"/>
  <c r="H915" i="19"/>
  <c r="M844" i="19"/>
  <c r="M867" i="19"/>
  <c r="O1018" i="19"/>
  <c r="M683" i="19"/>
  <c r="N757" i="19"/>
  <c r="M934" i="19"/>
  <c r="O261" i="19"/>
  <c r="H887" i="19"/>
  <c r="M1150" i="19"/>
  <c r="H1117" i="19"/>
  <c r="O991" i="19"/>
  <c r="G1114" i="19"/>
  <c r="H191" i="19"/>
  <c r="O575" i="19"/>
  <c r="H359" i="19"/>
  <c r="O1118" i="19"/>
  <c r="H405" i="19"/>
  <c r="O689" i="19"/>
  <c r="O1156" i="19"/>
  <c r="M961" i="19"/>
  <c r="I56" i="19"/>
  <c r="I748" i="19"/>
  <c r="H895" i="19"/>
  <c r="H212" i="19"/>
  <c r="C914" i="19"/>
  <c r="H721" i="19"/>
  <c r="G1029" i="19"/>
  <c r="H1060" i="19"/>
  <c r="G546" i="19"/>
  <c r="I772" i="19"/>
  <c r="M363" i="19"/>
  <c r="H453" i="19"/>
  <c r="G91" i="19"/>
  <c r="N276" i="19"/>
  <c r="M930" i="19"/>
  <c r="O358" i="19"/>
  <c r="G20" i="19"/>
  <c r="O328" i="19"/>
  <c r="B715" i="19"/>
  <c r="H101" i="19"/>
  <c r="I746" i="19"/>
  <c r="C397" i="19"/>
  <c r="O24" i="19"/>
  <c r="K642" i="19"/>
  <c r="O230" i="19"/>
  <c r="H746" i="19"/>
  <c r="O734" i="19"/>
  <c r="N514" i="19"/>
  <c r="H654" i="19"/>
  <c r="F716" i="19"/>
  <c r="N540" i="19"/>
  <c r="C717" i="19"/>
  <c r="I476" i="19"/>
  <c r="N442" i="19"/>
  <c r="O563" i="19"/>
  <c r="M872" i="19"/>
  <c r="C803" i="19"/>
  <c r="M1063" i="19"/>
  <c r="N591" i="19"/>
  <c r="I671" i="19"/>
  <c r="O1139" i="19"/>
  <c r="H684" i="19"/>
  <c r="H353" i="19"/>
  <c r="G687" i="19"/>
  <c r="G1154" i="19"/>
  <c r="H1019" i="19"/>
  <c r="H987" i="19"/>
  <c r="N89" i="19"/>
  <c r="N1022" i="19"/>
  <c r="N942" i="19"/>
  <c r="G915" i="19"/>
  <c r="C239" i="19"/>
  <c r="G948" i="19"/>
  <c r="G789" i="19"/>
  <c r="N91" i="19"/>
  <c r="G940" i="19"/>
  <c r="H852" i="19"/>
  <c r="M1002" i="19"/>
  <c r="O771" i="19"/>
  <c r="K938" i="19"/>
  <c r="I237" i="19"/>
  <c r="H757" i="19"/>
  <c r="M1081" i="19"/>
  <c r="O983" i="19"/>
  <c r="M337" i="19"/>
  <c r="M889" i="19"/>
  <c r="H227" i="19"/>
  <c r="I377" i="19"/>
  <c r="O654" i="19"/>
  <c r="I189" i="19"/>
  <c r="H781" i="19"/>
  <c r="I866" i="19"/>
  <c r="H697" i="19"/>
  <c r="N1018" i="19"/>
  <c r="A639" i="19"/>
  <c r="I941" i="19"/>
  <c r="I670" i="19"/>
  <c r="M981" i="19"/>
  <c r="M1072" i="19"/>
  <c r="G888" i="19"/>
  <c r="M1118" i="19"/>
  <c r="O638" i="19"/>
  <c r="I673" i="19"/>
  <c r="G1122" i="19"/>
  <c r="H561" i="19"/>
  <c r="B1086" i="19"/>
  <c r="O154" i="19"/>
  <c r="I226" i="19"/>
  <c r="H1066" i="19"/>
  <c r="B456" i="19"/>
  <c r="N1055" i="19"/>
  <c r="N595" i="19"/>
  <c r="H966" i="19"/>
  <c r="C206" i="19"/>
  <c r="O410" i="19"/>
  <c r="G982" i="19"/>
  <c r="N237" i="19"/>
  <c r="O932" i="19"/>
  <c r="O301" i="19"/>
  <c r="N834" i="19"/>
  <c r="M774" i="19"/>
  <c r="M743" i="19"/>
  <c r="I631" i="19"/>
  <c r="O1115" i="19"/>
  <c r="C911" i="19"/>
  <c r="O772" i="19"/>
  <c r="C768" i="19"/>
  <c r="O489" i="19"/>
  <c r="H407" i="19"/>
  <c r="H1099" i="19"/>
  <c r="M730" i="19"/>
  <c r="A417" i="19"/>
  <c r="I689" i="19"/>
  <c r="B234" i="19"/>
  <c r="I870" i="19"/>
  <c r="N887" i="19"/>
  <c r="N217" i="19"/>
  <c r="H261" i="19"/>
  <c r="H773" i="19"/>
  <c r="H575" i="19"/>
  <c r="G558" i="19"/>
  <c r="H603" i="19"/>
  <c r="G147" i="19"/>
  <c r="N656" i="19"/>
  <c r="G908" i="19"/>
  <c r="I398" i="19"/>
  <c r="B566" i="19"/>
  <c r="H99" i="19"/>
  <c r="H1065" i="19"/>
  <c r="M631" i="19"/>
  <c r="B530" i="19"/>
  <c r="L383" i="19"/>
  <c r="H695" i="19"/>
  <c r="G708" i="19"/>
  <c r="M338" i="19"/>
  <c r="M942" i="19"/>
  <c r="O1027" i="19"/>
  <c r="I210" i="19"/>
  <c r="G1116" i="19"/>
  <c r="O1075" i="19"/>
  <c r="C211" i="19"/>
  <c r="N1155" i="19"/>
  <c r="N621" i="19"/>
  <c r="G704" i="19"/>
  <c r="I1016" i="19"/>
  <c r="G993" i="19"/>
  <c r="O1036" i="19"/>
  <c r="H831" i="19"/>
  <c r="I1077" i="19"/>
  <c r="G987" i="19"/>
  <c r="H531" i="19"/>
  <c r="B1010" i="19"/>
  <c r="H1005" i="19"/>
  <c r="G820" i="19"/>
  <c r="I348" i="19"/>
  <c r="I860" i="19"/>
  <c r="I956" i="19"/>
  <c r="M325" i="19"/>
  <c r="C1023" i="19"/>
  <c r="I1144" i="19"/>
  <c r="I1052" i="19"/>
  <c r="H647" i="19"/>
  <c r="I445" i="19"/>
  <c r="G826" i="19"/>
  <c r="G93" i="19"/>
  <c r="N428" i="19"/>
  <c r="H924" i="19"/>
  <c r="I234" i="19"/>
  <c r="O834" i="19"/>
  <c r="M286" i="19"/>
  <c r="H25" i="19"/>
  <c r="N655" i="19"/>
  <c r="H148" i="19"/>
  <c r="H1129" i="19"/>
  <c r="G1060" i="19"/>
  <c r="N889" i="19"/>
  <c r="G109" i="19"/>
  <c r="I115" i="19"/>
  <c r="H616" i="19"/>
  <c r="N635" i="19"/>
  <c r="N242" i="19"/>
  <c r="G699" i="19"/>
  <c r="M194" i="19"/>
  <c r="N438" i="19"/>
  <c r="I327" i="19"/>
  <c r="H973" i="19"/>
  <c r="I294" i="19"/>
  <c r="H399" i="19"/>
  <c r="G1103" i="19"/>
  <c r="O800" i="19"/>
  <c r="I908" i="19"/>
  <c r="N853" i="19"/>
  <c r="M1137" i="19"/>
  <c r="G854" i="19"/>
  <c r="G584" i="19"/>
  <c r="N1000" i="19"/>
  <c r="I1113" i="19"/>
  <c r="I659" i="19"/>
  <c r="N74" i="19"/>
  <c r="M633" i="19"/>
  <c r="C247" i="19"/>
  <c r="G1104" i="19"/>
  <c r="C384" i="19"/>
  <c r="O313" i="19"/>
  <c r="I820" i="19"/>
  <c r="G543" i="19"/>
  <c r="C319" i="19"/>
  <c r="G756" i="19"/>
  <c r="N526" i="19"/>
  <c r="I851" i="19"/>
  <c r="N396" i="19"/>
  <c r="O746" i="19"/>
  <c r="N994" i="19"/>
  <c r="M1139" i="19"/>
  <c r="G835" i="19"/>
  <c r="B866" i="19"/>
  <c r="G689" i="19"/>
  <c r="L124" i="19"/>
  <c r="O916" i="19"/>
  <c r="H402" i="19"/>
  <c r="I584" i="19"/>
  <c r="G890" i="19"/>
  <c r="M768" i="19"/>
  <c r="C614" i="19"/>
  <c r="H715" i="19"/>
  <c r="O998" i="19"/>
  <c r="N194" i="19"/>
  <c r="N873" i="19"/>
  <c r="M268" i="19"/>
  <c r="G27" i="19"/>
  <c r="O625" i="19"/>
  <c r="N638" i="19"/>
  <c r="O190" i="19"/>
  <c r="I1107" i="19"/>
  <c r="N461" i="19"/>
  <c r="N173" i="19"/>
  <c r="G123" i="19"/>
  <c r="I830" i="19"/>
  <c r="M883" i="19"/>
  <c r="O405" i="19"/>
  <c r="G419" i="19"/>
  <c r="N959" i="19"/>
  <c r="M266" i="19"/>
  <c r="I250" i="19"/>
  <c r="M760" i="19"/>
  <c r="N755" i="19"/>
  <c r="I763" i="19"/>
  <c r="O888" i="19"/>
  <c r="M593" i="19"/>
  <c r="N1024" i="19"/>
  <c r="N1091" i="19"/>
  <c r="N574" i="19"/>
  <c r="M906" i="19"/>
  <c r="N768" i="19"/>
  <c r="N1021" i="19"/>
  <c r="O889" i="19"/>
  <c r="C755" i="19"/>
  <c r="M965" i="19"/>
  <c r="N668" i="19"/>
  <c r="I431" i="19"/>
  <c r="H1061" i="19"/>
  <c r="O96" i="19"/>
  <c r="B714" i="19"/>
  <c r="I39" i="19"/>
  <c r="N961" i="19"/>
  <c r="G715" i="19"/>
  <c r="N615" i="19"/>
  <c r="O699" i="19"/>
  <c r="O840" i="19"/>
  <c r="O401" i="19"/>
  <c r="I579" i="19"/>
  <c r="N501" i="19"/>
  <c r="G1057" i="19"/>
  <c r="H1105" i="19"/>
  <c r="N19" i="19"/>
  <c r="N496" i="19"/>
  <c r="I1067" i="19"/>
  <c r="C496" i="19"/>
  <c r="M1104" i="19"/>
  <c r="M885" i="19"/>
  <c r="M718" i="19"/>
  <c r="C97" i="19"/>
  <c r="G635" i="19"/>
  <c r="N292" i="19"/>
  <c r="N67" i="19"/>
  <c r="I1025" i="19"/>
  <c r="G793" i="19"/>
  <c r="M835" i="19"/>
  <c r="M870" i="19"/>
  <c r="O627" i="19"/>
  <c r="N800" i="19"/>
  <c r="N1057" i="19"/>
  <c r="N672" i="19"/>
  <c r="G693" i="19"/>
  <c r="N1039" i="19"/>
  <c r="I1154" i="19"/>
  <c r="G641" i="19"/>
  <c r="M575" i="19"/>
  <c r="O548" i="19"/>
  <c r="I334" i="19"/>
  <c r="G658" i="19"/>
  <c r="O486" i="19"/>
  <c r="I361" i="19"/>
  <c r="G818" i="19"/>
  <c r="A380" i="19"/>
  <c r="M410" i="19"/>
  <c r="G691" i="19"/>
  <c r="H1036" i="19"/>
  <c r="O950" i="19"/>
  <c r="I842" i="19"/>
  <c r="H588" i="19"/>
  <c r="O690" i="19"/>
  <c r="N1073" i="19"/>
  <c r="G579" i="19"/>
  <c r="C977" i="19"/>
  <c r="G1105" i="19"/>
  <c r="N322" i="19"/>
  <c r="N760" i="19"/>
  <c r="O464" i="19"/>
  <c r="G782" i="19"/>
  <c r="I947" i="19"/>
  <c r="G200" i="19"/>
  <c r="M507" i="19"/>
  <c r="M330" i="19"/>
  <c r="G665" i="19"/>
  <c r="H819" i="19"/>
  <c r="G456" i="19"/>
  <c r="M264" i="19"/>
  <c r="G556" i="19"/>
  <c r="H751" i="19"/>
  <c r="N370" i="19"/>
  <c r="N175" i="19"/>
  <c r="O89" i="19"/>
  <c r="H836" i="19"/>
  <c r="C577" i="19"/>
  <c r="G850" i="19"/>
  <c r="G68" i="19"/>
  <c r="O1117" i="19"/>
  <c r="C876" i="19"/>
  <c r="G1096" i="19"/>
  <c r="M1093" i="19"/>
  <c r="N946" i="19"/>
  <c r="M601" i="19"/>
  <c r="O995" i="19"/>
  <c r="O674" i="19"/>
  <c r="C95" i="19"/>
  <c r="O948" i="19"/>
  <c r="I656" i="19"/>
  <c r="O522" i="19"/>
  <c r="G298" i="19"/>
  <c r="I1045" i="19"/>
  <c r="O906" i="19"/>
  <c r="N1034" i="19"/>
  <c r="H954" i="19"/>
  <c r="I426" i="19"/>
  <c r="O67" i="19"/>
  <c r="M914" i="19"/>
  <c r="H533" i="19"/>
  <c r="M997" i="19"/>
  <c r="H322" i="19"/>
  <c r="O527" i="19"/>
  <c r="G705" i="19"/>
  <c r="G664" i="19"/>
  <c r="N257" i="19"/>
  <c r="O189" i="19"/>
  <c r="M1078" i="19"/>
  <c r="M193" i="19"/>
  <c r="I651" i="19"/>
  <c r="C310" i="19"/>
  <c r="G849" i="19"/>
  <c r="H956" i="19"/>
  <c r="N386" i="19"/>
  <c r="N571" i="19"/>
  <c r="O1042" i="19"/>
  <c r="N425" i="19"/>
  <c r="G113" i="19"/>
  <c r="O700" i="19"/>
  <c r="O116" i="19"/>
  <c r="H779" i="19"/>
  <c r="M982" i="19"/>
  <c r="G765" i="19"/>
  <c r="M698" i="19"/>
  <c r="I1099" i="19"/>
  <c r="O718" i="19"/>
  <c r="M617" i="19"/>
  <c r="M1031" i="19"/>
  <c r="I176" i="19"/>
  <c r="I926" i="19"/>
  <c r="O967" i="19"/>
  <c r="G1108" i="19"/>
  <c r="O1133" i="19"/>
  <c r="M1149" i="19"/>
  <c r="O953" i="19"/>
  <c r="H943" i="19"/>
  <c r="I556" i="19"/>
  <c r="O503" i="19"/>
  <c r="H1027" i="19"/>
  <c r="G464" i="19"/>
  <c r="G301" i="19"/>
  <c r="G969" i="19"/>
  <c r="G330" i="19"/>
  <c r="N885" i="19"/>
  <c r="O749" i="19"/>
  <c r="O1132" i="19"/>
  <c r="O1106" i="19"/>
  <c r="H214" i="19"/>
  <c r="I527" i="19"/>
  <c r="H1100" i="19"/>
  <c r="H703" i="19"/>
  <c r="N1004" i="19"/>
  <c r="G807" i="19"/>
  <c r="N243" i="19"/>
  <c r="I573" i="19"/>
  <c r="G1014" i="19"/>
  <c r="H788" i="19"/>
  <c r="H911" i="19"/>
  <c r="I812" i="19"/>
  <c r="H809" i="19"/>
  <c r="H428" i="19"/>
  <c r="H77" i="19"/>
  <c r="I1042" i="19"/>
  <c r="M858" i="19"/>
  <c r="G958" i="19"/>
  <c r="I526" i="19"/>
  <c r="N660" i="19"/>
  <c r="M893" i="19"/>
  <c r="C916" i="19"/>
  <c r="I422" i="19"/>
  <c r="I633" i="19"/>
  <c r="N1142" i="19"/>
  <c r="O356" i="19"/>
  <c r="M76" i="19"/>
  <c r="G392" i="19"/>
  <c r="N991" i="19"/>
  <c r="G322" i="19"/>
  <c r="N76" i="19"/>
  <c r="H601" i="19"/>
  <c r="O564" i="19"/>
  <c r="H909" i="19"/>
  <c r="N470" i="19"/>
  <c r="N747" i="19"/>
  <c r="I1062" i="19"/>
  <c r="O876" i="19"/>
  <c r="I635" i="19"/>
  <c r="H782" i="19"/>
  <c r="G119" i="19"/>
  <c r="H906" i="19"/>
  <c r="M999" i="19"/>
  <c r="N995" i="19"/>
  <c r="C986" i="19"/>
  <c r="I734" i="19"/>
  <c r="I536" i="19"/>
  <c r="I448" i="19"/>
  <c r="G778" i="19"/>
  <c r="N300" i="19"/>
  <c r="A1120" i="19"/>
  <c r="C320" i="19"/>
  <c r="H995" i="19"/>
  <c r="C912" i="19"/>
  <c r="G407" i="19"/>
  <c r="M129" i="19"/>
  <c r="I287" i="19"/>
  <c r="O53" i="19"/>
  <c r="O184" i="19"/>
  <c r="O839" i="19"/>
  <c r="N275" i="19"/>
  <c r="O294" i="19"/>
  <c r="G711" i="19"/>
  <c r="O1035" i="19"/>
  <c r="I786" i="19"/>
  <c r="G1037" i="19"/>
  <c r="N710" i="19"/>
  <c r="M731" i="19"/>
  <c r="H1063" i="19"/>
  <c r="I637" i="19"/>
  <c r="M761" i="19"/>
  <c r="N129" i="19"/>
  <c r="N1037" i="19"/>
  <c r="H1077" i="19"/>
  <c r="H949" i="19"/>
  <c r="O849" i="19"/>
  <c r="N410" i="19"/>
  <c r="H1043" i="19"/>
  <c r="N97" i="19"/>
  <c r="I179" i="19"/>
  <c r="H701" i="19"/>
  <c r="I674" i="19"/>
  <c r="H667" i="19"/>
  <c r="I316" i="19"/>
  <c r="M712" i="19"/>
  <c r="M1099" i="19"/>
  <c r="N406" i="19"/>
  <c r="N833" i="19"/>
  <c r="C507" i="19"/>
  <c r="G759" i="19"/>
  <c r="C1060" i="19"/>
  <c r="M836" i="19"/>
  <c r="G168" i="19"/>
  <c r="H963" i="19"/>
  <c r="I15" i="19"/>
  <c r="I1039" i="19"/>
  <c r="N214" i="19"/>
  <c r="H726" i="19"/>
  <c r="I123" i="19"/>
  <c r="B345" i="19"/>
  <c r="H731" i="19"/>
  <c r="O822" i="19"/>
  <c r="H1148" i="19"/>
  <c r="O705" i="19"/>
  <c r="M808" i="19"/>
  <c r="H739" i="19"/>
  <c r="G943" i="19"/>
  <c r="M1131" i="19"/>
  <c r="G786" i="19"/>
  <c r="H755" i="19"/>
  <c r="O918" i="19"/>
  <c r="M652" i="19"/>
  <c r="M702" i="19"/>
  <c r="O1060" i="19"/>
  <c r="N166" i="19"/>
  <c r="N830" i="19"/>
  <c r="G612" i="19"/>
  <c r="G859" i="19"/>
  <c r="O905" i="19"/>
  <c r="I575" i="19"/>
  <c r="G1011" i="19"/>
  <c r="F753" i="19"/>
  <c r="O255" i="19"/>
  <c r="H926" i="19"/>
  <c r="I378" i="19"/>
  <c r="G996" i="19"/>
  <c r="M886" i="19"/>
  <c r="H474" i="19"/>
  <c r="M817" i="19"/>
  <c r="N925" i="19"/>
  <c r="O951" i="19"/>
  <c r="I1048" i="19"/>
  <c r="I1072" i="19"/>
  <c r="O1134" i="19"/>
  <c r="O1101" i="19"/>
  <c r="N926" i="19"/>
  <c r="C212" i="19"/>
  <c r="M748" i="19"/>
  <c r="O868" i="19"/>
  <c r="F1086" i="19"/>
  <c r="H587" i="19"/>
  <c r="O929" i="19"/>
  <c r="M947" i="19"/>
  <c r="N691" i="19"/>
  <c r="C792" i="19"/>
  <c r="C611" i="19"/>
  <c r="I608" i="19"/>
  <c r="G869" i="19"/>
  <c r="M1001" i="19"/>
  <c r="M589" i="19"/>
  <c r="O429" i="19"/>
  <c r="H1080" i="19"/>
  <c r="G1042" i="19"/>
  <c r="H434" i="19"/>
  <c r="H718" i="19"/>
  <c r="H869" i="19"/>
  <c r="N822" i="19"/>
  <c r="H693" i="19"/>
  <c r="C167" i="19"/>
  <c r="G160" i="19"/>
  <c r="N632" i="19"/>
  <c r="M265" i="19"/>
  <c r="H489" i="19"/>
  <c r="O903" i="19"/>
  <c r="I194" i="19"/>
  <c r="M278" i="19"/>
  <c r="H164" i="19"/>
  <c r="A13" i="19"/>
  <c r="O56" i="19"/>
  <c r="H170" i="19"/>
  <c r="H694" i="19"/>
  <c r="O969" i="19"/>
  <c r="G430" i="19"/>
  <c r="H16" i="19"/>
  <c r="N331" i="19"/>
  <c r="I761" i="19"/>
  <c r="N704" i="19"/>
  <c r="I577" i="19"/>
  <c r="M173" i="19"/>
  <c r="I78" i="19"/>
  <c r="I1015" i="19"/>
  <c r="H1140" i="19"/>
  <c r="I193" i="19"/>
  <c r="G1041" i="19"/>
  <c r="O1103" i="19"/>
  <c r="G180" i="19"/>
  <c r="G318" i="19"/>
  <c r="G878" i="19"/>
  <c r="M97" i="19"/>
  <c r="H832" i="19"/>
  <c r="G746" i="19"/>
  <c r="M204" i="19"/>
  <c r="I1006" i="19"/>
  <c r="O756" i="19"/>
  <c r="H403" i="19"/>
  <c r="M1107" i="19"/>
  <c r="C873" i="19"/>
  <c r="M814" i="19"/>
  <c r="G956" i="19"/>
  <c r="I878" i="19"/>
  <c r="N957" i="19"/>
  <c r="G1007" i="19"/>
  <c r="G597" i="19"/>
  <c r="M962" i="19"/>
  <c r="C355" i="19"/>
  <c r="O1145" i="19"/>
  <c r="H780" i="19"/>
  <c r="I1073" i="19"/>
  <c r="N336" i="19"/>
  <c r="G1086" i="19"/>
  <c r="C1099" i="19"/>
  <c r="H1058" i="19"/>
  <c r="O438" i="19"/>
  <c r="N594" i="19"/>
  <c r="I952" i="19"/>
  <c r="G701" i="19"/>
  <c r="G578" i="19"/>
  <c r="I375" i="19"/>
  <c r="I912" i="19"/>
  <c r="N460" i="19"/>
  <c r="M1132" i="19"/>
  <c r="H252" i="19"/>
  <c r="N564" i="19"/>
  <c r="H1040" i="19"/>
  <c r="G732" i="19"/>
  <c r="G937" i="19"/>
  <c r="G1065" i="19"/>
  <c r="I282" i="19"/>
  <c r="M1070" i="19"/>
  <c r="I977" i="19"/>
  <c r="N950" i="19"/>
  <c r="G836" i="19"/>
  <c r="N810" i="19"/>
  <c r="O212" i="19"/>
  <c r="O485" i="19"/>
  <c r="N549" i="19"/>
  <c r="G519" i="19"/>
  <c r="G813" i="19"/>
  <c r="M1030" i="19"/>
  <c r="M874" i="19"/>
  <c r="O675" i="19"/>
  <c r="M191" i="19"/>
  <c r="B48" i="19"/>
  <c r="C1063" i="19"/>
  <c r="N1104" i="19"/>
  <c r="N543" i="19"/>
  <c r="H499" i="19"/>
  <c r="B309" i="19"/>
  <c r="M304" i="19"/>
  <c r="G957" i="19"/>
  <c r="I266" i="19"/>
  <c r="N770" i="19"/>
  <c r="H1028" i="19"/>
  <c r="N249" i="19"/>
  <c r="I829" i="19"/>
  <c r="N806" i="19"/>
  <c r="O512" i="19"/>
  <c r="I473" i="19"/>
  <c r="M670" i="19"/>
  <c r="G1123" i="19"/>
  <c r="I284" i="19"/>
  <c r="O817" i="19"/>
  <c r="O30" i="19"/>
  <c r="I888" i="19"/>
  <c r="N576" i="19"/>
  <c r="H813" i="19"/>
  <c r="N392" i="19"/>
  <c r="N538" i="19"/>
  <c r="N892" i="19"/>
  <c r="M855" i="19"/>
  <c r="H625" i="19"/>
  <c r="C89" i="19"/>
  <c r="C102" i="19"/>
  <c r="O894" i="19"/>
  <c r="O704" i="19"/>
  <c r="H1006" i="19"/>
  <c r="G646" i="19"/>
  <c r="I678" i="19"/>
  <c r="H748" i="19"/>
  <c r="M1109" i="19"/>
  <c r="N1085" i="19"/>
  <c r="H634" i="19"/>
  <c r="G921" i="19"/>
  <c r="G920" i="19"/>
  <c r="M1089" i="19"/>
  <c r="G329" i="19"/>
  <c r="N362" i="19"/>
  <c r="C27" i="19"/>
  <c r="O957" i="19"/>
  <c r="N1147" i="19"/>
  <c r="O52" i="19"/>
  <c r="O361" i="19"/>
  <c r="O912" i="19"/>
  <c r="F420" i="19"/>
  <c r="N402" i="19"/>
  <c r="G285" i="19"/>
  <c r="G403" i="19"/>
  <c r="O490" i="19"/>
  <c r="H1070" i="19"/>
  <c r="N1015" i="19"/>
  <c r="M1037" i="19"/>
  <c r="I289" i="19"/>
  <c r="G819" i="19"/>
  <c r="H948" i="19"/>
  <c r="I793" i="19"/>
  <c r="N1119" i="19"/>
  <c r="H1118" i="19"/>
  <c r="I379" i="19"/>
  <c r="I616" i="19"/>
  <c r="G831" i="19"/>
  <c r="H132" i="19"/>
  <c r="H970" i="19"/>
  <c r="I693" i="19"/>
  <c r="O792" i="19"/>
  <c r="G401" i="19"/>
  <c r="N690" i="19"/>
  <c r="O779" i="19"/>
  <c r="I24" i="19"/>
  <c r="M944" i="19"/>
  <c r="H1020" i="19"/>
  <c r="N440" i="19"/>
  <c r="M759" i="19"/>
  <c r="H873" i="19"/>
  <c r="I396" i="19"/>
  <c r="N388" i="19"/>
  <c r="G876" i="19"/>
  <c r="O594" i="19"/>
  <c r="G945" i="19"/>
  <c r="I599" i="19"/>
  <c r="B900" i="19"/>
  <c r="C504" i="19"/>
  <c r="H267" i="19"/>
  <c r="O1113" i="19"/>
  <c r="B903" i="19"/>
  <c r="H855" i="19"/>
  <c r="I886" i="19"/>
  <c r="I792" i="19"/>
  <c r="M333" i="19"/>
  <c r="C829" i="19"/>
  <c r="G497" i="19"/>
  <c r="O804" i="19"/>
  <c r="H1154" i="19"/>
  <c r="H794" i="19"/>
  <c r="N1078" i="19"/>
  <c r="I816" i="19"/>
  <c r="M769" i="19"/>
  <c r="G1134" i="19"/>
  <c r="M403" i="19"/>
  <c r="F383" i="19"/>
  <c r="G848" i="19"/>
  <c r="B459" i="19"/>
  <c r="K272" i="19"/>
  <c r="C1016" i="19"/>
  <c r="I679" i="19"/>
  <c r="O601" i="19"/>
  <c r="O187" i="19"/>
  <c r="M285" i="19"/>
  <c r="H200" i="19"/>
  <c r="H393" i="19"/>
  <c r="O923" i="19"/>
  <c r="H514" i="19"/>
  <c r="I609" i="19"/>
  <c r="N200" i="19"/>
  <c r="A47" i="19"/>
  <c r="G452" i="19"/>
  <c r="N811" i="19"/>
  <c r="H969" i="19"/>
  <c r="G29" i="19"/>
  <c r="A383" i="19"/>
  <c r="N850" i="19"/>
  <c r="G753" i="19"/>
  <c r="H710" i="19"/>
  <c r="I804" i="19"/>
  <c r="H435" i="19"/>
  <c r="H276" i="19"/>
  <c r="O449" i="19"/>
  <c r="G1088" i="19"/>
  <c r="N193" i="19"/>
  <c r="H487" i="19"/>
  <c r="I1094" i="19"/>
  <c r="O1061" i="19"/>
  <c r="G482" i="19"/>
  <c r="N907" i="19"/>
  <c r="B1014" i="19"/>
  <c r="N1081" i="19"/>
  <c r="M1079" i="19"/>
  <c r="M1018" i="19"/>
  <c r="H959" i="19"/>
  <c r="B829" i="19"/>
  <c r="M666" i="19"/>
  <c r="C208" i="19"/>
  <c r="C722" i="19"/>
  <c r="G630" i="19"/>
  <c r="G779" i="19"/>
  <c r="I1130" i="19"/>
  <c r="H335" i="19"/>
  <c r="M619" i="19"/>
  <c r="H807" i="19"/>
  <c r="N682" i="19"/>
  <c r="I712" i="19"/>
  <c r="N530" i="19"/>
  <c r="H590" i="19"/>
  <c r="I894" i="19"/>
  <c r="O351" i="19"/>
  <c r="M150" i="19"/>
  <c r="I391" i="19"/>
  <c r="H71" i="19"/>
  <c r="N451" i="19"/>
  <c r="N971" i="19"/>
  <c r="M1141" i="19"/>
  <c r="M379" i="19"/>
  <c r="I663" i="19"/>
  <c r="H146" i="19"/>
  <c r="I479" i="19"/>
  <c r="H551" i="19"/>
  <c r="C28" i="19"/>
  <c r="N390" i="19"/>
  <c r="B87" i="19"/>
  <c r="M668" i="19"/>
  <c r="N465" i="19"/>
  <c r="I654" i="19"/>
  <c r="N630" i="19"/>
  <c r="I1034" i="19"/>
  <c r="M807" i="19"/>
  <c r="O1141" i="19"/>
  <c r="I942" i="19"/>
  <c r="N30" i="19"/>
  <c r="G922" i="19"/>
  <c r="H30" i="19"/>
  <c r="G405" i="19"/>
  <c r="N727" i="19"/>
  <c r="O1136" i="19"/>
  <c r="O1079" i="19"/>
  <c r="N314" i="19"/>
  <c r="G758" i="19"/>
  <c r="I1081" i="19"/>
  <c r="G74" i="19"/>
  <c r="N248" i="19"/>
  <c r="I855" i="19"/>
  <c r="C468" i="19"/>
  <c r="M353" i="19"/>
  <c r="B1085" i="19"/>
  <c r="G1111" i="19"/>
  <c r="H913" i="19"/>
  <c r="A1009" i="19"/>
  <c r="H984" i="19"/>
  <c r="H1126" i="19"/>
  <c r="I583" i="19"/>
  <c r="H547" i="19"/>
  <c r="H330" i="19"/>
  <c r="G564" i="19"/>
  <c r="I826" i="19"/>
  <c r="G866" i="19"/>
  <c r="G829" i="19"/>
  <c r="B863" i="19"/>
  <c r="G933" i="19"/>
  <c r="H1044" i="19"/>
  <c r="H391" i="19"/>
  <c r="G992" i="19"/>
  <c r="M957" i="19"/>
  <c r="H165" i="19"/>
  <c r="O120" i="19"/>
  <c r="N910" i="19"/>
  <c r="I789" i="19"/>
  <c r="M481" i="19"/>
  <c r="O723" i="19"/>
  <c r="C1101" i="19"/>
  <c r="G131" i="19"/>
  <c r="I817" i="19"/>
  <c r="I494" i="19"/>
  <c r="G516" i="19"/>
  <c r="H362" i="19"/>
  <c r="N377" i="19"/>
  <c r="I958" i="19"/>
  <c r="N1074" i="19"/>
  <c r="H849" i="19"/>
  <c r="I636" i="19"/>
  <c r="I1132" i="19"/>
  <c r="H1000" i="19"/>
  <c r="C429" i="19"/>
  <c r="H1112" i="19"/>
  <c r="N1156" i="19"/>
  <c r="I352" i="19"/>
  <c r="M449" i="19"/>
  <c r="G698" i="19"/>
  <c r="H921" i="19"/>
  <c r="I320" i="19"/>
  <c r="G246" i="19"/>
  <c r="N289" i="19"/>
  <c r="O183" i="19"/>
  <c r="N984" i="19"/>
  <c r="H197" i="19"/>
  <c r="O377" i="19"/>
  <c r="H460" i="19"/>
  <c r="C199" i="19"/>
  <c r="I1051" i="19"/>
  <c r="N476" i="19"/>
  <c r="M1042" i="19"/>
  <c r="I1063" i="19"/>
  <c r="M101" i="19"/>
  <c r="G187" i="19"/>
  <c r="H883" i="19"/>
  <c r="C1131" i="19"/>
  <c r="O1102" i="19"/>
  <c r="M250" i="19"/>
  <c r="M949" i="19"/>
  <c r="M541" i="19"/>
  <c r="H153" i="19"/>
  <c r="N783" i="19"/>
  <c r="I154" i="19"/>
  <c r="M317" i="19"/>
  <c r="N430" i="19"/>
  <c r="I702" i="19"/>
  <c r="H626" i="19"/>
  <c r="H928" i="19"/>
  <c r="B899" i="19"/>
  <c r="N320" i="19"/>
  <c r="H734" i="19"/>
  <c r="I1116" i="19"/>
  <c r="I1005" i="19"/>
  <c r="I721" i="19"/>
  <c r="M1082" i="19"/>
  <c r="I1066" i="19"/>
  <c r="I588" i="19"/>
  <c r="I1059" i="19"/>
  <c r="H705" i="19"/>
  <c r="H962" i="19"/>
  <c r="C764" i="19"/>
  <c r="C539" i="19"/>
  <c r="G932" i="19"/>
  <c r="N185" i="19"/>
  <c r="N544" i="19"/>
  <c r="O514" i="19"/>
  <c r="I682" i="19"/>
  <c r="H1113" i="19"/>
  <c r="G949" i="19"/>
  <c r="H1145" i="19"/>
  <c r="I990" i="19"/>
  <c r="C942" i="19"/>
  <c r="M22" i="19"/>
  <c r="O362" i="19"/>
  <c r="G449" i="19"/>
  <c r="N708" i="19"/>
  <c r="M950" i="19"/>
  <c r="O1017" i="19"/>
  <c r="N836" i="19"/>
  <c r="O397" i="19"/>
  <c r="O831" i="19"/>
  <c r="O176" i="19"/>
  <c r="C421" i="19"/>
  <c r="N40" i="19"/>
  <c r="N562" i="19"/>
  <c r="I1065" i="19"/>
  <c r="I794" i="19"/>
  <c r="H889" i="19"/>
  <c r="M293" i="19"/>
  <c r="M987" i="19"/>
  <c r="H799" i="19"/>
  <c r="N281" i="19"/>
  <c r="N241" i="19"/>
  <c r="C88" i="19"/>
  <c r="G1048" i="19"/>
  <c r="H202" i="19"/>
  <c r="H759" i="19"/>
  <c r="M1096" i="19"/>
  <c r="C51" i="19"/>
  <c r="O206" i="19"/>
  <c r="I687" i="19"/>
  <c r="I937" i="19"/>
  <c r="M523" i="19"/>
  <c r="G611" i="19"/>
  <c r="M785" i="19"/>
  <c r="G853" i="19"/>
  <c r="N807" i="19"/>
  <c r="M644" i="19"/>
  <c r="N820" i="19"/>
  <c r="I1104" i="19"/>
  <c r="N908" i="19"/>
  <c r="I1002" i="19"/>
  <c r="N1107" i="19"/>
  <c r="M813" i="19"/>
  <c r="H1052" i="19"/>
  <c r="O579" i="19"/>
  <c r="G889" i="19"/>
  <c r="F346" i="19"/>
  <c r="O1127" i="19"/>
  <c r="I506" i="19"/>
  <c r="C131" i="19"/>
  <c r="H208" i="19"/>
  <c r="H878" i="19"/>
  <c r="M409" i="19"/>
  <c r="H822" i="19"/>
  <c r="M1103" i="19"/>
  <c r="I68" i="19"/>
  <c r="M725" i="19"/>
  <c r="H864" i="19"/>
  <c r="I441" i="19"/>
  <c r="F124" i="19"/>
  <c r="O283" i="19"/>
  <c r="M783" i="19"/>
  <c r="H997" i="19"/>
  <c r="I55" i="19"/>
  <c r="I126" i="19"/>
  <c r="N220" i="19"/>
  <c r="M524" i="19"/>
  <c r="I692" i="19"/>
  <c r="H1086" i="19"/>
  <c r="M811" i="19"/>
  <c r="G872" i="19"/>
  <c r="L198" i="19"/>
  <c r="I424" i="19"/>
  <c r="N71" i="19"/>
  <c r="H784" i="19"/>
  <c r="O748" i="19"/>
  <c r="M868" i="19"/>
  <c r="N960" i="19"/>
  <c r="G632" i="19"/>
  <c r="C1090" i="19"/>
  <c r="H225" i="19"/>
  <c r="G1063" i="19"/>
  <c r="I1040" i="19"/>
  <c r="N1062" i="19"/>
  <c r="H859" i="19"/>
  <c r="N683" i="19"/>
  <c r="I141" i="19"/>
  <c r="C172" i="19"/>
  <c r="C654" i="19"/>
  <c r="C761" i="19"/>
  <c r="N951" i="19"/>
  <c r="N1154" i="19"/>
  <c r="H35" i="19"/>
  <c r="I204" i="19"/>
  <c r="G971" i="19"/>
  <c r="M1119" i="19"/>
  <c r="H845" i="19"/>
  <c r="H994" i="19"/>
  <c r="G673" i="19"/>
  <c r="M635" i="19"/>
  <c r="I1023" i="19"/>
  <c r="N1026" i="19"/>
  <c r="C282" i="19"/>
  <c r="M216" i="19"/>
  <c r="H264" i="19"/>
  <c r="M477" i="19"/>
  <c r="G302" i="19"/>
  <c r="M964" i="19"/>
  <c r="M854" i="19"/>
  <c r="G707" i="19"/>
  <c r="M1116" i="19"/>
  <c r="K716" i="19"/>
  <c r="O1072" i="19"/>
  <c r="N374" i="19"/>
  <c r="I832" i="19"/>
  <c r="G821" i="19"/>
  <c r="I923" i="19"/>
  <c r="M546" i="19"/>
  <c r="M920" i="19"/>
  <c r="O1039" i="19"/>
  <c r="O582" i="19"/>
  <c r="G1100" i="19"/>
  <c r="O1144" i="19"/>
  <c r="N1143" i="19"/>
  <c r="F975" i="19"/>
  <c r="H530" i="19"/>
  <c r="M1142" i="19"/>
  <c r="I91" i="19"/>
  <c r="M1040" i="19"/>
  <c r="G1107" i="19"/>
  <c r="H838" i="19"/>
  <c r="M1090" i="19"/>
  <c r="M926" i="19"/>
  <c r="G885" i="19"/>
  <c r="O770" i="19"/>
  <c r="I903" i="19"/>
  <c r="C580" i="19"/>
  <c r="G681" i="19"/>
  <c r="I360" i="19"/>
  <c r="G355" i="19"/>
  <c r="G880" i="19"/>
  <c r="M801" i="19"/>
  <c r="C1136" i="19"/>
  <c r="B496" i="19"/>
  <c r="G978" i="19"/>
  <c r="M946" i="19"/>
  <c r="C323" i="19"/>
  <c r="B570" i="19"/>
  <c r="C139" i="19"/>
  <c r="C175" i="19"/>
  <c r="M1138" i="19"/>
  <c r="N1115" i="19"/>
  <c r="G447" i="19"/>
  <c r="O574" i="19"/>
  <c r="G1072" i="19"/>
  <c r="N24" i="19"/>
  <c r="O581" i="19"/>
  <c r="H967" i="19"/>
  <c r="H334" i="19"/>
  <c r="H830" i="19"/>
  <c r="O703" i="19"/>
  <c r="G1052" i="19"/>
  <c r="I770" i="19"/>
  <c r="M719" i="19"/>
  <c r="G723" i="19"/>
  <c r="H1039" i="19"/>
  <c r="M1151" i="19"/>
  <c r="H294" i="19"/>
  <c r="B344" i="19"/>
  <c r="N437" i="19"/>
  <c r="N177" i="19"/>
  <c r="H1010" i="19"/>
  <c r="A790" i="19"/>
  <c r="O243" i="19"/>
  <c r="G925" i="19"/>
  <c r="N612" i="19"/>
  <c r="N646" i="19"/>
  <c r="N80" i="19"/>
  <c r="N448" i="19"/>
  <c r="O502" i="19"/>
  <c r="O1063" i="19"/>
  <c r="N746" i="19"/>
  <c r="O1097" i="19"/>
  <c r="M747" i="19"/>
  <c r="I1127" i="19"/>
  <c r="O323" i="19"/>
  <c r="C871" i="19"/>
  <c r="H455" i="19"/>
  <c r="I805" i="19"/>
  <c r="M415" i="19"/>
  <c r="M705" i="19"/>
  <c r="I697" i="19"/>
  <c r="I383" i="19"/>
  <c r="O944" i="19"/>
  <c r="C979" i="19"/>
  <c r="O682" i="19"/>
  <c r="N1088" i="19"/>
  <c r="N803" i="19"/>
  <c r="I143" i="19"/>
  <c r="G1053" i="19"/>
  <c r="N500" i="19"/>
  <c r="G408" i="19"/>
  <c r="C725" i="19"/>
  <c r="C466" i="19"/>
  <c r="I538" i="19"/>
  <c r="H829" i="19"/>
  <c r="G891" i="19"/>
  <c r="I834" i="19"/>
  <c r="N1116" i="19"/>
  <c r="I1053" i="19"/>
  <c r="I906" i="19"/>
  <c r="O958" i="19"/>
  <c r="O476" i="19"/>
  <c r="I1105" i="19"/>
  <c r="O231" i="19"/>
  <c r="M525" i="19"/>
  <c r="O915" i="19"/>
  <c r="N539" i="19"/>
  <c r="M1026" i="19"/>
  <c r="I723" i="19"/>
  <c r="G901" i="19"/>
  <c r="O289" i="19"/>
  <c r="N573" i="19"/>
  <c r="O979" i="19"/>
  <c r="O698" i="19"/>
  <c r="O507" i="19"/>
  <c r="B422" i="19"/>
  <c r="O806" i="19"/>
  <c r="C612" i="19"/>
  <c r="C281" i="19"/>
  <c r="C60" i="19"/>
  <c r="O513" i="19"/>
  <c r="N732" i="19"/>
  <c r="I400" i="19"/>
  <c r="G726" i="19"/>
  <c r="I330" i="19"/>
  <c r="O688" i="19"/>
  <c r="G1030" i="19"/>
  <c r="M549" i="19"/>
  <c r="G802" i="19"/>
  <c r="C1022" i="19"/>
  <c r="O808" i="19"/>
  <c r="H257" i="19"/>
  <c r="H621" i="19"/>
  <c r="I1018" i="19"/>
  <c r="C804" i="19"/>
  <c r="H936" i="19"/>
  <c r="A972" i="19"/>
  <c r="C317" i="19"/>
  <c r="H1003" i="19"/>
  <c r="H756" i="19"/>
  <c r="M991" i="19"/>
  <c r="C828" i="19"/>
  <c r="N607" i="19"/>
  <c r="N601" i="19"/>
  <c r="G761" i="19"/>
  <c r="I508" i="19"/>
  <c r="I738" i="19"/>
  <c r="O743" i="19"/>
  <c r="H879" i="19"/>
  <c r="I823" i="19"/>
  <c r="O896" i="19"/>
  <c r="M742" i="19"/>
  <c r="G1064" i="19"/>
  <c r="O774" i="19"/>
  <c r="N1099" i="19"/>
  <c r="O940" i="19"/>
  <c r="O759" i="19"/>
  <c r="O985" i="19"/>
  <c r="N1139" i="19"/>
  <c r="G721" i="19"/>
  <c r="O387" i="19"/>
  <c r="N697" i="19"/>
  <c r="G1043" i="19"/>
  <c r="M376" i="19"/>
  <c r="M262" i="19"/>
  <c r="G596" i="19"/>
  <c r="O590" i="19"/>
  <c r="N859" i="19"/>
  <c r="M963" i="19"/>
  <c r="G605" i="19"/>
  <c r="G1024" i="19"/>
  <c r="G185" i="19"/>
  <c r="H1075" i="19"/>
  <c r="H916" i="19"/>
  <c r="M887" i="19"/>
  <c r="B382" i="19"/>
  <c r="I382" i="19"/>
  <c r="A1086" i="19"/>
  <c r="B274" i="19"/>
  <c r="C1088" i="19"/>
  <c r="G1131" i="19"/>
  <c r="O744" i="19"/>
  <c r="O472" i="19"/>
  <c r="N623" i="19"/>
  <c r="N987" i="19"/>
  <c r="O1099" i="19"/>
  <c r="M282" i="19"/>
  <c r="C910" i="19"/>
  <c r="C287" i="19"/>
  <c r="M1071" i="19"/>
  <c r="O1114" i="19"/>
  <c r="M998" i="19"/>
  <c r="M503" i="19"/>
  <c r="M40" i="19"/>
  <c r="H847" i="19"/>
  <c r="N537" i="19"/>
  <c r="I605" i="19"/>
  <c r="O213" i="19"/>
  <c r="G1067" i="19"/>
  <c r="N1094" i="19"/>
  <c r="H899" i="19"/>
  <c r="G766" i="19"/>
  <c r="M544" i="19"/>
  <c r="G963" i="19"/>
  <c r="N1005" i="19"/>
  <c r="N541" i="19"/>
  <c r="H747" i="19"/>
  <c r="M43" i="19"/>
  <c r="O829" i="19"/>
  <c r="G728" i="19"/>
  <c r="N1029" i="19"/>
  <c r="I730" i="19"/>
  <c r="O110" i="19"/>
  <c r="H506" i="19"/>
  <c r="I981" i="19"/>
  <c r="C1134" i="19"/>
  <c r="C509" i="19"/>
  <c r="G868" i="19"/>
  <c r="G378" i="19"/>
  <c r="I931" i="19"/>
  <c r="H301" i="19"/>
  <c r="H1048" i="19"/>
  <c r="C576" i="19"/>
  <c r="M408" i="19"/>
  <c r="H1110" i="19"/>
  <c r="G781" i="19"/>
  <c r="H641" i="19"/>
  <c r="N225" i="19"/>
  <c r="N784" i="19"/>
  <c r="I1033" i="19"/>
  <c r="M1014" i="19"/>
  <c r="O616" i="19"/>
  <c r="M1065" i="19"/>
  <c r="K827" i="19"/>
  <c r="I1147" i="19"/>
  <c r="O941" i="19"/>
  <c r="C655" i="19"/>
  <c r="N943" i="19"/>
  <c r="O1000" i="19"/>
  <c r="I1114" i="19"/>
  <c r="H612" i="19"/>
  <c r="O720" i="19"/>
  <c r="M274" i="19"/>
  <c r="B86" i="19"/>
  <c r="G506" i="19"/>
  <c r="I1151" i="19"/>
  <c r="M534" i="19"/>
  <c r="O473" i="19"/>
  <c r="G332" i="19"/>
  <c r="B124" i="19"/>
  <c r="O72" i="19"/>
  <c r="I128" i="19"/>
  <c r="I263" i="19"/>
  <c r="I916" i="19"/>
  <c r="M905" i="19"/>
  <c r="G533" i="19"/>
  <c r="O768" i="19"/>
  <c r="G243" i="19"/>
  <c r="N625" i="19"/>
  <c r="I1092" i="19"/>
  <c r="I900" i="19"/>
  <c r="H986" i="19"/>
  <c r="H672" i="19"/>
  <c r="O498" i="19"/>
  <c r="O1149" i="19"/>
  <c r="M929" i="19"/>
  <c r="M816" i="19"/>
  <c r="C396" i="19"/>
  <c r="I1044" i="19"/>
  <c r="O1104" i="19"/>
  <c r="H942" i="19"/>
  <c r="O1004" i="19"/>
  <c r="C426" i="19"/>
  <c r="M153" i="19"/>
  <c r="H793" i="19"/>
  <c r="O928" i="19"/>
  <c r="H958" i="19"/>
  <c r="I629" i="19"/>
  <c r="B644" i="19"/>
  <c r="C579" i="19"/>
  <c r="I863" i="19"/>
  <c r="H1128" i="19"/>
  <c r="M241" i="19"/>
  <c r="H716" i="19"/>
  <c r="I1068" i="19"/>
  <c r="O919" i="19"/>
  <c r="A716" i="19"/>
  <c r="C1057" i="19"/>
  <c r="C730" i="19"/>
  <c r="G22" i="19"/>
  <c r="I704" i="19"/>
  <c r="L605" i="19"/>
  <c r="O126" i="19"/>
  <c r="O633" i="19"/>
  <c r="M838" i="19"/>
  <c r="B825" i="19"/>
  <c r="N1097" i="19"/>
  <c r="H371" i="19"/>
  <c r="H870" i="19"/>
  <c r="M1135" i="19"/>
  <c r="I555" i="19"/>
  <c r="I873" i="19"/>
  <c r="I1089" i="19"/>
  <c r="O683" i="19"/>
  <c r="O910" i="19"/>
  <c r="M728" i="19"/>
  <c r="O142" i="19"/>
  <c r="H55" i="19"/>
  <c r="C318" i="19"/>
  <c r="G946" i="19"/>
  <c r="N689" i="19"/>
  <c r="N626" i="19"/>
  <c r="I856" i="19"/>
  <c r="C940" i="19"/>
  <c r="C467" i="19"/>
  <c r="H1146" i="19"/>
  <c r="C648" i="19"/>
  <c r="I138" i="19"/>
  <c r="G289" i="19"/>
  <c r="I885" i="19"/>
  <c r="N997" i="19"/>
  <c r="I944" i="19"/>
  <c r="O392" i="19"/>
  <c r="H992" i="19"/>
  <c r="I1138" i="19"/>
  <c r="H727" i="19"/>
  <c r="I1123" i="19"/>
  <c r="H1108" i="19"/>
  <c r="I928" i="19"/>
  <c r="O1059" i="19"/>
  <c r="C94" i="19"/>
  <c r="C168" i="19"/>
  <c r="G1040" i="19"/>
  <c r="N721" i="19"/>
  <c r="C718" i="19"/>
  <c r="C546" i="19"/>
  <c r="G1001" i="19"/>
  <c r="C1053" i="19"/>
  <c r="M1059" i="19"/>
  <c r="I457" i="19"/>
  <c r="M1106" i="19"/>
  <c r="I239" i="19"/>
  <c r="H1011" i="19"/>
  <c r="I60" i="19"/>
  <c r="N684" i="19"/>
  <c r="I839" i="19"/>
  <c r="H246" i="19"/>
  <c r="M447" i="19"/>
  <c r="O908" i="19"/>
  <c r="M340" i="19"/>
  <c r="N580" i="19"/>
  <c r="I626" i="19"/>
  <c r="M550" i="19"/>
  <c r="A605" i="19"/>
  <c r="I779" i="19"/>
  <c r="H21" i="19"/>
  <c r="N990" i="19"/>
  <c r="H937" i="19"/>
  <c r="G78" i="19"/>
  <c r="N472" i="19"/>
  <c r="N611" i="19"/>
  <c r="I880" i="19"/>
  <c r="I800" i="19"/>
  <c r="M365" i="19"/>
  <c r="N758" i="19"/>
  <c r="H920" i="19"/>
  <c r="H890" i="19"/>
  <c r="I191" i="19"/>
  <c r="H497" i="19"/>
  <c r="H803" i="19"/>
  <c r="O955" i="19"/>
  <c r="M1028" i="19"/>
  <c r="O1002" i="19"/>
  <c r="H598" i="19"/>
  <c r="N879" i="19"/>
  <c r="H1030" i="19"/>
  <c r="H960" i="19"/>
  <c r="L50" i="19"/>
  <c r="N547" i="19"/>
  <c r="I774" i="19"/>
  <c r="M684" i="19"/>
  <c r="H893" i="19"/>
  <c r="M660" i="19"/>
  <c r="N483" i="19"/>
  <c r="B940" i="19"/>
  <c r="H817" i="19"/>
  <c r="O1071" i="19"/>
  <c r="G617" i="19"/>
  <c r="M1008" i="19"/>
  <c r="M657" i="19"/>
  <c r="H844" i="19"/>
  <c r="N1110" i="19"/>
  <c r="N999" i="19"/>
  <c r="C652" i="19"/>
  <c r="I1014" i="19"/>
  <c r="H907" i="19"/>
  <c r="H964" i="19"/>
  <c r="O852" i="19"/>
  <c r="N604" i="19"/>
  <c r="G905" i="19"/>
  <c r="O135" i="19"/>
  <c r="G747" i="19"/>
  <c r="O712" i="19"/>
  <c r="N884" i="19"/>
  <c r="M1155" i="19"/>
  <c r="N844" i="19"/>
  <c r="G1044" i="19"/>
  <c r="M658" i="19"/>
  <c r="H209" i="19"/>
  <c r="N905" i="19"/>
  <c r="I742" i="19"/>
  <c r="O1125" i="19"/>
  <c r="I1141" i="19"/>
  <c r="M312" i="19"/>
  <c r="N666" i="19"/>
  <c r="O1008" i="19"/>
  <c r="M924" i="19"/>
  <c r="I896" i="19"/>
  <c r="I955" i="19"/>
  <c r="H749" i="19"/>
  <c r="M834" i="19"/>
  <c r="O462" i="19"/>
  <c r="I648" i="19"/>
  <c r="G684" i="19"/>
  <c r="G857" i="19"/>
  <c r="K1123" i="19"/>
  <c r="C944" i="19"/>
  <c r="H1025" i="19"/>
  <c r="O1069" i="19"/>
  <c r="M1024" i="19"/>
  <c r="G1148" i="19"/>
  <c r="I929" i="19"/>
  <c r="G1039" i="19"/>
  <c r="H712" i="19"/>
  <c r="I874" i="19"/>
  <c r="M618" i="19"/>
  <c r="N949" i="19"/>
  <c r="M1127" i="19"/>
  <c r="I767" i="19"/>
  <c r="H1136" i="19"/>
  <c r="C471" i="19"/>
  <c r="G1117" i="19"/>
  <c r="O946" i="19"/>
  <c r="O280" i="19"/>
  <c r="H953" i="19"/>
  <c r="I652" i="19"/>
  <c r="M255" i="19"/>
  <c r="N337" i="19"/>
  <c r="H998" i="19"/>
  <c r="H166" i="19"/>
  <c r="O278" i="19"/>
  <c r="M737" i="19"/>
  <c r="N327" i="19"/>
  <c r="H1093" i="19"/>
  <c r="A1012" i="19"/>
  <c r="H818" i="19"/>
  <c r="I722" i="19"/>
  <c r="H853" i="19"/>
  <c r="M1091" i="19"/>
  <c r="I691" i="19"/>
  <c r="N752" i="19"/>
  <c r="O990" i="19"/>
  <c r="G919" i="19"/>
  <c r="M214" i="19"/>
  <c r="L1123" i="19"/>
  <c r="H1143" i="19"/>
  <c r="G841" i="19"/>
  <c r="O1131" i="19"/>
  <c r="M290" i="19"/>
  <c r="N763" i="19"/>
  <c r="G926" i="19"/>
  <c r="G951" i="19"/>
  <c r="G906" i="19"/>
  <c r="O659" i="19"/>
  <c r="I252" i="19"/>
  <c r="M189" i="19"/>
  <c r="C98" i="19"/>
  <c r="M1154" i="19"/>
  <c r="G871" i="19"/>
  <c r="M786" i="19"/>
  <c r="O583" i="19"/>
  <c r="I610" i="19"/>
  <c r="H657" i="19"/>
  <c r="I771" i="19"/>
  <c r="C315" i="19"/>
  <c r="M966" i="19"/>
  <c r="M451" i="19"/>
  <c r="M904" i="19"/>
  <c r="G1139" i="19"/>
  <c r="K1086" i="19"/>
  <c r="O884" i="19"/>
  <c r="O769" i="19"/>
  <c r="N628" i="19"/>
  <c r="H1037" i="19"/>
  <c r="G1055" i="19"/>
  <c r="C693" i="19"/>
  <c r="H1127" i="19"/>
  <c r="O981" i="19"/>
  <c r="I617" i="19"/>
  <c r="O253" i="19"/>
  <c r="O58" i="19"/>
  <c r="O664" i="19"/>
  <c r="N1134" i="19"/>
  <c r="O1023" i="19"/>
  <c r="H812" i="19"/>
  <c r="G204" i="19"/>
  <c r="H660" i="19"/>
  <c r="C902" i="19"/>
  <c r="F1012" i="19"/>
  <c r="G1133" i="19"/>
  <c r="M794" i="19"/>
  <c r="H618" i="19"/>
  <c r="H833" i="19"/>
  <c r="H1130" i="19"/>
  <c r="I867" i="19"/>
  <c r="H900" i="19"/>
  <c r="M1113" i="19"/>
  <c r="O635" i="19"/>
  <c r="L1012" i="19"/>
  <c r="H1035" i="19"/>
  <c r="I1070" i="19"/>
  <c r="C690" i="19"/>
  <c r="G1142" i="19"/>
  <c r="N1036" i="19"/>
  <c r="O859" i="19"/>
  <c r="N435" i="19"/>
  <c r="N1032" i="19"/>
  <c r="O843" i="19"/>
  <c r="B792" i="19"/>
  <c r="N1059" i="19"/>
  <c r="N826" i="19"/>
  <c r="M848" i="19"/>
  <c r="H1125" i="19"/>
  <c r="O819" i="19"/>
  <c r="O1067" i="19"/>
  <c r="M509" i="19"/>
  <c r="I564" i="19"/>
  <c r="C126" i="19"/>
  <c r="C280" i="19"/>
  <c r="C581" i="19"/>
  <c r="C1026" i="19"/>
  <c r="N1064" i="19"/>
  <c r="O1091" i="19"/>
  <c r="G589" i="19"/>
  <c r="M634" i="19"/>
  <c r="M985" i="19"/>
  <c r="N117" i="19"/>
  <c r="G327" i="19"/>
  <c r="N914" i="19"/>
  <c r="G800" i="19"/>
  <c r="O372" i="19"/>
  <c r="M1056" i="19"/>
  <c r="I524" i="19"/>
  <c r="N896" i="19"/>
  <c r="N818" i="19"/>
  <c r="N1150" i="19"/>
  <c r="G342" i="19"/>
  <c r="G772" i="19"/>
  <c r="C324" i="19"/>
  <c r="B85" i="19"/>
  <c r="H275" i="19"/>
  <c r="I1037" i="19"/>
  <c r="O1053" i="19"/>
  <c r="G288" i="19"/>
  <c r="G887" i="19"/>
  <c r="I1097" i="19"/>
  <c r="C57" i="19"/>
  <c r="O1064" i="19"/>
  <c r="G1026" i="19"/>
  <c r="H982" i="19"/>
  <c r="O988" i="19"/>
  <c r="M770" i="19"/>
  <c r="H882" i="19"/>
  <c r="I882" i="19"/>
  <c r="N900" i="19"/>
  <c r="H604" i="19"/>
  <c r="H682" i="19"/>
  <c r="O1056" i="19"/>
  <c r="H1111" i="19"/>
  <c r="M1017" i="19"/>
  <c r="G743" i="19"/>
  <c r="O917" i="19"/>
  <c r="M802" i="19"/>
  <c r="M1061" i="19"/>
  <c r="I86" i="19"/>
  <c r="G683" i="19"/>
  <c r="O376" i="19"/>
  <c r="N624" i="19"/>
  <c r="C1062" i="19"/>
  <c r="I1102" i="19"/>
  <c r="C1127" i="19"/>
  <c r="H1097" i="19"/>
  <c r="N843" i="19"/>
  <c r="M522" i="19"/>
  <c r="G914" i="19"/>
  <c r="G127" i="19"/>
  <c r="C64" i="19"/>
  <c r="O1038" i="19"/>
  <c r="H894" i="19"/>
  <c r="N724" i="19"/>
  <c r="H1059" i="19"/>
  <c r="H993" i="19"/>
  <c r="N940" i="19"/>
  <c r="M892" i="19"/>
  <c r="M89" i="19"/>
  <c r="O539" i="19"/>
  <c r="N738" i="19"/>
  <c r="G918" i="19"/>
  <c r="G1097" i="19"/>
  <c r="B788" i="19"/>
  <c r="G1045" i="19"/>
  <c r="I811" i="19"/>
  <c r="M953" i="19"/>
  <c r="N152" i="19"/>
  <c r="N1054" i="19"/>
  <c r="G896" i="19"/>
  <c r="M1140" i="19"/>
  <c r="C498" i="19"/>
  <c r="C878" i="19"/>
  <c r="G1019" i="19"/>
  <c r="G846" i="19"/>
  <c r="N509" i="19"/>
  <c r="I979" i="19"/>
  <c r="M691" i="19"/>
  <c r="C951" i="19"/>
  <c r="C501" i="19"/>
  <c r="M711" i="19"/>
  <c r="N1042" i="19"/>
  <c r="G844" i="19"/>
  <c r="C354" i="19"/>
  <c r="A864" i="19"/>
  <c r="N1108" i="19"/>
  <c r="C1130" i="19"/>
  <c r="B15" i="19"/>
  <c r="H1071" i="19"/>
  <c r="C686" i="19"/>
  <c r="C352" i="19"/>
  <c r="C430" i="19"/>
  <c r="C800" i="19"/>
  <c r="N989" i="19"/>
  <c r="I1117" i="19"/>
  <c r="I369" i="19"/>
  <c r="M294" i="19"/>
  <c r="I40" i="19"/>
  <c r="H842" i="19"/>
  <c r="H388" i="19"/>
  <c r="I560" i="19"/>
  <c r="F457" i="19"/>
  <c r="M151" i="19"/>
  <c r="I69" i="19"/>
  <c r="H872" i="19"/>
  <c r="I434" i="19"/>
  <c r="M349" i="19"/>
  <c r="I716" i="19"/>
  <c r="N427" i="19"/>
  <c r="I921" i="19"/>
  <c r="H961" i="19"/>
  <c r="O645" i="19"/>
  <c r="I190" i="19"/>
  <c r="G631" i="19"/>
  <c r="G441" i="19"/>
  <c r="N706" i="19"/>
  <c r="H811" i="19"/>
  <c r="O555" i="19"/>
  <c r="I743" i="19"/>
  <c r="G851" i="19"/>
  <c r="I632" i="19"/>
  <c r="H372" i="19"/>
  <c r="N1090" i="19"/>
  <c r="O291" i="19"/>
  <c r="N855" i="19"/>
  <c r="L1086" i="19"/>
  <c r="O1119" i="19"/>
  <c r="I1136" i="19"/>
  <c r="M795" i="19"/>
  <c r="H544" i="19"/>
  <c r="N1100" i="19"/>
  <c r="B677" i="19"/>
  <c r="M598" i="19"/>
  <c r="I964" i="19"/>
  <c r="C982" i="19"/>
  <c r="M1088" i="19"/>
  <c r="C359" i="19"/>
  <c r="G427" i="19"/>
  <c r="H1116" i="19"/>
  <c r="I1095" i="19"/>
  <c r="N328" i="19"/>
  <c r="O767" i="19"/>
  <c r="G968" i="19"/>
  <c r="C542" i="19"/>
  <c r="C683" i="19"/>
  <c r="C729" i="19"/>
  <c r="G496" i="19"/>
  <c r="C939" i="19"/>
  <c r="H1091" i="19"/>
  <c r="M745" i="19"/>
  <c r="G897" i="19"/>
  <c r="I943" i="19"/>
  <c r="H1017" i="19"/>
  <c r="I739" i="19"/>
  <c r="C202" i="19"/>
  <c r="G916" i="19"/>
  <c r="G1080" i="19"/>
  <c r="H1022" i="19"/>
  <c r="L827" i="19"/>
  <c r="N511" i="19"/>
  <c r="I1150" i="19"/>
  <c r="O798" i="19"/>
  <c r="N711" i="19"/>
  <c r="G685" i="19"/>
  <c r="O560" i="19"/>
  <c r="O1116" i="19"/>
  <c r="H742" i="19"/>
  <c r="N1016" i="19"/>
  <c r="M1114" i="19"/>
  <c r="C357" i="19"/>
  <c r="C836" i="19"/>
  <c r="H387" i="19"/>
  <c r="G823" i="19"/>
  <c r="M425" i="19"/>
  <c r="O274" i="19"/>
  <c r="N962" i="19"/>
  <c r="N1020" i="19"/>
  <c r="I611" i="19"/>
  <c r="M697" i="19"/>
  <c r="M931" i="19"/>
  <c r="N978" i="19"/>
  <c r="G697" i="19"/>
  <c r="N1112" i="19"/>
  <c r="M779" i="19"/>
  <c r="C248" i="19"/>
  <c r="C170" i="19"/>
  <c r="G797" i="19"/>
  <c r="M1080" i="19"/>
  <c r="M1128" i="19"/>
  <c r="H1078" i="19"/>
  <c r="C870" i="19"/>
  <c r="N775" i="19"/>
  <c r="G1049" i="19"/>
  <c r="G1085" i="19"/>
  <c r="O927" i="19"/>
  <c r="G700" i="19"/>
  <c r="I80" i="19"/>
  <c r="N667" i="19"/>
  <c r="G1115" i="19"/>
  <c r="I1110" i="19"/>
  <c r="I845" i="19"/>
  <c r="M765" i="19"/>
  <c r="O821" i="19"/>
  <c r="O1007" i="19"/>
  <c r="O870" i="19"/>
  <c r="O1081" i="19"/>
  <c r="C100" i="19"/>
  <c r="B89" i="19"/>
  <c r="C619" i="19"/>
  <c r="I938" i="19"/>
  <c r="G423" i="19"/>
  <c r="M1105" i="19"/>
  <c r="G911" i="19"/>
  <c r="G554" i="19"/>
  <c r="H770" i="19"/>
  <c r="M879" i="19"/>
  <c r="O1034" i="19"/>
  <c r="F1123" i="19"/>
  <c r="C1056" i="19"/>
  <c r="C321" i="19"/>
  <c r="I911" i="19"/>
  <c r="M584" i="19"/>
  <c r="M896" i="19"/>
  <c r="G587" i="19"/>
  <c r="H1031" i="19"/>
  <c r="M1000" i="19"/>
  <c r="G1144" i="19"/>
  <c r="H983" i="19"/>
  <c r="C285" i="19"/>
  <c r="C130" i="19"/>
  <c r="G1000" i="19"/>
  <c r="B937" i="19"/>
  <c r="N868" i="19"/>
  <c r="M516" i="19"/>
  <c r="N170" i="19"/>
  <c r="H592" i="19"/>
  <c r="I1137" i="19"/>
  <c r="N915" i="19"/>
  <c r="N1065" i="19"/>
  <c r="G1125" i="19"/>
  <c r="M857" i="19"/>
  <c r="C96" i="19"/>
  <c r="B311" i="19"/>
  <c r="O775" i="19"/>
  <c r="C390" i="19"/>
  <c r="O762" i="19"/>
  <c r="M778" i="19"/>
  <c r="H1147" i="19"/>
  <c r="G1138" i="19"/>
  <c r="N688" i="19"/>
  <c r="I1103" i="19"/>
  <c r="C1064" i="19"/>
  <c r="G858" i="19"/>
  <c r="G1015" i="19"/>
  <c r="C759" i="19"/>
  <c r="C286" i="19"/>
  <c r="C989" i="19"/>
  <c r="C244" i="19"/>
  <c r="H723" i="19"/>
  <c r="B1051" i="19"/>
  <c r="N979" i="19"/>
  <c r="N963" i="19"/>
  <c r="H1072" i="19"/>
  <c r="O1147" i="19"/>
  <c r="I1142" i="19"/>
  <c r="C839" i="19"/>
  <c r="C210" i="19"/>
  <c r="H90" i="19"/>
  <c r="N890" i="19"/>
  <c r="H1152" i="19"/>
  <c r="C1025" i="19"/>
  <c r="C617" i="19"/>
  <c r="M738" i="19"/>
  <c r="C1014" i="19"/>
  <c r="O667" i="19"/>
  <c r="N781" i="19"/>
  <c r="C52" i="19"/>
  <c r="H685" i="19"/>
  <c r="N772" i="19"/>
  <c r="O1080" i="19"/>
  <c r="C1135" i="19"/>
  <c r="O1024" i="19"/>
  <c r="C393" i="19"/>
  <c r="C431" i="19"/>
  <c r="C464" i="19"/>
  <c r="C1018" i="19"/>
  <c r="N707" i="19"/>
  <c r="C249" i="19"/>
  <c r="I844" i="19"/>
  <c r="N1113" i="19"/>
  <c r="C879" i="19"/>
  <c r="I769" i="19"/>
  <c r="I1096" i="19"/>
  <c r="M739" i="19"/>
  <c r="C422" i="19"/>
  <c r="C313" i="19"/>
  <c r="O693" i="19"/>
  <c r="H1150" i="19"/>
  <c r="C316" i="19"/>
  <c r="A346" i="19"/>
  <c r="I1086" i="19"/>
  <c r="O1155" i="19"/>
  <c r="M1068" i="19"/>
  <c r="C685" i="19"/>
  <c r="M1108" i="19"/>
  <c r="C1132" i="19"/>
  <c r="N629" i="19"/>
  <c r="H901" i="19"/>
  <c r="M165" i="19"/>
  <c r="G947" i="19"/>
  <c r="N795" i="19"/>
  <c r="H765" i="19"/>
  <c r="G1135" i="19"/>
  <c r="N857" i="19"/>
  <c r="H837" i="19"/>
  <c r="I1131" i="19"/>
  <c r="N1071" i="19"/>
  <c r="B492" i="19"/>
  <c r="O964" i="19"/>
  <c r="H1122" i="19"/>
  <c r="C1094" i="19"/>
  <c r="C949" i="19"/>
  <c r="H663" i="19"/>
  <c r="N722" i="19"/>
  <c r="N663" i="19"/>
  <c r="O508" i="19"/>
  <c r="H708" i="19"/>
  <c r="C802" i="19"/>
  <c r="C762" i="19"/>
  <c r="N974" i="19"/>
  <c r="C284" i="19"/>
  <c r="B1012" i="19"/>
  <c r="M521" i="19"/>
  <c r="H599" i="19"/>
  <c r="B568" i="19"/>
  <c r="C136" i="19"/>
  <c r="O1129" i="19"/>
  <c r="O885" i="19"/>
  <c r="C276" i="19"/>
  <c r="O970" i="19"/>
  <c r="O1066" i="19"/>
  <c r="N674" i="19"/>
  <c r="O747" i="19"/>
  <c r="G1102" i="19"/>
  <c r="G1017" i="19"/>
  <c r="H623" i="19"/>
  <c r="I950" i="19"/>
  <c r="G742" i="19"/>
  <c r="O701" i="19"/>
  <c r="C797" i="19"/>
  <c r="H1073" i="19"/>
  <c r="C58" i="19"/>
  <c r="G706" i="19"/>
  <c r="M922" i="19"/>
  <c r="C171" i="19"/>
  <c r="M968" i="19"/>
  <c r="O971" i="19"/>
  <c r="C720" i="19"/>
  <c r="H908" i="19"/>
  <c r="O877" i="19"/>
  <c r="M1129" i="19"/>
  <c r="N743" i="19"/>
  <c r="C728" i="19"/>
  <c r="C840" i="19"/>
  <c r="H919" i="19"/>
  <c r="B533" i="19"/>
  <c r="N1070" i="19"/>
  <c r="B237" i="19"/>
  <c r="F790" i="19"/>
  <c r="C582" i="19"/>
  <c r="C909" i="19"/>
  <c r="C723" i="19"/>
  <c r="C392" i="19"/>
  <c r="C681" i="19"/>
  <c r="C391" i="19"/>
  <c r="C242" i="19"/>
  <c r="C204" i="19"/>
  <c r="C241" i="19"/>
  <c r="N1033" i="19"/>
  <c r="B1123" i="19"/>
  <c r="C607" i="19"/>
  <c r="C135" i="19"/>
  <c r="C535" i="19"/>
  <c r="G785" i="19"/>
  <c r="G299" i="19"/>
  <c r="I684" i="19"/>
  <c r="B1122" i="19"/>
  <c r="C767" i="19"/>
  <c r="C61" i="19"/>
  <c r="I1140" i="19"/>
  <c r="C213" i="19"/>
  <c r="G1145" i="19"/>
  <c r="G928" i="19"/>
  <c r="H450" i="19"/>
  <c r="C985" i="19"/>
  <c r="G1022" i="19"/>
  <c r="C200" i="19"/>
  <c r="I796" i="19"/>
  <c r="O1135" i="19"/>
  <c r="C953" i="19"/>
  <c r="M948" i="19"/>
  <c r="H635" i="19"/>
  <c r="C644" i="19"/>
  <c r="M970" i="19"/>
  <c r="H1094" i="19"/>
  <c r="M1027" i="19"/>
  <c r="C646" i="19"/>
  <c r="K1049" i="19"/>
  <c r="I90" i="19"/>
  <c r="L975" i="19"/>
  <c r="N923" i="19"/>
  <c r="M1143" i="19"/>
  <c r="I980" i="19"/>
  <c r="H1135" i="19"/>
  <c r="N1056" i="19"/>
  <c r="B718" i="19"/>
  <c r="C1098" i="19"/>
  <c r="N1075" i="19"/>
  <c r="C833" i="19"/>
  <c r="C757" i="19"/>
  <c r="C877" i="19"/>
  <c r="N415" i="19"/>
  <c r="H414" i="19"/>
  <c r="I773" i="19"/>
  <c r="N52" i="19"/>
  <c r="G709" i="19"/>
  <c r="N1128" i="19"/>
  <c r="G19" i="19"/>
  <c r="N916" i="19"/>
  <c r="O934" i="19"/>
  <c r="M239" i="19"/>
  <c r="O922" i="19"/>
  <c r="N737" i="19"/>
  <c r="G1020" i="19"/>
  <c r="C727" i="19"/>
  <c r="G962" i="19"/>
  <c r="H823" i="19"/>
  <c r="G959" i="19"/>
  <c r="G1126" i="19"/>
  <c r="H745" i="19"/>
  <c r="M907" i="19"/>
  <c r="C174" i="19"/>
  <c r="H1049" i="19"/>
  <c r="C279" i="19"/>
  <c r="O949" i="19"/>
  <c r="O1128" i="19"/>
  <c r="I890" i="19"/>
  <c r="C169" i="19"/>
  <c r="I1074" i="19"/>
  <c r="N832" i="19"/>
  <c r="N1151" i="19"/>
  <c r="C389" i="19"/>
  <c r="O1054" i="19"/>
  <c r="G934" i="19"/>
  <c r="N736" i="19"/>
  <c r="M1076" i="19"/>
  <c r="M732" i="19"/>
  <c r="N411" i="19"/>
  <c r="N912" i="19"/>
  <c r="I922" i="19"/>
  <c r="M918" i="19"/>
  <c r="M772" i="19"/>
  <c r="I89" i="19"/>
  <c r="H509" i="19"/>
  <c r="H1089" i="19"/>
  <c r="N729" i="19"/>
  <c r="C1133" i="19"/>
  <c r="G907" i="19"/>
  <c r="I1115" i="19"/>
  <c r="C428" i="19"/>
  <c r="C1019" i="19"/>
  <c r="M1051" i="19"/>
  <c r="C731" i="19"/>
  <c r="C508" i="19"/>
  <c r="C1137" i="19"/>
  <c r="C1125" i="19"/>
  <c r="I766" i="19"/>
  <c r="F901" i="19"/>
  <c r="C1059" i="19"/>
  <c r="C724" i="19"/>
  <c r="N1028" i="19"/>
  <c r="C472" i="19"/>
  <c r="H800" i="19"/>
  <c r="I655" i="19"/>
  <c r="C1020" i="19"/>
  <c r="O1037" i="19"/>
  <c r="N955" i="19"/>
  <c r="C946" i="19"/>
  <c r="O886" i="19"/>
  <c r="C990" i="19"/>
  <c r="C360" i="19"/>
  <c r="O1143" i="19"/>
  <c r="C984" i="19"/>
  <c r="H1015" i="19"/>
  <c r="B607" i="19"/>
  <c r="N993" i="19"/>
  <c r="C470" i="19"/>
  <c r="C538" i="19"/>
  <c r="H1082" i="19"/>
  <c r="C93" i="19"/>
  <c r="G391" i="19"/>
  <c r="G955" i="19"/>
  <c r="M1145" i="19"/>
  <c r="H971" i="19"/>
  <c r="N968" i="19"/>
  <c r="C948" i="19"/>
  <c r="B163" i="19"/>
  <c r="B1088" i="19"/>
  <c r="C687" i="19"/>
  <c r="H1139" i="19"/>
  <c r="I745" i="19"/>
  <c r="N1031" i="19"/>
  <c r="N1148" i="19"/>
  <c r="C348" i="19"/>
  <c r="C1096" i="19"/>
  <c r="H904" i="19"/>
  <c r="C578" i="19"/>
  <c r="I1069" i="19"/>
  <c r="G837" i="19"/>
  <c r="I997" i="19"/>
  <c r="C1093" i="19"/>
  <c r="O1082" i="19"/>
  <c r="N1079" i="19"/>
  <c r="C503" i="19"/>
  <c r="C760" i="19"/>
  <c r="C459" i="19"/>
  <c r="C653" i="19"/>
  <c r="G1127" i="19"/>
  <c r="C545" i="19"/>
  <c r="I984" i="19"/>
  <c r="G1110" i="19"/>
  <c r="M471" i="19"/>
  <c r="I876" i="19"/>
  <c r="M614" i="19"/>
  <c r="C615" i="19"/>
  <c r="B11" i="19"/>
  <c r="M663" i="19"/>
  <c r="A528" i="19"/>
  <c r="I897" i="19"/>
  <c r="H816" i="19"/>
  <c r="H1067" i="19"/>
  <c r="O914" i="19"/>
  <c r="M397" i="19"/>
  <c r="H796" i="19"/>
  <c r="C424" i="19"/>
  <c r="C544" i="19"/>
  <c r="C361" i="19"/>
  <c r="N497" i="19"/>
  <c r="O846" i="19"/>
  <c r="G666" i="19"/>
  <c r="G737" i="19"/>
  <c r="G1079" i="19"/>
  <c r="I715" i="19"/>
  <c r="I982" i="19"/>
  <c r="C1024" i="19"/>
  <c r="H1114" i="19"/>
  <c r="G1075" i="19"/>
  <c r="C691" i="19"/>
  <c r="M720" i="19"/>
  <c r="O1095" i="19"/>
  <c r="G1147" i="19"/>
  <c r="N802" i="19"/>
  <c r="O1031" i="19"/>
  <c r="C872" i="19"/>
  <c r="C91" i="19"/>
  <c r="M91" i="19"/>
  <c r="H851" i="19"/>
  <c r="M908" i="19"/>
  <c r="B126" i="19"/>
  <c r="M564" i="19"/>
  <c r="O837" i="19"/>
  <c r="O1070" i="19"/>
  <c r="O322" i="19"/>
  <c r="G760" i="19"/>
  <c r="I592" i="19"/>
  <c r="G1031" i="19"/>
  <c r="C831" i="19"/>
  <c r="M1022" i="19"/>
  <c r="O168" i="19"/>
  <c r="M971" i="19"/>
  <c r="O1110" i="19"/>
  <c r="H429" i="19"/>
  <c r="N1114" i="19"/>
  <c r="B1011" i="19"/>
  <c r="C540" i="19"/>
  <c r="M1092" i="19"/>
  <c r="L1049" i="19"/>
  <c r="C988" i="19"/>
  <c r="C165" i="19"/>
  <c r="M1029" i="19"/>
  <c r="I915" i="19"/>
  <c r="C868" i="19"/>
  <c r="I884" i="19"/>
  <c r="C945" i="19"/>
  <c r="G712" i="19"/>
  <c r="O960" i="19"/>
  <c r="C763" i="19"/>
  <c r="C913" i="19"/>
  <c r="I1088" i="19"/>
  <c r="C250" i="19"/>
  <c r="H979" i="19"/>
  <c r="I1129" i="19"/>
  <c r="C574" i="19"/>
  <c r="B1125" i="19"/>
  <c r="M1115" i="19"/>
  <c r="C163" i="19"/>
  <c r="M543" i="19"/>
  <c r="I350" i="19"/>
  <c r="H978" i="19"/>
  <c r="N1132" i="19"/>
  <c r="N1138" i="19"/>
  <c r="G1109" i="19"/>
  <c r="M90" i="19"/>
  <c r="H719" i="19"/>
  <c r="I848" i="19"/>
  <c r="N1095" i="19"/>
  <c r="H808" i="19"/>
  <c r="H91" i="19"/>
  <c r="M1101" i="19"/>
  <c r="M1033" i="19"/>
  <c r="C983" i="19"/>
  <c r="C766" i="19"/>
  <c r="O999" i="19"/>
  <c r="I967" i="19"/>
  <c r="H820" i="19"/>
  <c r="N1136" i="19"/>
  <c r="N1058" i="19"/>
  <c r="O1098" i="19"/>
  <c r="K1012" i="19"/>
  <c r="A1049" i="19"/>
  <c r="A1083" i="19"/>
  <c r="C358" i="19"/>
  <c r="G839" i="19"/>
  <c r="C1087" i="19"/>
  <c r="G1070" i="19"/>
  <c r="B864" i="19"/>
  <c r="I1026" i="19"/>
  <c r="C133" i="19"/>
  <c r="C907" i="19"/>
  <c r="O1015" i="19"/>
  <c r="N1041" i="19"/>
  <c r="I1082" i="19"/>
  <c r="G1076" i="19"/>
  <c r="M1100" i="19"/>
  <c r="N1117" i="19"/>
  <c r="C842" i="19"/>
  <c r="M793" i="19"/>
  <c r="I741" i="19"/>
  <c r="G806" i="19"/>
  <c r="O669" i="19"/>
  <c r="I974" i="19"/>
  <c r="M780" i="19"/>
  <c r="N919" i="19"/>
  <c r="H985" i="19"/>
  <c r="G812" i="19"/>
  <c r="H1047" i="19"/>
  <c r="C575" i="19"/>
  <c r="I891" i="19"/>
  <c r="N723" i="19"/>
  <c r="C394" i="19"/>
  <c r="M689" i="19"/>
  <c r="M877" i="19"/>
  <c r="C176" i="19"/>
  <c r="C463" i="19"/>
  <c r="N712" i="19"/>
  <c r="C246" i="19"/>
  <c r="N27" i="19"/>
  <c r="N204" i="19"/>
  <c r="I1001" i="19"/>
  <c r="M954" i="19"/>
  <c r="I685" i="19"/>
  <c r="C908" i="19"/>
  <c r="H795" i="19"/>
  <c r="H64" i="19"/>
  <c r="I924" i="19"/>
  <c r="O398" i="19"/>
  <c r="N998" i="19"/>
  <c r="G1149" i="19"/>
  <c r="G784" i="19"/>
  <c r="H233" i="19"/>
  <c r="I1139" i="19"/>
  <c r="H1054" i="19"/>
  <c r="C537" i="19"/>
  <c r="N1106" i="19"/>
  <c r="N1127" i="19"/>
  <c r="G1095" i="19"/>
  <c r="I1031" i="19"/>
  <c r="C794" i="19"/>
  <c r="H1156" i="19"/>
  <c r="N1027" i="19"/>
  <c r="C427" i="19"/>
  <c r="A1123" i="19"/>
  <c r="O1093" i="19"/>
  <c r="C620" i="19"/>
  <c r="N505" i="19"/>
  <c r="O1146" i="19"/>
  <c r="M1053" i="19"/>
  <c r="N985" i="19"/>
  <c r="C874" i="19"/>
  <c r="N1035" i="19"/>
  <c r="H1102" i="19"/>
  <c r="C613" i="19"/>
  <c r="H631" i="19"/>
  <c r="C350" i="19"/>
  <c r="M1004" i="19"/>
  <c r="O1152" i="19"/>
  <c r="C618" i="19"/>
  <c r="G526" i="19"/>
  <c r="M832" i="19"/>
  <c r="G979" i="19"/>
  <c r="C502" i="19"/>
  <c r="C237" i="19"/>
  <c r="H917" i="19"/>
  <c r="O818" i="19"/>
  <c r="B1047" i="19"/>
  <c r="I919" i="19"/>
  <c r="G980" i="19"/>
  <c r="C385" i="19"/>
  <c r="O794" i="19"/>
  <c r="H1053" i="19"/>
  <c r="C101" i="19"/>
  <c r="O1062" i="19"/>
  <c r="I1093" i="19"/>
  <c r="O796" i="19"/>
  <c r="M1133" i="19"/>
  <c r="C1097" i="19"/>
  <c r="C54" i="19"/>
  <c r="C278" i="19"/>
  <c r="C726" i="19"/>
  <c r="I694" i="19"/>
  <c r="G997" i="19"/>
  <c r="C572" i="19"/>
  <c r="I1041" i="19"/>
  <c r="C952" i="19"/>
  <c r="C987" i="19"/>
  <c r="H1002" i="19"/>
  <c r="C1100" i="19"/>
  <c r="I1055" i="19"/>
  <c r="C62" i="19"/>
  <c r="C322" i="19"/>
  <c r="H1121" i="19"/>
  <c r="C651" i="19"/>
  <c r="A824" i="19"/>
  <c r="N669" i="19"/>
  <c r="G864" i="19"/>
  <c r="O663" i="19"/>
  <c r="H1141" i="19"/>
  <c r="G440" i="19"/>
  <c r="N325" i="19"/>
  <c r="H938" i="19"/>
  <c r="G710" i="19"/>
  <c r="F938" i="19"/>
  <c r="O321" i="19"/>
  <c r="I965" i="19"/>
  <c r="I502" i="19"/>
  <c r="G1089" i="19"/>
  <c r="C805" i="19"/>
  <c r="I517" i="19"/>
  <c r="M597" i="19"/>
  <c r="H771" i="19"/>
  <c r="C65" i="19"/>
  <c r="M1134" i="19"/>
  <c r="C243" i="19"/>
  <c r="I1149" i="19"/>
  <c r="C465" i="19"/>
  <c r="O428" i="19"/>
  <c r="H841" i="19"/>
  <c r="O541" i="19"/>
  <c r="G504" i="19"/>
  <c r="M969" i="19"/>
  <c r="M192" i="19"/>
  <c r="C543" i="19"/>
  <c r="C1013" i="19"/>
  <c r="M1136" i="19"/>
  <c r="G1038" i="19"/>
  <c r="O1043" i="19"/>
  <c r="N22" i="19"/>
  <c r="B1084" i="19"/>
  <c r="O1074" i="19"/>
  <c r="M1060" i="19"/>
  <c r="I1156" i="19"/>
  <c r="M1152" i="19"/>
  <c r="M941" i="19"/>
  <c r="C1027" i="19"/>
  <c r="H1045" i="19"/>
  <c r="I1078" i="19"/>
  <c r="N733" i="19"/>
  <c r="H768" i="19"/>
  <c r="N1002" i="19"/>
  <c r="M1043" i="19"/>
  <c r="H1041" i="19"/>
  <c r="M958" i="19"/>
  <c r="C1021" i="19"/>
  <c r="H1023" i="19"/>
  <c r="O1153" i="19"/>
  <c r="C207" i="19"/>
  <c r="B681" i="19"/>
  <c r="C616" i="19"/>
  <c r="K975" i="19"/>
  <c r="M1066" i="19"/>
  <c r="C947" i="19"/>
  <c r="G1101" i="19"/>
  <c r="O1090" i="19"/>
  <c r="G654" i="19"/>
  <c r="M776" i="19"/>
  <c r="M682" i="19"/>
  <c r="C1061" i="19"/>
  <c r="C387" i="19"/>
  <c r="G929" i="19"/>
  <c r="G1118" i="19"/>
  <c r="N1017" i="19"/>
  <c r="I183" i="19"/>
  <c r="O782" i="19"/>
  <c r="O1137" i="19"/>
  <c r="C132" i="19"/>
  <c r="C398" i="19"/>
  <c r="B52" i="19"/>
  <c r="G89" i="19"/>
  <c r="A861" i="19"/>
  <c r="N1043" i="19"/>
  <c r="N730" i="19"/>
  <c r="N1109" i="19"/>
  <c r="O996" i="19"/>
  <c r="C866" i="19"/>
  <c r="O781" i="19"/>
  <c r="H1016" i="19"/>
  <c r="C134" i="19"/>
  <c r="C657" i="19"/>
  <c r="C245" i="19"/>
  <c r="C461" i="19"/>
  <c r="C205" i="19"/>
  <c r="C799" i="19"/>
  <c r="H1076" i="19"/>
  <c r="G1059" i="19"/>
  <c r="O966" i="19"/>
  <c r="C609" i="19"/>
  <c r="C838" i="19"/>
  <c r="H1021" i="19"/>
  <c r="M558" i="19"/>
  <c r="I1057" i="19"/>
  <c r="B529" i="19"/>
  <c r="I1019" i="19"/>
  <c r="G767" i="19"/>
  <c r="B789" i="19"/>
  <c r="B755" i="19"/>
  <c r="C19" i="19"/>
  <c r="G718" i="19"/>
  <c r="G1112" i="19"/>
  <c r="G1098" i="19"/>
  <c r="N967" i="19"/>
  <c r="N581" i="19"/>
  <c r="N888" i="19"/>
  <c r="I1152" i="19"/>
  <c r="M990" i="19"/>
  <c r="O890" i="19"/>
  <c r="M1097" i="19"/>
  <c r="G518" i="19"/>
  <c r="N847" i="19"/>
  <c r="N944" i="19"/>
  <c r="H668" i="19"/>
  <c r="C689" i="19"/>
  <c r="O1151" i="19"/>
  <c r="G970" i="19"/>
  <c r="I288" i="19"/>
  <c r="G719" i="19"/>
  <c r="N503" i="19"/>
  <c r="O1068" i="19"/>
  <c r="I914" i="19"/>
  <c r="N1023" i="19"/>
  <c r="H957" i="19"/>
  <c r="G913" i="19"/>
  <c r="H1133" i="19"/>
  <c r="O1094" i="19"/>
  <c r="I430" i="19"/>
  <c r="G1032" i="19"/>
  <c r="M117" i="19"/>
  <c r="H910" i="19"/>
  <c r="O1055" i="19"/>
  <c r="I1012" i="19"/>
  <c r="H950" i="19"/>
  <c r="M812" i="19"/>
  <c r="C1138" i="19"/>
  <c r="C1129" i="19"/>
  <c r="O736" i="19"/>
  <c r="N698" i="19"/>
  <c r="M645" i="19"/>
  <c r="O366" i="19"/>
  <c r="G755" i="19"/>
  <c r="O980" i="19"/>
  <c r="M582" i="19"/>
  <c r="I1135" i="19"/>
  <c r="H1096" i="19"/>
  <c r="G724" i="19"/>
  <c r="C905" i="19"/>
  <c r="G1092" i="19"/>
  <c r="O1065" i="19"/>
  <c r="C837" i="19"/>
  <c r="G363" i="19"/>
  <c r="G1036" i="19"/>
  <c r="C694" i="19"/>
  <c r="H1057" i="19"/>
  <c r="N1082" i="19"/>
  <c r="G986" i="19"/>
  <c r="C1092" i="19"/>
  <c r="N1111" i="19"/>
  <c r="O968" i="19"/>
  <c r="C834" i="19"/>
  <c r="C435" i="19"/>
  <c r="N1118" i="19"/>
  <c r="O1019" i="19"/>
  <c r="C500" i="19"/>
  <c r="I1079" i="19"/>
  <c r="O879" i="19"/>
  <c r="I1125" i="19"/>
  <c r="H980" i="19"/>
  <c r="G1058" i="19"/>
  <c r="C649" i="19"/>
  <c r="O697" i="19"/>
  <c r="H766" i="19"/>
  <c r="C274" i="19"/>
  <c r="C311" i="19"/>
  <c r="B200" i="19"/>
  <c r="C583" i="19"/>
  <c r="C59" i="19"/>
  <c r="H1074" i="19"/>
  <c r="C688" i="19"/>
  <c r="H1038" i="19"/>
  <c r="C1058" i="19"/>
  <c r="C570" i="19"/>
  <c r="C915" i="19"/>
  <c r="C796" i="19"/>
  <c r="C841" i="19"/>
  <c r="G998" i="19"/>
  <c r="M1077" i="19"/>
  <c r="N1093" i="19"/>
  <c r="N1040" i="19"/>
  <c r="C1051" i="19"/>
  <c r="M799" i="19"/>
  <c r="N1103" i="19"/>
  <c r="M852" i="19"/>
  <c r="O1022" i="19"/>
  <c r="C981" i="19"/>
  <c r="O810" i="19"/>
  <c r="N929" i="19"/>
  <c r="C56" i="19"/>
  <c r="O537" i="19"/>
  <c r="C801" i="19"/>
  <c r="H459" i="19"/>
  <c r="I1090" i="19"/>
  <c r="N83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<sst xmlns="http://schemas.openxmlformats.org/spreadsheetml/2006/main" count="1004" uniqueCount="49">
  <si>
    <t>Year</t>
  </si>
  <si>
    <t>Month</t>
  </si>
  <si>
    <t>Day</t>
  </si>
  <si>
    <t>Model</t>
  </si>
  <si>
    <t>DEFAULT</t>
  </si>
  <si>
    <t>BaseAddress</t>
  </si>
  <si>
    <t>FirstDataRowNo</t>
  </si>
  <si>
    <t>TEST.SIM1</t>
  </si>
  <si>
    <t>Type</t>
  </si>
  <si>
    <t>Hourly</t>
  </si>
  <si>
    <t>Daily</t>
  </si>
  <si>
    <t>Monthly</t>
  </si>
  <si>
    <t>/Historical/AllMonthsData/DEFAULT?TagName=TEST.SIM1&amp;YearDate=2018-08-01</t>
  </si>
  <si>
    <t>RT</t>
  </si>
  <si>
    <t>FAST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</si>
  <si>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Hide this sheet after modifing these fields</t>
    </r>
  </si>
  <si>
    <t>http://localhost:49110/</t>
  </si>
  <si>
    <t>Group.Tag</t>
  </si>
  <si>
    <t>/Historical/AllDaysData/DEFAULT?TagName=Day&amp;MonthDate=2018-08-01</t>
  </si>
  <si>
    <t xml:space="preserve">Mode </t>
  </si>
  <si>
    <t>Seasonal Adjust mode</t>
  </si>
  <si>
    <t>Water Days</t>
  </si>
  <si>
    <t>Ignore Calendar Days Off</t>
  </si>
  <si>
    <t>Start Times</t>
  </si>
  <si>
    <t>Mode:</t>
  </si>
  <si>
    <t>Stack or Overlap:</t>
  </si>
  <si>
    <t>No Water Window :</t>
  </si>
  <si>
    <t>Station Delay:</t>
  </si>
  <si>
    <t>Start Time 1</t>
  </si>
  <si>
    <t>Start Time 2</t>
  </si>
  <si>
    <t>Start Time 3</t>
  </si>
  <si>
    <t>Start Time 4</t>
  </si>
  <si>
    <t>Start Time 5</t>
  </si>
  <si>
    <t>Start Time 6</t>
  </si>
  <si>
    <t>Start Time 7</t>
  </si>
  <si>
    <t>Start Time 8</t>
  </si>
  <si>
    <t>Start Time 9</t>
  </si>
  <si>
    <t>Start Time 10</t>
  </si>
  <si>
    <t>Order</t>
  </si>
  <si>
    <t>Run Type</t>
  </si>
  <si>
    <t>ID</t>
  </si>
  <si>
    <t>Run Time</t>
  </si>
  <si>
    <t>Adj,R.T</t>
  </si>
  <si>
    <t>Adj.R.T</t>
  </si>
  <si>
    <t>Program Number</t>
  </si>
  <si>
    <t xml:space="preserve">Controller </t>
  </si>
  <si>
    <t>C:\Users\ahmed\OneDrive - streamcontrols.com\Desktop\Work\Hunter\HunterApp\Reports\</t>
  </si>
  <si>
    <t>ï»¿-1,00:03:12,1092:15,01:04:00,1,1,0,0,126,559,47,2,1,1,64,65535,65535,65535,65535,65535,65535,65535,65535,65535,1,100,0,65535,65535,0,1217,1438,0,1,1,0,1,1,3840,1,1,42900,1,6,42900,1,7,42900,1,8,42900,2,9,42900,2,10,42900,2,11,42900,2,12,42900,2,13,42900,2,14,42900,2,15,42900,2,16,42900,2,17,42900,2,18,42900,2,19,42900,2,20,42900,2,21,42900,2,22,42900,2,23,42900,2,24,42900,2,25,42900,2,26,42900,2,27,42900,2,28,42900,2,29,42900,2,30,42900,2,31,42900,2,32,42900,2,33,42900,2,34,42900,2,35,42900,2,36,42900,2,37,42900,2,38,42900,2,39,42900,2,40,42900,2,41,42900,2,42,42900,2,43,42900,2,22,42900,2,23,42900,0,0,0,0,0,0,0,0,0,0,0,0,0,0,0,0,0,0,0,0,0,0,0,0,0,0,0,0,0,0,0,0,0,0,0,0,0,0,0,0,0,0,0,0,0,0,0,0,0,0,0,0,0,0,0,0,0,0,0,0,0,0,0,0,0,0,0,1,1092,1092,1092,1092,1092,1092,1092,1092,1092,4,15,15,15,15,15,15,15,15,15,0,0,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00,00:00:00,00:00:00,00:00:00,00:00:00,00:00:00,00:00:00,00:00:00,00:00:00,00:00:00,00:00:00,00:00:00,00:00:00,00:00:00,00:00:00,00:00:00,00:00:00,00:00:00,00:00:00,00:00:00,00:00:00,00:00:00,00:00:00,00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00:00,00:00:00,00:00:00,00:00:00,00:00:00,00:00:00,00:00:00,00:00:00,00:00:00,00:00:00,00:00:00,00:00:00,00:00:00,00:00:00,00:00:00,00:00:00,00:00:00,00:00:00,00:00:00,00:00:00,00:00:00,00:00:00,-1-1,00:00:33,1092:15,00:11:00,2,2,1,2,127,148,0,2,1,0,2,65535,65535,1433,1436,65535,65535,65535,65535,65535,1,100,0,65535,65535,1,65535,65535,0,2,2,0,1,1,660,1,2,660,1,3,660,1,4,660,1,5,660,1,6,660,1,7,660,1,8,660,1,9,660,1,10,660,1,11,660,1,12,660,1,13,660,1,14,660,1,15,660,1,16,660,1,17,660,1,18,660,1,19,660,1,20,660,1,21,660,1,22,660,0,0,0,0,0,0,0,0,0,0,0,0,0,0,0,0,0,0,0,0,0,0,0,0,0,0,0,0,0,0,0,0,0,0,0,0,0,0,0,0,0,0,0,0,0,0,0,0,0,0,0,0,0,0,0,0,0,0,0,0,0,0,0,0,0,0,0,0,0,0,0,0,0,0,0,0,0,0,0,0,0,0,0,0,0,0,0,0,0,0,0,0,0,0,0,0,0,0,0,0,0,0,0,0,0,0,0,0,0,0,0,0,0,0,0,0,0,0,0,0,0,0,0,0,0,0,0,0,1092,1092,1092,23,23,1092,1092,1092,1092,2,15,15,15,53,56,15,15,15,15,0,0,1,00:11:00,00:11:00,00:11:00,00:11:00,00:11:00,00:11:00,00:11:00,00:11:00,00:11:00,00:11:00,00:11:00,00:11:00,00:11:00,00:11:00,00:11:00,00:11:00,00:11:00,00:11:00,00:11:00,00:11:00,00:11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33,00:00:33,00:00:33,00:00:33,00:00:33,00:00:33,00:00:33,00:00:33,00:00:33,00:00:33,00:00:33,00:00:33,00:00:33,00:00:33,00:00:33,00:00:33,00:00:33,00:00:33,00:00:33,00:00:33,00:00:33,00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00,-1-1,00:00:00,1092:15,00:00:00,3,3,0,0,127,128,0,2,1,0,65535,65535,65535,65535,65535,65535,65535,65535,65535,65535,1,100,0,65535,65535,1,65535,65535,0,3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1092,1092,1092,1092,1092,1092,1092,1092,1092,1092,15,15,15,15,15,15,15,15,15,15,0,0,1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00,-1-1,00:00:00,1092:15,00:00:00,4,4,0,0,127,128,0,2,1,0,65535,65535,65535,65535,65535,65535,65535,65535,65535,65535,1,100,0,65535,65535,1,65535,65535,0,4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1092,1092,1092,1092,1092,1092,1092,1092,1092,1092,15,15,15,15,15,15,15,15,15,15,0,0,1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00,-1</t>
  </si>
  <si>
    <t>ï»¿-1,1092:15,-1-1,1092:15,-1-1,1092:15,-1-1,1092:15,-1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</si>
</sst>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7ABD1"/>
        <bgColor indexed="64"/>
      </patternFill>
    </fill>
    <fill>
      <patternFill patternType="solid">
        <fgColor rgb="FF00658A"/>
        <bgColor indexed="64"/>
      </patternFill>
    </fill>
    <fill>
      <patternFill patternType="solid">
        <fgColor rgb="FFE4E1DF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0" xfId="0" applyFill="1" applyAlignment="1">
      <alignment horizontal="center"/>
    </xf>
    <xf numFmtId="0" fontId="4" fillId="2" borderId="0" xfId="1" applyFill="1"/>
    <xf numFmtId="0" fontId="0" fillId="0" borderId="0" xfId="0" applyAlignment="1">
      <alignment wrapText="1"/>
    </xf>
    <xf numFmtId="0" fontId="1" fillId="6" borderId="5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8" fillId="7" borderId="0" xfId="0" applyFont="1" applyFill="1"/>
    <xf numFmtId="0" fontId="7" fillId="6" borderId="4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7" fillId="6" borderId="5" xfId="0" applyFont="1" applyFill="1" applyBorder="1" applyAlignment="1">
      <alignment horizontal="left" vertical="center"/>
    </xf>
    <xf numFmtId="9" fontId="8" fillId="7" borderId="0" xfId="0" applyNumberFormat="1" applyFont="1" applyFill="1" applyAlignment="1">
      <alignment horizontal="left"/>
    </xf>
    <xf numFmtId="0" fontId="8" fillId="7" borderId="11" xfId="0" applyFont="1" applyFill="1" applyBorder="1" applyAlignment="1">
      <alignment horizontal="center"/>
    </xf>
    <xf numFmtId="0" fontId="8" fillId="8" borderId="0" xfId="0" applyFont="1" applyFill="1"/>
    <xf numFmtId="0" fontId="8" fillId="8" borderId="0" xfId="0" applyFont="1" applyFill="1" applyAlignment="1">
      <alignment horizontal="center"/>
    </xf>
    <xf numFmtId="0" fontId="8" fillId="8" borderId="8" xfId="0" applyFont="1" applyFill="1" applyBorder="1" applyAlignment="1">
      <alignment horizontal="left" vertical="center"/>
    </xf>
    <xf numFmtId="0" fontId="8" fillId="8" borderId="8" xfId="0" applyFont="1" applyFill="1" applyBorder="1"/>
    <xf numFmtId="0" fontId="8" fillId="8" borderId="8" xfId="0" applyFont="1" applyFill="1" applyBorder="1" applyAlignment="1">
      <alignment horizontal="center"/>
    </xf>
    <xf numFmtId="0" fontId="8" fillId="8" borderId="3" xfId="0" applyFont="1" applyFill="1" applyBorder="1"/>
    <xf numFmtId="0" fontId="7" fillId="8" borderId="5" xfId="0" applyFont="1" applyFill="1" applyBorder="1" applyAlignment="1">
      <alignment horizontal="left" vertical="center"/>
    </xf>
    <xf numFmtId="0" fontId="8" fillId="7" borderId="0" xfId="0" applyFont="1" applyFill="1" applyAlignment="1">
      <alignment horizontal="center"/>
    </xf>
    <xf numFmtId="0" fontId="5" fillId="6" borderId="4" xfId="0" applyFont="1" applyFill="1" applyBorder="1" applyAlignment="1">
      <alignment horizontal="centerContinuous" vertical="center"/>
    </xf>
    <xf numFmtId="0" fontId="5" fillId="6" borderId="5" xfId="0" applyFont="1" applyFill="1" applyBorder="1" applyAlignment="1">
      <alignment horizontal="centerContinuous" vertical="center"/>
    </xf>
    <xf numFmtId="0" fontId="5" fillId="6" borderId="6" xfId="0" applyFont="1" applyFill="1" applyBorder="1" applyAlignment="1">
      <alignment horizontal="centerContinuous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8" fillId="8" borderId="5" xfId="0" applyFont="1" applyFill="1" applyBorder="1"/>
    <xf numFmtId="0" fontId="8" fillId="8" borderId="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 vertical="center"/>
    </xf>
    <xf numFmtId="0" fontId="8" fillId="8" borderId="9" xfId="0" applyFont="1" applyFill="1" applyBorder="1"/>
    <xf numFmtId="0" fontId="7" fillId="6" borderId="6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/>
    </xf>
    <xf numFmtId="0" fontId="8" fillId="7" borderId="0" xfId="0" applyFont="1" applyFill="1" applyAlignment="1">
      <alignment horizontal="left"/>
    </xf>
    <xf numFmtId="0" fontId="5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FFFF99"/>
      <color rgb="FFE4E1DF"/>
      <color rgb="FF00658A"/>
      <color rgb="FF47ABD1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85725</xdr:rowOff>
        </xdr:from>
        <xdr:to>
          <xdr:col>4</xdr:col>
          <xdr:colOff>809625</xdr:colOff>
          <xdr:row>7</xdr:row>
          <xdr:rowOff>133350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4911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workbookViewId="0">
      <selection activeCell="G20" sqref="G20"/>
    </sheetView>
  </sheetViews>
  <sheetFormatPr defaultRowHeight="15" x14ac:dyDescent="0.25"/>
  <cols>
    <col min="1" max="1" width="19.42578125" customWidth="1"/>
    <col min="2" max="2" width="21.85546875" bestFit="1" customWidth="1"/>
  </cols>
  <sheetData>
    <row r="1" spans="1:2" x14ac:dyDescent="0.25">
      <c r="A1" t="s">
        <v>5</v>
      </c>
      <c r="B1" s="13" t="s">
        <v>16</v>
      </c>
    </row>
    <row r="2" spans="1:2" x14ac:dyDescent="0.25">
      <c r="A2" t="s">
        <v>6</v>
      </c>
      <c r="B2" s="12">
        <v>10</v>
      </c>
    </row>
    <row r="4" spans="1:2" x14ac:dyDescent="0.25">
      <c r="A4" t="s">
        <v>15</v>
      </c>
    </row>
  </sheetData>
  <hyperlinks>
    <hyperlink ref="B1" r:id="rId1" xr:uid="{161E075D-C8B4-4029-B928-920504FD4A8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6AE-F82C-47C3-AC4E-9FA0E7CDBAAD}">
  <sheetPr codeName="Sheet4"/>
  <dimension ref="A1:O1156"/>
  <sheetViews>
    <sheetView tabSelected="1" topLeftCell="A6" workbookViewId="0">
      <selection activeCell="L6" sqref="L6"/>
    </sheetView>
  </sheetViews>
  <sheetFormatPr defaultRowHeight="15" x14ac:dyDescent="0.25"/>
  <cols>
    <col min="1" max="1" width="23.28515625" customWidth="1"/>
    <col min="2" max="3" width="20.7109375" customWidth="1"/>
    <col min="4" max="4" width="1.7109375" customWidth="1"/>
    <col min="5" max="5" width="12.140625" customWidth="1"/>
    <col min="6" max="6" width="20.7109375" customWidth="1"/>
    <col min="7" max="7" width="9.5703125" customWidth="1"/>
    <col min="8" max="8" width="20.7109375" customWidth="1"/>
    <col min="9" max="9" width="20.7109375" style="3" customWidth="1"/>
    <col min="10" max="10" width="1.7109375" customWidth="1"/>
    <col min="11" max="11" width="12.140625" customWidth="1"/>
    <col min="12" max="12" width="20.7109375" customWidth="1"/>
    <col min="13" max="13" width="9.5703125" customWidth="1"/>
    <col min="14" max="15" width="20.7109375" customWidth="1"/>
  </cols>
  <sheetData>
    <row r="1" spans="1:15" ht="409.5" hidden="1" x14ac:dyDescent="0.25">
      <c r="A1" s="14" t="s">
        <v>47</v>
      </c>
      <c r="B1" s="14" t="str">
        <f>CONCATENATE(E1,"ReportText\C", TEXT(C7, "000"), "_Schedule.txt")</f>
        <v>C:\Users\ahmed\OneDrive - streamcontrols.com\Desktop\Work\Hunter\HunterApp\Reports\ReportText\C001_Schedule.txt</v>
      </c>
      <c r="C1" s="14" t="str">
        <f>CONCATENATE(E1,"ReportText\C", TEXT(C7, "000"), "_Schedule2.txt")</f>
        <v>C:\Users\ahmed\OneDrive - streamcontrols.com\Desktop\Work\Hunter\HunterApp\Reports\ReportText\C001_Schedule2.txt</v>
      </c>
      <c r="E1" s="14" t="s">
        <v>46</v>
      </c>
    </row>
    <row r="2" spans="1:15" ht="99.75" hidden="1" customHeight="1" x14ac:dyDescent="0.25">
      <c r="A2" s="14" t="str">
        <f>MID(A1,4,90000)</f>
        <v>-1,00:03:12,1092:15,01:04:00,1,1,0,0,126,559,47,2,1,1,64,65535,65535,65535,65535,65535,65535,65535,65535,65535,1,100,0,65535,65535,0,1217,1438,0,1,1,0,1,1,3840,1,1,42900,1,6,42900,1,7,42900,1,8,42900,2,9,42900,2,10,42900,2,11,42900,2,12,42900,2,13,42900,2,14,42900,2,15,42900,2,16,42900,2,17,42900,2,18,42900,2,19,42900,2,20,42900,2,21,42900,2,22,42900,2,23,42900,2,24,42900,2,25,42900,2,26,42900,2,27,42900,2,28,42900,2,29,42900,2,30,42900,2,31,42900,2,32,42900,2,33,42900,2,34,42900,2,35,42900,2,36,42900,2,37,42900,2,38,42900,2,39,42900,2,40,42900,2,41,42900,2,42,42900,2,43,42900,2,22,42900,2,23,42900,0,0,0,0,0,0,0,0,0,0,0,0,0,0,0,0,0,0,0,0,0,0,0,0,0,0,0,0,0,0,0,0,0,0,0,0,0,0,0,0,0,0,0,0,0,0,0,0,0,0,0,0,0,0,0,0,0,0,0,0,0,0,0,0,0,0,0,1,1092,1092,1092,1092,1092,1092,1092,1092,1092,4,15,15,15,15,15,15,15,15,15,0,0,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00,11:55:00,00:00:00,00:00:00,00:00:00,00:00:00,00:00:00,00:00:00,00:00:00,00:00:00,00:00:00,00:00:00,00:00:00,00:00:00,00:00:00,00:00:00,00:00:00,00:00:00,00:00:00,00:00:00,00:00:00,00:00:00,00:00:00,00:00:00,00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35:45,00:00:00,00:00:00,00:00:00,00:00:00,00:00:00,00:00:00,00:00:00,00:00:00,00:00:00,00:00:00,00:00:00,00:00:00,00:00:00,00:00:00,00:00:00,00:00:00,00:00:00,00:00:00,00:00:00,00:00:00,00:00:00,00:00:00,-1-1,00:00:33,1092:15,00:11:00,2,2,1,2,127,148,0,2,1,0,2,65535,65535,1433,1436,65535,65535,65535,65535,65535,1,100,0,65535,65535,1,65535,65535,0,2,2,0,1,1,660,1,2,660,1,3,660,1,4,660,1,5,660,1,6,660,1,7,660,1,8,660,1,9,660,1,10,660,1,11,660,1,12,660,1,13,660,1,14,660,1,15,660,1,16,660,1,17,660,1,18,660,1,19,660,1,20,660,1,21,660,1,22,660,0,0,0,0,0,0,0,0,0,0,0,0,0,0,0,0,0,0,0,0,0,0,0,0,0,0,0,0,0,0,0,0,0,0,0,0,0,0,0,0,0,0,0,0,0,0,0,0,0,0,0,0,0,0,0,0,0,0,0,0,0,0,0,0,0,0,0,0,0,0,0,0,0,0,0,0,0,0,0,0,0,0,0,0,0,0,0,0,0,0,0,0,0,0,0,0,0,0,0,0,0,0,0,0,0,0,0,0,0,0,0,0,0,0,0,0,0,0,0,0,0,0,0,0,0,0,0,0,1092,1092,1092,23,23,1092,1092,1092,1092,2,15,15,15,53,56,15,15,15,15,0,0,1,00:11:00,00:11:00,00:11:00,00:11:00,00:11:00,00:11:00,00:11:00,00:11:00,00:11:00,00:11:00,00:11:00,00:11:00,00:11:00,00:11:00,00:11:00,00:11:00,00:11:00,00:11:00,00:11:00,00:11:00,00:11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33,00:00:33,00:00:33,00:00:33,00:00:33,00:00:33,00:00:33,00:00:33,00:00:33,00:00:33,00:00:33,00:00:33,00:00:33,00:00:33,00:00:33,00:00:33,00:00:33,00:00:33,00:00:33,00:00:33,00:00:33,00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00,-1-1,00:00:00,1092:15,00:00:00,3,3,0,0,127,128,0,2,1,0,65535,65535,65535,65535,65535,65535,65535,65535,65535,65535,1,100,0,65535,65535,1,65535,65535,0,3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1092,1092,1092,1092,1092,1092,1092,1092,1092,1092,15,15,15,15,15,15,15,15,15,15,0,0,1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00,-1-1,00:00:00,1092:15,00:00:00,4,4,0,0,127,128,0,2,1,0,65535,65535,65535,65535,65535,65535,65535,65535,65535,65535,1,100,0,65535,65535,1,65535,65535,0,4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1092,1092,1092,1092,1092,1092,1092,1092,1092,1092,15,15,15,15,15,15,15,15,15,15,0,0,1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00,00:00:00,-1</v>
      </c>
    </row>
    <row r="3" spans="1:15" ht="15.75" hidden="1" customHeight="1" x14ac:dyDescent="0.25"/>
    <row r="4" spans="1:15" ht="83.25" hidden="1" customHeight="1" x14ac:dyDescent="0.25">
      <c r="B4" s="14" t="s">
        <v>48</v>
      </c>
      <c r="C4" s="14" t="str">
        <f>MID(B4,4,90000)</f>
        <v>-1,1092:15,-1-1,1092:15,-1-1,1092:15,-1-1,1092:15,-1</v>
      </c>
    </row>
    <row r="5" spans="1:15" ht="15.75" hidden="1" customHeight="1" x14ac:dyDescent="0.25"/>
    <row r="6" spans="1:15" ht="15.75" customHeight="1" x14ac:dyDescent="0.25"/>
    <row r="7" spans="1:15" ht="15.75" customHeight="1" x14ac:dyDescent="0.25">
      <c r="B7" s="1" t="s">
        <v>45</v>
      </c>
      <c r="C7" s="2">
        <v>1</v>
      </c>
    </row>
    <row r="8" spans="1:15" ht="15.75" customHeight="1" x14ac:dyDescent="0.25"/>
    <row r="9" spans="1:15" ht="30.75" customHeight="1" x14ac:dyDescent="0.25">
      <c r="A9" s="33" t="str">
        <f>CONCATENATE("Controller C",TEXT(C7,"000"))</f>
        <v>Controller C001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5"/>
    </row>
    <row r="10" spans="1:15" ht="23.25" customHeight="1" x14ac:dyDescent="0.25">
      <c r="A10" s="48" t="str" cm="1">
        <f t="array" ref="A10">CONCATENATE("Schedule  Program Number : ", GetCSVIndex(A2,5))</f>
        <v>Schedule  Program Number : 1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50"/>
    </row>
    <row r="11" spans="1:15" ht="21" customHeight="1" x14ac:dyDescent="0.25">
      <c r="A11" s="20" t="s">
        <v>44</v>
      </c>
      <c r="B11" s="22" t="str" cm="1">
        <f t="array" ref="B11">GetCSVIndex(A2,5)</f>
        <v>1</v>
      </c>
      <c r="C11" s="18"/>
      <c r="D11" s="18"/>
      <c r="E11" s="18"/>
      <c r="F11" s="18"/>
      <c r="G11" s="18" t="s">
        <v>19</v>
      </c>
      <c r="H11" s="18" t="str" cm="1">
        <f t="array" ref="H11">CHOOSE(GetCSVIndex(A2,7)+1, "Days of Week", "Odd/Even", "Interval","Manual")</f>
        <v>Days of Week</v>
      </c>
      <c r="I11" s="18"/>
      <c r="J11" s="15"/>
      <c r="K11" s="15"/>
      <c r="L11" s="15"/>
      <c r="M11" s="15"/>
      <c r="N11" s="15"/>
      <c r="O11" s="16"/>
    </row>
    <row r="12" spans="1:15" ht="18" customHeight="1" x14ac:dyDescent="0.25">
      <c r="A12" s="21" t="s">
        <v>20</v>
      </c>
      <c r="B12" s="19" t="str" cm="1">
        <f t="array" ref="B12">CHOOSE(GetCSVIndex(A2,24)+1, "Program", "Global", "Monthly","Solar Sync")</f>
        <v>Global</v>
      </c>
      <c r="C12" s="19"/>
      <c r="D12" s="19"/>
      <c r="E12" s="19"/>
      <c r="F12" s="19" t="s">
        <v>21</v>
      </c>
      <c r="G12" s="19" t="str" cm="1">
        <f t="array" ref="G12">IF(CHOOSE(GetCSVIndex(A2,7)+1,IF(_xlfn.BITAND(GetCSVIndex(A2,8), 2^0)=0, 0, 1),IF(_xlfn.BITAND(GetCSVIndex(A2,9), 2^0)=0, 0, 1),IF(_xlfn.BITAND(GetCSVIndex(A2,10), 2^0)=0, 0, 1)) =1,"Mon","")</f>
        <v/>
      </c>
      <c r="H12" s="19" t="str" cm="1">
        <f t="array" ref="H12">CONCATENATE(IF(CHOOSE(GetCSVIndex(A2,7)+1,IF(_xlfn.BITAND(GetCSVIndex(A2,8), 2^1)=0, 0, 1),IF(_xlfn.BITAND(GetCSVIndex(A2,9), 2^1)=0, 0, 1),IF(_xlfn.BITAND(GetCSVIndex(A2,10), 2^1)=0, 0, 1)) =1,"Tue       ","       "),IF(CHOOSE(GetCSVIndex(A2,7)+1,IF(_xlfn.BITAND(GetCSVIndex(A2,8), 2^2)=0, 0, 1),IF(_xlfn.BITAND(GetCSVIndex(A2,9), 2^2)=0, 0, 1),IF(_xlfn.BITAND(GetCSVIndex(A2,10), 2^2)=0, 0, 1)) =1,"Wed",""),IF(CHOOSE(GetCSVIndex(A2,7)+1,IF(_xlfn.BITAND(GetCSVIndex(A2,8), 2^3)=0, 0, 1),IF(_xlfn.BITAND(GetCSVIndex(A2,9), 2^3)=0, 0, 1),IF(_xlfn.BITAND(GetCSVIndex(A2,10), 2^3)=0, 0, 1)) =1,"       Thu","       "))</f>
        <v>Tue       Wed       Thu</v>
      </c>
      <c r="I12" s="32" t="str" cm="1">
        <f t="array" ref="I12">CONCATENATE(IF(CHOOSE(GetCSVIndex(A2,7)+1,IF(_xlfn.BITAND(GetCSVIndex(A2,8), 2^4)=0, 0, 1),IF(_xlfn.BITAND(GetCSVIndex(A2,9), 2^4)=0, 0, 1),IF(_xlfn.BITAND(GetCSVIndex(A2,10), 2^4)=0, 0, 1)) =1,"Fri       ","       "),IF(CHOOSE(GetCSVIndex(A2,7)+1,IF(_xlfn.BITAND(GetCSVIndex(A2,8), 2^5)=0, 0, 1),IF(_xlfn.BITAND(GetCSVIndex(A2,9), 2^5)=0, 0, 1),IF(_xlfn.BITAND(GetCSVIndex(A2,10), 2^5)=0, 0, 1)) =1,"Sat",""),IF(CHOOSE(GetCSVIndex(A2,7)+1,IF(_xlfn.BITAND(GetCSVIndex(A2,8), 2^6)=0, 0, 1),IF(_xlfn.BITAND(GetCSVIndex(A2,9), 2^6)=0, 0, 1),IF(_xlfn.BITAND(GetCSVIndex(A2,10), 2^6)=0, 0, 1)) =1,"       Sun","       "))</f>
        <v>Fri       Sat       Sun</v>
      </c>
      <c r="J12" s="19"/>
      <c r="K12" s="19"/>
      <c r="L12" s="32" t="s">
        <v>22</v>
      </c>
      <c r="M12" s="19"/>
      <c r="N12" s="19" t="str" cm="1">
        <f t="array" ref="N12">IF(GetCSVIndex(A2,26)="1","Enable","Disable")</f>
        <v>Disable</v>
      </c>
      <c r="O12" s="24"/>
    </row>
    <row r="13" spans="1:15" ht="18" customHeight="1" x14ac:dyDescent="0.25">
      <c r="A13" s="21" t="str" cm="1">
        <f t="array" ref="A13">CONCATENATE("Program ", GetCSVIndex(A2,5))</f>
        <v>Program 1</v>
      </c>
      <c r="B13" s="23" t="str" cm="1">
        <f t="array" ref="B13">CONCATENATE(GetCSVIndex(A2,25)," %")</f>
        <v>100 %</v>
      </c>
      <c r="C13" s="19"/>
      <c r="D13" s="19"/>
      <c r="E13" s="19"/>
      <c r="F13" s="19" t="str" cm="1">
        <f t="array" ref="F13">IF(GetCSVIndex(A2,7)="2","Water Every"," ")</f>
        <v xml:space="preserve"> </v>
      </c>
      <c r="G13" s="47" t="str" cm="1">
        <f t="array" ref="G13">IF(GetCSVIndex(A2,7)="2",GetCSVIndex(A2,11)," ")</f>
        <v xml:space="preserve"> </v>
      </c>
      <c r="H13" s="19" t="str" cm="1">
        <f t="array" ref="H13">IF(GetCSVIndex(A2,7)="2","Days"," ")</f>
        <v xml:space="preserve"> </v>
      </c>
      <c r="I13" s="32" t="str" cm="1">
        <f t="array" ref="I13">IF(GetCSVIndex(A2,7)="2","Water After"," ")</f>
        <v xml:space="preserve"> </v>
      </c>
      <c r="J13" s="19"/>
      <c r="K13" s="19" t="str" cm="1">
        <f t="array" ref="K13">IF(GetCSVIndex(A2,7)="2",GetCSVIndex(A2,12)," ")</f>
        <v xml:space="preserve"> </v>
      </c>
      <c r="L13" s="47" t="str" cm="1">
        <f t="array" ref="L13">IF(GetCSVIndex(A2,7)="2","Days"," ")</f>
        <v xml:space="preserve"> </v>
      </c>
      <c r="M13" s="32"/>
      <c r="N13" s="32"/>
      <c r="O13" s="24"/>
    </row>
    <row r="14" spans="1:15" ht="21" customHeight="1" x14ac:dyDescent="0.25">
      <c r="A14" s="20" t="s">
        <v>23</v>
      </c>
      <c r="B14" s="18" t="s">
        <v>24</v>
      </c>
      <c r="C14" s="18" t="str" cm="1">
        <f t="array" ref="C14">CHOOSE(GetCSVIndex(A2,13)+1, "Auto", "Start to End","Manual")</f>
        <v>Start to End</v>
      </c>
      <c r="D14" s="31"/>
      <c r="E14" s="17" t="s">
        <v>38</v>
      </c>
      <c r="F14" s="18" t="s">
        <v>39</v>
      </c>
      <c r="G14" s="18" t="s">
        <v>40</v>
      </c>
      <c r="H14" s="18" t="s">
        <v>41</v>
      </c>
      <c r="I14" s="18" t="s">
        <v>43</v>
      </c>
      <c r="J14" s="31"/>
      <c r="K14" s="17" t="s">
        <v>38</v>
      </c>
      <c r="L14" s="18" t="s">
        <v>39</v>
      </c>
      <c r="M14" s="18" t="s">
        <v>40</v>
      </c>
      <c r="N14" s="22" t="s">
        <v>41</v>
      </c>
      <c r="O14" s="44" t="s">
        <v>42</v>
      </c>
    </row>
    <row r="15" spans="1:15" ht="21" customHeight="1" x14ac:dyDescent="0.25">
      <c r="A15" s="36" t="s">
        <v>25</v>
      </c>
      <c r="B15" s="46" t="str" cm="1">
        <f t="array" ref="B15">IF(GetCSVIndex(A2,6)="1","Over","Stack")</f>
        <v>Stack</v>
      </c>
      <c r="C15" s="26" t="str" cm="1">
        <f t="array" ref="C15">GetCSVIndex(A2,29)</f>
        <v>0</v>
      </c>
      <c r="D15" s="25"/>
      <c r="E15" s="45">
        <v>1</v>
      </c>
      <c r="F15" s="29" t="str" cm="1">
        <f t="array" ref="F15">CHOOSE(GetCSVIndex(A2,36)+1,"","Station","Block","","Delay")</f>
        <v>Station</v>
      </c>
      <c r="G15" s="29" t="str" cm="1">
        <f t="array" ref="G15">GetCSVIndex(A2,37)</f>
        <v>1</v>
      </c>
      <c r="H15" s="45" t="str" cm="1">
        <f t="array" ref="H15">GetCSVIndex(A2,3)</f>
        <v>01:04:00</v>
      </c>
      <c r="I15" s="29" t="str" cm="1">
        <f t="array" ref="I15">GetCSVIndex(A2,1)</f>
        <v>00:03:12</v>
      </c>
      <c r="J15" s="25"/>
      <c r="K15" s="45">
        <v>33</v>
      </c>
      <c r="L15" s="29" t="str" cm="1">
        <f t="array" ref="L15">CHOOSE(GetCSVIndex(A2,132)+1,"","Station","Block","","Delay")</f>
        <v>Block</v>
      </c>
      <c r="M15" s="29" t="str" cm="1">
        <f t="array" ref="M15">GetCSVIndex(A2,133)</f>
        <v>36</v>
      </c>
      <c r="N15" s="27" t="str" cm="1">
        <f t="array" ref="N15">GetCSVIndex(A2,283)</f>
        <v>11:55:00</v>
      </c>
      <c r="O15" s="43" t="str" cm="1">
        <f t="array" ref="O15">GetCSVIndex(A2,346)</f>
        <v>00:35:45</v>
      </c>
    </row>
    <row r="16" spans="1:15" ht="21" customHeight="1" x14ac:dyDescent="0.25">
      <c r="A16" s="36" t="s">
        <v>26</v>
      </c>
      <c r="B16" s="25" t="str" cm="1">
        <f t="array" ref="B16">IF(GetCSVIndex(A2,2)="1092:15","Not Set",CONCATENATE("From     ",GetCSVIndex(A2,2)))</f>
        <v>Not Set</v>
      </c>
      <c r="C16" s="26" t="str" cm="1">
        <f t="array" ref="C16">IF(GetCSVIndex(C4,1)="1092:15","Not Set",CONCATENATE("To     ",GetCSVIndex(C4,1)))</f>
        <v>Not Set</v>
      </c>
      <c r="D16" s="25"/>
      <c r="E16" s="45">
        <v>2</v>
      </c>
      <c r="F16" s="29" t="str" cm="1">
        <f t="array" ref="F16">CHOOSE(GetCSVIndex(A2,39)+1,"","Station","Block","","Delay")</f>
        <v>Station</v>
      </c>
      <c r="G16" s="29" t="str" cm="1">
        <f t="array" ref="G16">GetCSVIndex(A2,40)</f>
        <v>1</v>
      </c>
      <c r="H16" s="45" t="str" cm="1">
        <f t="array" ref="H16">GetCSVIndex(A2,252)</f>
        <v>11:55:00</v>
      </c>
      <c r="I16" s="29" t="str" cm="1">
        <f t="array" ref="I16">GetCSVIndex(A2,315)</f>
        <v>00:35:45</v>
      </c>
      <c r="J16" s="25"/>
      <c r="K16" s="45">
        <v>34</v>
      </c>
      <c r="L16" s="29" t="str" cm="1">
        <f t="array" ref="L16">CHOOSE(GetCSVIndex(A2,135)+1,"","Station","Block","","Delay")</f>
        <v>Block</v>
      </c>
      <c r="M16" s="29" t="str" cm="1">
        <f t="array" ref="M16">GetCSVIndex(A2,136)</f>
        <v>37</v>
      </c>
      <c r="N16" s="27" t="str" cm="1">
        <f t="array" ref="N16">GetCSVIndex(A2,284)</f>
        <v>11:55:00</v>
      </c>
      <c r="O16" s="43" t="str" cm="1">
        <f t="array" ref="O16">GetCSVIndex(A2,347)</f>
        <v>00:35:45</v>
      </c>
    </row>
    <row r="17" spans="1:15" ht="21" customHeight="1" x14ac:dyDescent="0.25">
      <c r="A17" s="36" t="s">
        <v>27</v>
      </c>
      <c r="B17" s="25"/>
      <c r="C17" s="26" t="str" cm="1">
        <f t="array" ref="C17">CONCATENATE(GetCSVIndex(A2,249),":", GetCSVIndex(A2,250),":", GetCSVIndex(A2,251))</f>
        <v>0:0:0</v>
      </c>
      <c r="D17" s="26"/>
      <c r="E17" s="45">
        <v>3</v>
      </c>
      <c r="F17" s="29" t="str" cm="1">
        <f t="array" ref="F17">CHOOSE(GetCSVIndex(A2,42)+1,"","Station","Block","","Delay")</f>
        <v>Station</v>
      </c>
      <c r="G17" s="29" t="str" cm="1">
        <f t="array" ref="G17">GetCSVIndex(A2,43)</f>
        <v>6</v>
      </c>
      <c r="H17" s="45" t="str" cm="1">
        <f t="array" ref="H17">GetCSVIndex(A2,253)</f>
        <v>11:55:00</v>
      </c>
      <c r="I17" s="29" t="str" cm="1">
        <f t="array" ref="I17">GetCSVIndex(A2,316)</f>
        <v>00:35:45</v>
      </c>
      <c r="J17" s="25"/>
      <c r="K17" s="45">
        <v>35</v>
      </c>
      <c r="L17" s="29" t="str" cm="1">
        <f t="array" ref="L17">CHOOSE(GetCSVIndex(A2,138)+1,"","Station","Block","","Delay")</f>
        <v>Block</v>
      </c>
      <c r="M17" s="29" t="str" cm="1">
        <f t="array" ref="M17">GetCSVIndex(A2,139)</f>
        <v>38</v>
      </c>
      <c r="N17" s="27" t="str" cm="1">
        <f t="array" ref="N17">GetCSVIndex(A2,285)</f>
        <v>11:55:00</v>
      </c>
      <c r="O17" s="43" t="str" cm="1">
        <f t="array" ref="O17">GetCSVIndex(A2,348)</f>
        <v>00:35:45</v>
      </c>
    </row>
    <row r="18" spans="1:15" ht="21" customHeight="1" x14ac:dyDescent="0.25">
      <c r="A18" s="36"/>
      <c r="B18" s="25"/>
      <c r="C18" s="25"/>
      <c r="D18" s="25"/>
      <c r="E18" s="45">
        <v>4</v>
      </c>
      <c r="F18" s="29" t="str" cm="1">
        <f t="array" ref="F18">CHOOSE(GetCSVIndex(A2,45)+1,"","Station","Block","","Delay")</f>
        <v>Station</v>
      </c>
      <c r="G18" s="29" t="str" cm="1">
        <f t="array" ref="G18">GetCSVIndex(A2,46)</f>
        <v>7</v>
      </c>
      <c r="H18" s="45" t="str" cm="1">
        <f t="array" ref="H18">GetCSVIndex(A2,254)</f>
        <v>11:55:00</v>
      </c>
      <c r="I18" s="29" t="str" cm="1">
        <f t="array" ref="I18">GetCSVIndex(A2,317)</f>
        <v>00:35:45</v>
      </c>
      <c r="J18" s="25"/>
      <c r="K18" s="45">
        <v>36</v>
      </c>
      <c r="L18" s="29" t="str" cm="1">
        <f t="array" ref="L18">CHOOSE(GetCSVIndex(A2,141)+1,"","Station","Block","","Delay")</f>
        <v>Block</v>
      </c>
      <c r="M18" s="29" t="str" cm="1">
        <f t="array" ref="M18">GetCSVIndex(A2,142)</f>
        <v>39</v>
      </c>
      <c r="N18" s="27" t="str" cm="1">
        <f t="array" ref="N18">GetCSVIndex(A2,286)</f>
        <v>11:55:00</v>
      </c>
      <c r="O18" s="43" t="str" cm="1">
        <f t="array" ref="O18">GetCSVIndex(A2,349)</f>
        <v>00:35:45</v>
      </c>
    </row>
    <row r="19" spans="1:15" ht="21" customHeight="1" x14ac:dyDescent="0.25">
      <c r="A19" s="37" t="s">
        <v>28</v>
      </c>
      <c r="B19" s="28"/>
      <c r="C19" s="29" t="str" cm="1">
        <f t="array" ref="C19">IF(GetCSVIndex(A2,14)&lt;&gt;"65535",CONCATENATE(GetCSVIndex(A2,229),":", GetCSVIndex(A2,239)),"OFF")</f>
        <v>1:4</v>
      </c>
      <c r="D19" s="25"/>
      <c r="E19" s="45">
        <v>5</v>
      </c>
      <c r="F19" s="29" t="str" cm="1">
        <f t="array" ref="F19">CHOOSE(GetCSVIndex(A2,48)+1,"","Station","Block","","Delay")</f>
        <v>Station</v>
      </c>
      <c r="G19" s="29" t="str" cm="1">
        <f t="array" ref="G19">GetCSVIndex(A2,49)</f>
        <v>8</v>
      </c>
      <c r="H19" s="45" t="str" cm="1">
        <f t="array" ref="H19">GetCSVIndex(A2,255)</f>
        <v>11:55:00</v>
      </c>
      <c r="I19" s="29" t="str" cm="1">
        <f t="array" ref="I19">GetCSVIndex(A2,318)</f>
        <v>00:35:45</v>
      </c>
      <c r="J19" s="25"/>
      <c r="K19" s="45">
        <v>37</v>
      </c>
      <c r="L19" s="29" t="str" cm="1">
        <f t="array" ref="L19">CHOOSE(GetCSVIndex(A2,144)+1,"","Station","Block","","Delay")</f>
        <v>Block</v>
      </c>
      <c r="M19" s="29" t="str" cm="1">
        <f t="array" ref="M19">GetCSVIndex(A2,145)</f>
        <v>40</v>
      </c>
      <c r="N19" s="27" t="str" cm="1">
        <f t="array" ref="N19">GetCSVIndex(A2,287)</f>
        <v>11:55:00</v>
      </c>
      <c r="O19" s="43" t="str" cm="1">
        <f t="array" ref="O19">GetCSVIndex(A2,350)</f>
        <v>00:35:45</v>
      </c>
    </row>
    <row r="20" spans="1:15" ht="21" customHeight="1" x14ac:dyDescent="0.25">
      <c r="A20" s="38" t="s">
        <v>29</v>
      </c>
      <c r="B20" s="30"/>
      <c r="C20" s="29" t="str" cm="1">
        <f t="array" ref="C20">IF(GetCSVIndex(A2,15)&lt;&gt;"65535",CONCATENATE(GetCSVIndex(A2,231),":", GetCSVIndex(A2,241)),"OFF")</f>
        <v>OFF</v>
      </c>
      <c r="D20" s="25"/>
      <c r="E20" s="45">
        <v>6</v>
      </c>
      <c r="F20" s="29" t="str" cm="1">
        <f t="array" ref="F20">CHOOSE(GetCSVIndex(A2,51)+1,"","Station","Block","","Delay")</f>
        <v>Block</v>
      </c>
      <c r="G20" s="29" t="str" cm="1">
        <f t="array" ref="G20">GetCSVIndex(A2,52)</f>
        <v>9</v>
      </c>
      <c r="H20" s="45" t="str" cm="1">
        <f t="array" ref="H20">GetCSVIndex(A2,256)</f>
        <v>11:55:00</v>
      </c>
      <c r="I20" s="29" t="str" cm="1">
        <f t="array" ref="I20">GetCSVIndex(A2,319)</f>
        <v>00:35:45</v>
      </c>
      <c r="J20" s="25"/>
      <c r="K20" s="45">
        <v>38</v>
      </c>
      <c r="L20" s="29" t="str" cm="1">
        <f t="array" ref="L20">CHOOSE(GetCSVIndex(A2,147)+1,"","Station","Block","","Delay")</f>
        <v>Block</v>
      </c>
      <c r="M20" s="29" t="str" cm="1">
        <f t="array" ref="M20">GetCSVIndex(A2,148)</f>
        <v>41</v>
      </c>
      <c r="N20" s="27" t="str" cm="1">
        <f t="array" ref="N20">GetCSVIndex(A2,288)</f>
        <v>11:55:00</v>
      </c>
      <c r="O20" s="43" t="str" cm="1">
        <f t="array" ref="O20">GetCSVIndex(A2,351)</f>
        <v>00:35:45</v>
      </c>
    </row>
    <row r="21" spans="1:15" ht="21" customHeight="1" x14ac:dyDescent="0.25">
      <c r="A21" s="38" t="s">
        <v>30</v>
      </c>
      <c r="B21" s="30"/>
      <c r="C21" s="29" t="str" cm="1">
        <f t="array" ref="C21">IF(GetCSVIndex(A2,16)&lt;&gt;"65535",CONCATENATE(GetCSVIndex(A2,232),":", GetCSVIndex(A2,242)),"OFF")</f>
        <v>OFF</v>
      </c>
      <c r="D21" s="25"/>
      <c r="E21" s="45">
        <v>7</v>
      </c>
      <c r="F21" s="29" t="str" cm="1">
        <f t="array" ref="F21">CHOOSE(GetCSVIndex(A2,54)+1,"","Station","Block","","Delay")</f>
        <v>Block</v>
      </c>
      <c r="G21" s="29" t="str" cm="1">
        <f t="array" ref="G21">GetCSVIndex(A2,55)</f>
        <v>10</v>
      </c>
      <c r="H21" s="45" t="str" cm="1">
        <f t="array" ref="H21">GetCSVIndex(A2,257)</f>
        <v>11:55:00</v>
      </c>
      <c r="I21" s="29" t="str" cm="1">
        <f t="array" ref="I21">GetCSVIndex(A2,320)</f>
        <v>00:35:45</v>
      </c>
      <c r="J21" s="25"/>
      <c r="K21" s="45">
        <v>39</v>
      </c>
      <c r="L21" s="29" t="str" cm="1">
        <f t="array" ref="L21">CHOOSE(GetCSVIndex(A2,150)+1,"","Station","Block","","Delay")</f>
        <v>Block</v>
      </c>
      <c r="M21" s="29" t="str" cm="1">
        <f t="array" ref="M21">GetCSVIndex(A2,151)</f>
        <v>42</v>
      </c>
      <c r="N21" s="27" t="str" cm="1">
        <f t="array" ref="N21">GetCSVIndex(A2,289)</f>
        <v>11:55:00</v>
      </c>
      <c r="O21" s="43" t="str" cm="1">
        <f t="array" ref="O21">GetCSVIndex(A2,352)</f>
        <v>00:35:45</v>
      </c>
    </row>
    <row r="22" spans="1:15" ht="21" customHeight="1" x14ac:dyDescent="0.25">
      <c r="A22" s="38" t="s">
        <v>31</v>
      </c>
      <c r="B22" s="30"/>
      <c r="C22" s="29" t="str" cm="1">
        <f t="array" ref="C22">IF(GetCSVIndex(A2,17)&lt;&gt;"65535",CONCATENATE(GetCSVIndex(A2,233),":", GetCSVIndex(A2,243)),"OFF")</f>
        <v>OFF</v>
      </c>
      <c r="D22" s="25"/>
      <c r="E22" s="45">
        <v>8</v>
      </c>
      <c r="F22" s="29" t="str" cm="1">
        <f t="array" ref="F22">CHOOSE(GetCSVIndex(A2,57)+1,"","Station","Block","","Delay")</f>
        <v>Block</v>
      </c>
      <c r="G22" s="29" t="str" cm="1">
        <f t="array" ref="G22">GetCSVIndex(A2,58)</f>
        <v>11</v>
      </c>
      <c r="H22" s="45" t="str" cm="1">
        <f t="array" ref="H22">GetCSVIndex(A2,258)</f>
        <v>11:55:00</v>
      </c>
      <c r="I22" s="29" t="str" cm="1">
        <f t="array" ref="I22">GetCSVIndex(A2,321)</f>
        <v>00:35:45</v>
      </c>
      <c r="J22" s="25"/>
      <c r="K22" s="45">
        <v>40</v>
      </c>
      <c r="L22" s="29" t="str" cm="1">
        <f t="array" ref="L22">CHOOSE(GetCSVIndex(A2,153)+1,"","Station","Block","","Delay")</f>
        <v>Block</v>
      </c>
      <c r="M22" s="29" t="str" cm="1">
        <f t="array" ref="M22">GetCSVIndex(A2,154)</f>
        <v>43</v>
      </c>
      <c r="N22" s="27" t="str" cm="1">
        <f t="array" ref="N22">GetCSVIndex(A2,290)</f>
        <v>11:55:00</v>
      </c>
      <c r="O22" s="43" t="str" cm="1">
        <f t="array" ref="O22">GetCSVIndex(A2,353)</f>
        <v>00:35:45</v>
      </c>
    </row>
    <row r="23" spans="1:15" ht="21" customHeight="1" x14ac:dyDescent="0.25">
      <c r="A23" s="38" t="s">
        <v>32</v>
      </c>
      <c r="B23" s="30"/>
      <c r="C23" s="29" t="str" cm="1">
        <f t="array" ref="C23">IF(GetCSVIndex(A2,18)&lt;&gt;"65535",CONCATENATE(GetCSVIndex(A2,234),":", GetCSVIndex(A2,244)),"OFF")</f>
        <v>OFF</v>
      </c>
      <c r="D23" s="25"/>
      <c r="E23" s="45">
        <v>9</v>
      </c>
      <c r="F23" s="29" t="str" cm="1">
        <f t="array" ref="F23">CHOOSE(GetCSVIndex(A2,60)+1,"","Station","Block","","Delay")</f>
        <v>Block</v>
      </c>
      <c r="G23" s="29" t="str" cm="1">
        <f t="array" ref="G23">GetCSVIndex(A2,61)</f>
        <v>12</v>
      </c>
      <c r="H23" s="45" t="str" cm="1">
        <f t="array" ref="H23">GetCSVIndex(A2,259)</f>
        <v>11:55:00</v>
      </c>
      <c r="I23" s="29" t="str" cm="1">
        <f t="array" ref="I23">GetCSVIndex(A2,322)</f>
        <v>00:35:45</v>
      </c>
      <c r="J23" s="25"/>
      <c r="K23" s="45">
        <v>41</v>
      </c>
      <c r="L23" s="29" t="str" cm="1">
        <f t="array" ref="L23">CHOOSE(GetCSVIndex(A2,156)+1,"","Station","Block","","Delay")</f>
        <v>Block</v>
      </c>
      <c r="M23" s="29" t="str" cm="1">
        <f t="array" ref="M23">GetCSVIndex(A2,157)</f>
        <v>22</v>
      </c>
      <c r="N23" s="27" t="str" cm="1">
        <f t="array" ref="N23">GetCSVIndex(A2,291)</f>
        <v>11:55:00</v>
      </c>
      <c r="O23" s="43" t="str" cm="1">
        <f t="array" ref="O23">GetCSVIndex(A2,354)</f>
        <v>00:35:45</v>
      </c>
    </row>
    <row r="24" spans="1:15" ht="21" customHeight="1" x14ac:dyDescent="0.25">
      <c r="A24" s="38" t="s">
        <v>33</v>
      </c>
      <c r="B24" s="30"/>
      <c r="C24" s="29" t="str" cm="1">
        <f t="array" ref="C24">IF(GetCSVIndex(A2,19)&lt;&gt;"65535",CONCATENATE(GetCSVIndex(A2,235),":", GetCSVIndex(A2,245)),"OFF")</f>
        <v>OFF</v>
      </c>
      <c r="D24" s="25"/>
      <c r="E24" s="45">
        <v>10</v>
      </c>
      <c r="F24" s="29" t="str" cm="1">
        <f t="array" ref="F24">CHOOSE(GetCSVIndex(A2,63)+1,"","Station","Block","","Delay")</f>
        <v>Block</v>
      </c>
      <c r="G24" s="29" t="str" cm="1">
        <f t="array" ref="G24">GetCSVIndex(A2,64)</f>
        <v>13</v>
      </c>
      <c r="H24" s="45" t="str" cm="1">
        <f t="array" ref="H24">GetCSVIndex(A2,260)</f>
        <v>11:55:00</v>
      </c>
      <c r="I24" s="29" t="str" cm="1">
        <f t="array" ref="I24">GetCSVIndex(A2,323)</f>
        <v>00:35:45</v>
      </c>
      <c r="J24" s="25"/>
      <c r="K24" s="45">
        <v>42</v>
      </c>
      <c r="L24" s="29" t="str" cm="1">
        <f t="array" ref="L24">CHOOSE(GetCSVIndex(A2,159)+1,"","Station","Block","","Delay")</f>
        <v>Block</v>
      </c>
      <c r="M24" s="29" t="str" cm="1">
        <f t="array" ref="M24">GetCSVIndex(A2,160)</f>
        <v>23</v>
      </c>
      <c r="N24" s="27" t="str" cm="1">
        <f t="array" ref="N24">GetCSVIndex(A2,292)</f>
        <v>11:55:00</v>
      </c>
      <c r="O24" s="43" t="str" cm="1">
        <f t="array" ref="O24">GetCSVIndex(A2,355)</f>
        <v>00:35:45</v>
      </c>
    </row>
    <row r="25" spans="1:15" ht="21" customHeight="1" x14ac:dyDescent="0.25">
      <c r="A25" s="38" t="s">
        <v>34</v>
      </c>
      <c r="B25" s="30"/>
      <c r="C25" s="29" t="str" cm="1">
        <f t="array" ref="C25">IF(GetCSVIndex(A2,20)&lt;&gt;"65535",CONCATENATE(GetCSVIndex(A2,236),":", GetCSVIndex(A2,246)),"OFF")</f>
        <v>OFF</v>
      </c>
      <c r="D25" s="25"/>
      <c r="E25" s="45">
        <v>11</v>
      </c>
      <c r="F25" s="29" t="str" cm="1">
        <f t="array" ref="F25">CHOOSE(GetCSVIndex(A2,66)+1,"","Station","Block","","Delay")</f>
        <v>Block</v>
      </c>
      <c r="G25" s="29" t="str" cm="1">
        <f t="array" ref="G25">GetCSVIndex(A2,67)</f>
        <v>14</v>
      </c>
      <c r="H25" s="45" t="str" cm="1">
        <f t="array" ref="H25">GetCSVIndex(A2,261)</f>
        <v>11:55:00</v>
      </c>
      <c r="I25" s="29" t="str" cm="1">
        <f t="array" ref="I25">GetCSVIndex(A2,324)</f>
        <v>00:35:45</v>
      </c>
      <c r="J25" s="25"/>
      <c r="K25" s="45">
        <v>43</v>
      </c>
      <c r="L25" s="29" t="str" cm="1">
        <f t="array" ref="L25">CHOOSE(GetCSVIndex(A2,162)+1,"","Station","Block","","Delay")</f>
        <v/>
      </c>
      <c r="M25" s="29" t="str" cm="1">
        <f t="array" ref="M25">GetCSVIndex(A2,163)</f>
        <v>0</v>
      </c>
      <c r="N25" s="27" t="str" cm="1">
        <f t="array" ref="N25">GetCSVIndex(A2,293)</f>
        <v>00:00:00</v>
      </c>
      <c r="O25" s="43" t="str" cm="1">
        <f t="array" ref="O25">GetCSVIndex(A2,356)</f>
        <v>00:00:00</v>
      </c>
    </row>
    <row r="26" spans="1:15" ht="21" customHeight="1" x14ac:dyDescent="0.25">
      <c r="A26" s="38" t="s">
        <v>35</v>
      </c>
      <c r="B26" s="30"/>
      <c r="C26" s="29" t="str" cm="1">
        <f t="array" ref="C26">IF(GetCSVIndex(A2,21)&lt;&gt;"65535",CONCATENATE(GetCSVIndex(A2,237),":", GetCSVIndex(A2,247)),"OFF")</f>
        <v>OFF</v>
      </c>
      <c r="D26" s="25"/>
      <c r="E26" s="45">
        <v>12</v>
      </c>
      <c r="F26" s="29" t="str" cm="1">
        <f t="array" ref="F26">CHOOSE(GetCSVIndex(A2,69)+1,"","Station","Block","","Delay")</f>
        <v>Block</v>
      </c>
      <c r="G26" s="29" t="str" cm="1">
        <f t="array" ref="G26">GetCSVIndex(A2,70)</f>
        <v>15</v>
      </c>
      <c r="H26" s="45" t="str" cm="1">
        <f t="array" ref="H26">GetCSVIndex(A2,262)</f>
        <v>11:55:00</v>
      </c>
      <c r="I26" s="29" t="str" cm="1">
        <f t="array" ref="I26">GetCSVIndex(A2,325)</f>
        <v>00:35:45</v>
      </c>
      <c r="J26" s="25"/>
      <c r="K26" s="45">
        <v>44</v>
      </c>
      <c r="L26" s="29" t="str" cm="1">
        <f t="array" ref="L26">CHOOSE(GetCSVIndex(A2,165)+1,"","Station","Block","","Delay")</f>
        <v/>
      </c>
      <c r="M26" s="29" t="str" cm="1">
        <f t="array" ref="M26">GetCSVIndex(A2,166)</f>
        <v>0</v>
      </c>
      <c r="N26" s="27" t="str" cm="1">
        <f t="array" ref="N26">GetCSVIndex(A2,294)</f>
        <v>00:00:00</v>
      </c>
      <c r="O26" s="43" t="str" cm="1">
        <f t="array" ref="O26">GetCSVIndex(A2,357)</f>
        <v>00:00:00</v>
      </c>
    </row>
    <row r="27" spans="1:15" ht="21" customHeight="1" x14ac:dyDescent="0.25">
      <c r="A27" s="38" t="s">
        <v>36</v>
      </c>
      <c r="B27" s="30"/>
      <c r="C27" s="29" t="str" cm="1">
        <f t="array" ref="C27">IF(GetCSVIndex(A2,22)&lt;&gt;"65535",CONCATENATE(GetCSVIndex(A2,238),":", GetCSVIndex(A2,248)),"OFF")</f>
        <v>OFF</v>
      </c>
      <c r="D27" s="25"/>
      <c r="E27" s="45">
        <v>13</v>
      </c>
      <c r="F27" s="29" t="str" cm="1">
        <f t="array" ref="F27">CHOOSE(GetCSVIndex(A2,72)+1,"","Station","Block","","Delay")</f>
        <v>Block</v>
      </c>
      <c r="G27" s="29" t="str" cm="1">
        <f t="array" ref="G27">GetCSVIndex(A2,73)</f>
        <v>16</v>
      </c>
      <c r="H27" s="45" t="str" cm="1">
        <f t="array" ref="H27">GetCSVIndex(A2,263)</f>
        <v>11:55:00</v>
      </c>
      <c r="I27" s="29" t="str" cm="1">
        <f t="array" ref="I27">GetCSVIndex(A2,326)</f>
        <v>00:35:45</v>
      </c>
      <c r="J27" s="25"/>
      <c r="K27" s="45">
        <v>45</v>
      </c>
      <c r="L27" s="29" t="str" cm="1">
        <f t="array" ref="L27">CHOOSE(GetCSVIndex(A2,168)+1,"","Station","Block","","Delay")</f>
        <v/>
      </c>
      <c r="M27" s="29" t="str" cm="1">
        <f t="array" ref="M27">GetCSVIndex(A2,169)</f>
        <v>0</v>
      </c>
      <c r="N27" s="27" t="str" cm="1">
        <f t="array" ref="N27">GetCSVIndex(A2,295)</f>
        <v>00:00:00</v>
      </c>
      <c r="O27" s="43" t="str" cm="1">
        <f t="array" ref="O27">GetCSVIndex(A2,358)</f>
        <v>00:00:00</v>
      </c>
    </row>
    <row r="28" spans="1:15" ht="21" customHeight="1" x14ac:dyDescent="0.25">
      <c r="A28" s="36" t="s">
        <v>37</v>
      </c>
      <c r="B28" s="25"/>
      <c r="C28" s="29" t="str" cm="1">
        <f t="array" ref="C28">IF(GetCSVIndex(A2,23)&lt;&gt;"65535",CONCATENATE(GetCSVIndex(A2,230),":", GetCSVIndex(A2,240)),"OFF")</f>
        <v>OFF</v>
      </c>
      <c r="D28" s="25"/>
      <c r="E28" s="45">
        <v>14</v>
      </c>
      <c r="F28" s="29" t="str" cm="1">
        <f t="array" ref="F28">CHOOSE(GetCSVIndex(A2,75)+1,"","Station","Block","","Delay")</f>
        <v>Block</v>
      </c>
      <c r="G28" s="29" t="str" cm="1">
        <f t="array" ref="G28">GetCSVIndex(A2,76)</f>
        <v>17</v>
      </c>
      <c r="H28" s="45" t="str" cm="1">
        <f t="array" ref="H28">GetCSVIndex(A2,264)</f>
        <v>11:55:00</v>
      </c>
      <c r="I28" s="29" t="str" cm="1">
        <f t="array" ref="I28">GetCSVIndex(A2,327)</f>
        <v>00:35:45</v>
      </c>
      <c r="J28" s="25"/>
      <c r="K28" s="45">
        <v>46</v>
      </c>
      <c r="L28" s="29" t="str" cm="1">
        <f t="array" ref="L28">CHOOSE(GetCSVIndex(A2,171)+1,"","Station","Block","","Delay")</f>
        <v/>
      </c>
      <c r="M28" s="29" t="str" cm="1">
        <f t="array" ref="M28">GetCSVIndex(A2,172)</f>
        <v>0</v>
      </c>
      <c r="N28" s="27" t="str" cm="1">
        <f t="array" ref="N28">GetCSVIndex(A2,296)</f>
        <v>00:00:00</v>
      </c>
      <c r="O28" s="43" t="str" cm="1">
        <f t="array" ref="O28">GetCSVIndex(A2,359)</f>
        <v>00:00:00</v>
      </c>
    </row>
    <row r="29" spans="1:15" ht="21" customHeight="1" x14ac:dyDescent="0.25">
      <c r="A29" s="39"/>
      <c r="B29" s="40"/>
      <c r="C29" s="41"/>
      <c r="D29" s="26"/>
      <c r="E29" s="45">
        <v>15</v>
      </c>
      <c r="F29" s="29" t="str" cm="1">
        <f t="array" ref="F29">CHOOSE(GetCSVIndex(A2,78)+1,"","Station","Block","","Delay")</f>
        <v>Block</v>
      </c>
      <c r="G29" s="29" t="str" cm="1">
        <f t="array" ref="G29">GetCSVIndex(A2,79)</f>
        <v>18</v>
      </c>
      <c r="H29" s="45" t="str" cm="1">
        <f t="array" ref="H29">GetCSVIndex(A2,265)</f>
        <v>11:55:00</v>
      </c>
      <c r="I29" s="29" t="str" cm="1">
        <f t="array" ref="I29">GetCSVIndex(A2,328)</f>
        <v>00:35:45</v>
      </c>
      <c r="J29" s="26"/>
      <c r="K29" s="45">
        <v>47</v>
      </c>
      <c r="L29" s="29" t="str" cm="1">
        <f t="array" ref="L29">CHOOSE(GetCSVIndex(A2,174)+1,"","Station","Block","","Delay")</f>
        <v/>
      </c>
      <c r="M29" s="29" t="str" cm="1">
        <f t="array" ref="M29">GetCSVIndex(A2,175)</f>
        <v>0</v>
      </c>
      <c r="N29" s="27" t="str" cm="1">
        <f t="array" ref="N29">GetCSVIndex(A2,297)</f>
        <v>00:00:00</v>
      </c>
      <c r="O29" s="43" t="str" cm="1">
        <f t="array" ref="O29">GetCSVIndex(A2,360)</f>
        <v>00:00:00</v>
      </c>
    </row>
    <row r="30" spans="1:15" ht="21" customHeight="1" x14ac:dyDescent="0.25">
      <c r="A30" s="42"/>
      <c r="B30" s="25"/>
      <c r="C30" s="25"/>
      <c r="D30" s="26"/>
      <c r="E30" s="45">
        <v>16</v>
      </c>
      <c r="F30" s="29" t="str" cm="1">
        <f t="array" ref="F30">CHOOSE(GetCSVIndex(A2,81)+1,"","Station","Block","","Delay")</f>
        <v>Block</v>
      </c>
      <c r="G30" s="29" t="str" cm="1">
        <f t="array" ref="G30">GetCSVIndex(A2,82)</f>
        <v>19</v>
      </c>
      <c r="H30" s="45" t="str" cm="1">
        <f t="array" ref="H30">GetCSVIndex(A2,266)</f>
        <v>11:55:00</v>
      </c>
      <c r="I30" s="29" t="str" cm="1">
        <f t="array" ref="I30">GetCSVIndex(A2,329)</f>
        <v>00:35:45</v>
      </c>
      <c r="J30" s="25"/>
      <c r="K30" s="45">
        <v>48</v>
      </c>
      <c r="L30" s="29" t="str" cm="1">
        <f t="array" ref="L30">CHOOSE(GetCSVIndex(A2,177)+1,"","Station","Block","","Delay")</f>
        <v/>
      </c>
      <c r="M30" s="29" t="str" cm="1">
        <f t="array" ref="M30">GetCSVIndex(A2,178)</f>
        <v>0</v>
      </c>
      <c r="N30" s="27" t="str" cm="1">
        <f t="array" ref="N30">GetCSVIndex(A2,298)</f>
        <v>00:00:00</v>
      </c>
      <c r="O30" s="43" t="str" cm="1">
        <f t="array" ref="O30">GetCSVIndex(A2,361)</f>
        <v>00:00:00</v>
      </c>
    </row>
    <row r="31" spans="1:15" ht="21" customHeight="1" x14ac:dyDescent="0.25">
      <c r="A31" s="42"/>
      <c r="B31" s="25"/>
      <c r="C31" s="25"/>
      <c r="D31" s="26"/>
      <c r="E31" s="45">
        <v>17</v>
      </c>
      <c r="F31" s="29" t="str" cm="1">
        <f t="array" ref="F31">CHOOSE(GetCSVIndex(A2,84)+1,"","Station","Block","","Delay")</f>
        <v>Block</v>
      </c>
      <c r="G31" s="29" t="str" cm="1">
        <f t="array" ref="G31">GetCSVIndex(A2,85)</f>
        <v>20</v>
      </c>
      <c r="H31" s="45" t="str" cm="1">
        <f t="array" ref="H31">GetCSVIndex(A2,267)</f>
        <v>11:55:00</v>
      </c>
      <c r="I31" s="29" t="str" cm="1">
        <f t="array" ref="I31">GetCSVIndex(A2,330)</f>
        <v>00:35:45</v>
      </c>
      <c r="J31" s="26"/>
      <c r="K31" s="45">
        <v>49</v>
      </c>
      <c r="L31" s="29" t="str" cm="1">
        <f t="array" ref="L31">CHOOSE(GetCSVIndex(A2,180)+1,"","Station","Block","","Delay")</f>
        <v/>
      </c>
      <c r="M31" s="29" t="str" cm="1">
        <f t="array" ref="M31">GetCSVIndex(A2,181)</f>
        <v>0</v>
      </c>
      <c r="N31" s="27" t="str" cm="1">
        <f t="array" ref="N31">GetCSVIndex(A2,299)</f>
        <v>00:00:00</v>
      </c>
      <c r="O31" s="43" t="str" cm="1">
        <f t="array" ref="O31">GetCSVIndex(A2,362)</f>
        <v>00:00:00</v>
      </c>
    </row>
    <row r="32" spans="1:15" ht="21" customHeight="1" x14ac:dyDescent="0.25">
      <c r="A32" s="42"/>
      <c r="B32" s="25"/>
      <c r="C32" s="25"/>
      <c r="D32" s="26"/>
      <c r="E32" s="45">
        <v>18</v>
      </c>
      <c r="F32" s="29" t="str" cm="1">
        <f t="array" ref="F32">CHOOSE(GetCSVIndex(A2,87)+1,"","Station","Block","","Delay")</f>
        <v>Block</v>
      </c>
      <c r="G32" s="29" t="str" cm="1">
        <f t="array" ref="G32">GetCSVIndex(A2,88)</f>
        <v>21</v>
      </c>
      <c r="H32" s="45" t="str" cm="1">
        <f t="array" ref="H32">GetCSVIndex(A2,268)</f>
        <v>11:55:00</v>
      </c>
      <c r="I32" s="29" t="str" cm="1">
        <f t="array" ref="I32">GetCSVIndex(A2,331)</f>
        <v>00:35:45</v>
      </c>
      <c r="J32" s="26"/>
      <c r="K32" s="45">
        <v>50</v>
      </c>
      <c r="L32" s="29" t="str" cm="1">
        <f t="array" ref="L32">CHOOSE(GetCSVIndex(A2,183)+1,"","Station","Block","","Delay")</f>
        <v/>
      </c>
      <c r="M32" s="29" t="str" cm="1">
        <f t="array" ref="M32">GetCSVIndex(A2,184)</f>
        <v>0</v>
      </c>
      <c r="N32" s="27" t="str" cm="1">
        <f t="array" ref="N32">GetCSVIndex(A2,300)</f>
        <v>00:00:00</v>
      </c>
      <c r="O32" s="43" t="str" cm="1">
        <f t="array" ref="O32">GetCSVIndex(A2,363)</f>
        <v>00:00:00</v>
      </c>
    </row>
    <row r="33" spans="1:15" ht="21" customHeight="1" x14ac:dyDescent="0.25">
      <c r="A33" s="42"/>
      <c r="B33" s="25"/>
      <c r="C33" s="25"/>
      <c r="D33" s="26"/>
      <c r="E33" s="45">
        <v>19</v>
      </c>
      <c r="F33" s="29" t="str" cm="1">
        <f t="array" ref="F33">CHOOSE(GetCSVIndex(A2,90)+1,"","Station","Block","","Delay")</f>
        <v>Block</v>
      </c>
      <c r="G33" s="29" t="str" cm="1">
        <f t="array" ref="G33">GetCSVIndex(A2,91)</f>
        <v>22</v>
      </c>
      <c r="H33" s="45" t="str" cm="1">
        <f t="array" ref="H33">GetCSVIndex(A2,269)</f>
        <v>11:55:00</v>
      </c>
      <c r="I33" s="29" t="str" cm="1">
        <f t="array" ref="I33">GetCSVIndex(A2,332)</f>
        <v>00:35:45</v>
      </c>
      <c r="J33" s="26"/>
      <c r="K33" s="45">
        <v>51</v>
      </c>
      <c r="L33" s="29" t="str" cm="1">
        <f t="array" ref="L33">CHOOSE(GetCSVIndex(A2,186)+1,"","Station","Block","","Delay")</f>
        <v/>
      </c>
      <c r="M33" s="29" t="str" cm="1">
        <f t="array" ref="M33">GetCSVIndex(A2,187)</f>
        <v>0</v>
      </c>
      <c r="N33" s="27" t="str" cm="1">
        <f t="array" ref="N33">GetCSVIndex(A2,301)</f>
        <v>00:00:00</v>
      </c>
      <c r="O33" s="43" t="str" cm="1">
        <f t="array" ref="O33">GetCSVIndex(A2,364)</f>
        <v>00:00:00</v>
      </c>
    </row>
    <row r="34" spans="1:15" ht="21" customHeight="1" x14ac:dyDescent="0.25">
      <c r="A34" s="42"/>
      <c r="B34" s="25"/>
      <c r="C34" s="25"/>
      <c r="D34" s="26"/>
      <c r="E34" s="45">
        <v>20</v>
      </c>
      <c r="F34" s="29" t="str" cm="1">
        <f t="array" ref="F34">CHOOSE(GetCSVIndex(A2,93)+1,"","Station","Block","","Delay")</f>
        <v>Block</v>
      </c>
      <c r="G34" s="29" t="str" cm="1">
        <f t="array" ref="G34">GetCSVIndex(A2,94)</f>
        <v>23</v>
      </c>
      <c r="H34" s="45" t="str" cm="1">
        <f t="array" ref="H34">GetCSVIndex(A2,270)</f>
        <v>11:55:00</v>
      </c>
      <c r="I34" s="29" t="str" cm="1">
        <f t="array" ref="I34">GetCSVIndex(A2,333)</f>
        <v>00:35:45</v>
      </c>
      <c r="J34" s="26"/>
      <c r="K34" s="45">
        <v>52</v>
      </c>
      <c r="L34" s="29" t="str" cm="1">
        <f t="array" ref="L34">CHOOSE(GetCSVIndex(A2,189)+1,"","Station","Block","","Delay")</f>
        <v/>
      </c>
      <c r="M34" s="29" t="str" cm="1">
        <f t="array" ref="M34">GetCSVIndex(A2,190)</f>
        <v>0</v>
      </c>
      <c r="N34" s="27" t="str" cm="1">
        <f t="array" ref="N34">GetCSVIndex(A2,302)</f>
        <v>00:00:00</v>
      </c>
      <c r="O34" s="43" t="str" cm="1">
        <f t="array" ref="O34">GetCSVIndex(A2,365)</f>
        <v>00:00:00</v>
      </c>
    </row>
    <row r="35" spans="1:15" ht="21" customHeight="1" x14ac:dyDescent="0.25">
      <c r="A35" s="42"/>
      <c r="B35" s="25"/>
      <c r="C35" s="25"/>
      <c r="D35" s="26"/>
      <c r="E35" s="45">
        <v>21</v>
      </c>
      <c r="F35" s="29" t="str" cm="1">
        <f t="array" ref="F35">CHOOSE(GetCSVIndex(A2,96)+1,"","Station","Block","","Delay")</f>
        <v>Block</v>
      </c>
      <c r="G35" s="29" t="str" cm="1">
        <f t="array" ref="G35">GetCSVIndex(A2,97)</f>
        <v>24</v>
      </c>
      <c r="H35" s="45" t="str" cm="1">
        <f t="array" ref="H35">GetCSVIndex(A2,271)</f>
        <v>11:55:00</v>
      </c>
      <c r="I35" s="29" t="str" cm="1">
        <f t="array" ref="I35">GetCSVIndex(A2,334)</f>
        <v>00:35:45</v>
      </c>
      <c r="J35" s="26"/>
      <c r="K35" s="45">
        <v>53</v>
      </c>
      <c r="L35" s="29" t="str" cm="1">
        <f t="array" ref="L35">CHOOSE(GetCSVIndex(A2,192)+1,"","Station","Block","","Delay")</f>
        <v/>
      </c>
      <c r="M35" s="29" t="str" cm="1">
        <f t="array" ref="M35">GetCSVIndex(A2,193)</f>
        <v>0</v>
      </c>
      <c r="N35" s="27" t="str" cm="1">
        <f t="array" ref="N35">GetCSVIndex(A2,303)</f>
        <v>00:00:00</v>
      </c>
      <c r="O35" s="43" t="str" cm="1">
        <f t="array" ref="O35">GetCSVIndex(A2,366)</f>
        <v>00:00:00</v>
      </c>
    </row>
    <row r="36" spans="1:15" ht="21" customHeight="1" x14ac:dyDescent="0.25">
      <c r="A36" s="42"/>
      <c r="B36" s="25"/>
      <c r="C36" s="25"/>
      <c r="D36" s="26"/>
      <c r="E36" s="45">
        <v>22</v>
      </c>
      <c r="F36" s="29" t="str" cm="1">
        <f t="array" ref="F36">CHOOSE(GetCSVIndex(A2,99)+1,"","Station","Block","","Delay")</f>
        <v>Block</v>
      </c>
      <c r="G36" s="29" t="str" cm="1">
        <f t="array" ref="G36">GetCSVIndex(A2,100)</f>
        <v>25</v>
      </c>
      <c r="H36" s="45" t="str" cm="1">
        <f t="array" ref="H36">GetCSVIndex(A2,272)</f>
        <v>11:55:00</v>
      </c>
      <c r="I36" s="29" t="str" cm="1">
        <f t="array" ref="I36">GetCSVIndex(A2,335)</f>
        <v>00:35:45</v>
      </c>
      <c r="J36" s="26"/>
      <c r="K36" s="45">
        <v>54</v>
      </c>
      <c r="L36" s="29" t="str" cm="1">
        <f t="array" ref="L36">CHOOSE(GetCSVIndex(A2,195)+1,"","Station","Block","","Delay")</f>
        <v/>
      </c>
      <c r="M36" s="29" t="str" cm="1">
        <f t="array" ref="M36">GetCSVIndex(A2,196)</f>
        <v>0</v>
      </c>
      <c r="N36" s="27" t="str" cm="1">
        <f t="array" ref="N36">GetCSVIndex(A2,304)</f>
        <v>00:00:00</v>
      </c>
      <c r="O36" s="43" t="str" cm="1">
        <f t="array" ref="O36">GetCSVIndex(A2,367)</f>
        <v>00:00:00</v>
      </c>
    </row>
    <row r="37" spans="1:15" ht="21" customHeight="1" x14ac:dyDescent="0.25">
      <c r="A37" s="42"/>
      <c r="B37" s="25"/>
      <c r="C37" s="25"/>
      <c r="D37" s="26"/>
      <c r="E37" s="45">
        <v>23</v>
      </c>
      <c r="F37" s="29" t="str" cm="1">
        <f t="array" ref="F37">CHOOSE(GetCSVIndex(A2,102)+1,"","Station","Block","","Delay")</f>
        <v>Block</v>
      </c>
      <c r="G37" s="29" t="str" cm="1">
        <f t="array" ref="G37">GetCSVIndex(A2,103)</f>
        <v>26</v>
      </c>
      <c r="H37" s="45" t="str" cm="1">
        <f t="array" ref="H37">GetCSVIndex(A2,273)</f>
        <v>11:55:00</v>
      </c>
      <c r="I37" s="29" t="str" cm="1">
        <f t="array" ref="I37">GetCSVIndex(A2,336)</f>
        <v>00:35:45</v>
      </c>
      <c r="J37" s="26"/>
      <c r="K37" s="45">
        <v>55</v>
      </c>
      <c r="L37" s="29" t="str" cm="1">
        <f t="array" ref="L37">CHOOSE(GetCSVIndex(A2,198)+1,"","Station","Block","","Delay")</f>
        <v/>
      </c>
      <c r="M37" s="29" t="str" cm="1">
        <f t="array" ref="M37">GetCSVIndex(A2,199)</f>
        <v>0</v>
      </c>
      <c r="N37" s="27" t="str" cm="1">
        <f t="array" ref="N37">GetCSVIndex(A2,305)</f>
        <v>00:00:00</v>
      </c>
      <c r="O37" s="43" t="str" cm="1">
        <f t="array" ref="O37">GetCSVIndex(A2,368)</f>
        <v>00:00:00</v>
      </c>
    </row>
    <row r="38" spans="1:15" ht="21" customHeight="1" x14ac:dyDescent="0.25">
      <c r="A38" s="42"/>
      <c r="B38" s="25"/>
      <c r="C38" s="25"/>
      <c r="D38" s="26"/>
      <c r="E38" s="45">
        <v>24</v>
      </c>
      <c r="F38" s="29" t="str" cm="1">
        <f t="array" ref="F38">CHOOSE(GetCSVIndex(A2,105)+1,"","Station","Block","","Delay")</f>
        <v>Block</v>
      </c>
      <c r="G38" s="29" t="str" cm="1">
        <f t="array" ref="G38">GetCSVIndex(A2,106)</f>
        <v>27</v>
      </c>
      <c r="H38" s="45" t="str" cm="1">
        <f t="array" ref="H38">GetCSVIndex(A2,274)</f>
        <v>11:55:00</v>
      </c>
      <c r="I38" s="29" t="str" cm="1">
        <f t="array" ref="I38">GetCSVIndex(A2,337)</f>
        <v>00:35:45</v>
      </c>
      <c r="J38" s="26"/>
      <c r="K38" s="45">
        <v>56</v>
      </c>
      <c r="L38" s="29" t="str" cm="1">
        <f t="array" ref="L38">CHOOSE(GetCSVIndex(A2,201)+1,"","Station","Block","","Delay")</f>
        <v/>
      </c>
      <c r="M38" s="29" t="str" cm="1">
        <f t="array" ref="M38">GetCSVIndex(A2,202)</f>
        <v>0</v>
      </c>
      <c r="N38" s="27" t="str" cm="1">
        <f t="array" ref="N38">GetCSVIndex(A2,306)</f>
        <v>00:00:00</v>
      </c>
      <c r="O38" s="43" t="str" cm="1">
        <f t="array" ref="O38">GetCSVIndex(A2,369)</f>
        <v>00:00:00</v>
      </c>
    </row>
    <row r="39" spans="1:15" ht="21" customHeight="1" x14ac:dyDescent="0.25">
      <c r="A39" s="42"/>
      <c r="B39" s="25"/>
      <c r="C39" s="25"/>
      <c r="D39" s="26"/>
      <c r="E39" s="45">
        <v>25</v>
      </c>
      <c r="F39" s="29" t="str" cm="1">
        <f t="array" ref="F39">CHOOSE(GetCSVIndex(A2,108)+1,"","Station","Block","","Delay")</f>
        <v>Block</v>
      </c>
      <c r="G39" s="29" t="str" cm="1">
        <f t="array" ref="G39">GetCSVIndex(A2,109)</f>
        <v>28</v>
      </c>
      <c r="H39" s="45" t="str" cm="1">
        <f t="array" ref="H39">GetCSVIndex(A2,275)</f>
        <v>11:55:00</v>
      </c>
      <c r="I39" s="29" t="str" cm="1">
        <f t="array" ref="I39">GetCSVIndex(A2,338)</f>
        <v>00:35:45</v>
      </c>
      <c r="J39" s="26"/>
      <c r="K39" s="45">
        <v>57</v>
      </c>
      <c r="L39" s="29" t="str" cm="1">
        <f t="array" ref="L39">CHOOSE(GetCSVIndex(A2,204)+1,"","Station","Block","","Delay")</f>
        <v/>
      </c>
      <c r="M39" s="29" t="str" cm="1">
        <f t="array" ref="M39">GetCSVIndex(A2,205)</f>
        <v>0</v>
      </c>
      <c r="N39" s="27" t="str" cm="1">
        <f t="array" ref="N39">GetCSVIndex(A2,307)</f>
        <v>00:00:00</v>
      </c>
      <c r="O39" s="43" t="str" cm="1">
        <f t="array" ref="O39">GetCSVIndex(A2,370)</f>
        <v>00:00:00</v>
      </c>
    </row>
    <row r="40" spans="1:15" ht="21" customHeight="1" x14ac:dyDescent="0.25">
      <c r="A40" s="42"/>
      <c r="B40" s="25"/>
      <c r="C40" s="25"/>
      <c r="D40" s="26"/>
      <c r="E40" s="45">
        <v>26</v>
      </c>
      <c r="F40" s="29" t="str" cm="1">
        <f t="array" ref="F40">CHOOSE(GetCSVIndex(A2,111)+1,"","Station","Block","","Delay")</f>
        <v>Block</v>
      </c>
      <c r="G40" s="29" t="str" cm="1">
        <f t="array" ref="G40">GetCSVIndex(A2,112)</f>
        <v>29</v>
      </c>
      <c r="H40" s="45" t="str" cm="1">
        <f t="array" ref="H40">GetCSVIndex(A2,276)</f>
        <v>11:55:00</v>
      </c>
      <c r="I40" s="29" t="str" cm="1">
        <f t="array" ref="I40">GetCSVIndex(A2,339)</f>
        <v>00:35:45</v>
      </c>
      <c r="J40" s="26"/>
      <c r="K40" s="45">
        <v>58</v>
      </c>
      <c r="L40" s="29" t="str" cm="1">
        <f t="array" ref="L40">CHOOSE(GetCSVIndex(A2,207)+1,"","Station","Block","","Delay")</f>
        <v/>
      </c>
      <c r="M40" s="29" t="str" cm="1">
        <f t="array" ref="M40">GetCSVIndex(A2,208)</f>
        <v>0</v>
      </c>
      <c r="N40" s="27" t="str" cm="1">
        <f t="array" ref="N40">GetCSVIndex(A2,308)</f>
        <v>00:00:00</v>
      </c>
      <c r="O40" s="43" t="str" cm="1">
        <f t="array" ref="O40">GetCSVIndex(A2,371)</f>
        <v>00:00:00</v>
      </c>
    </row>
    <row r="41" spans="1:15" ht="21" customHeight="1" x14ac:dyDescent="0.25">
      <c r="A41" s="42"/>
      <c r="B41" s="25"/>
      <c r="C41" s="25"/>
      <c r="D41" s="26"/>
      <c r="E41" s="45">
        <v>27</v>
      </c>
      <c r="F41" s="29" t="str" cm="1">
        <f t="array" ref="F41">CHOOSE(GetCSVIndex(A2,114)+1,"","Station","Block","","Delay")</f>
        <v>Block</v>
      </c>
      <c r="G41" s="29" t="str" cm="1">
        <f t="array" ref="G41">GetCSVIndex(A2,115)</f>
        <v>30</v>
      </c>
      <c r="H41" s="45" t="str" cm="1">
        <f t="array" ref="H41">GetCSVIndex(A2,277)</f>
        <v>11:55:00</v>
      </c>
      <c r="I41" s="29" t="str" cm="1">
        <f t="array" ref="I41">GetCSVIndex(A2,340)</f>
        <v>00:35:45</v>
      </c>
      <c r="J41" s="26"/>
      <c r="K41" s="45">
        <v>59</v>
      </c>
      <c r="L41" s="29" t="str" cm="1">
        <f t="array" ref="L41">CHOOSE(GetCSVIndex(A2,210)+1,"","Station","Block","","Delay")</f>
        <v/>
      </c>
      <c r="M41" s="29" t="str" cm="1">
        <f t="array" ref="M41">GetCSVIndex(A2,211)</f>
        <v>0</v>
      </c>
      <c r="N41" s="27" t="str" cm="1">
        <f t="array" ref="N41">GetCSVIndex(A2,309)</f>
        <v>00:00:00</v>
      </c>
      <c r="O41" s="43" t="str" cm="1">
        <f t="array" ref="O41">GetCSVIndex(A2,372)</f>
        <v>00:00:00</v>
      </c>
    </row>
    <row r="42" spans="1:15" ht="21" customHeight="1" x14ac:dyDescent="0.25">
      <c r="A42" s="42"/>
      <c r="B42" s="25"/>
      <c r="C42" s="25"/>
      <c r="D42" s="26"/>
      <c r="E42" s="45">
        <v>28</v>
      </c>
      <c r="F42" s="29" t="str" cm="1">
        <f t="array" ref="F42">CHOOSE(GetCSVIndex(A2,117)+1,"","Station","Block","","Delay")</f>
        <v>Block</v>
      </c>
      <c r="G42" s="29" t="str" cm="1">
        <f t="array" ref="G42">GetCSVIndex(A2,118)</f>
        <v>31</v>
      </c>
      <c r="H42" s="45" t="str" cm="1">
        <f t="array" ref="H42">GetCSVIndex(A2,278)</f>
        <v>11:55:00</v>
      </c>
      <c r="I42" s="29" t="str" cm="1">
        <f t="array" ref="I42">GetCSVIndex(A2,341)</f>
        <v>00:35:45</v>
      </c>
      <c r="J42" s="26"/>
      <c r="K42" s="45">
        <v>60</v>
      </c>
      <c r="L42" s="29" t="str" cm="1">
        <f t="array" ref="L42">CHOOSE(GetCSVIndex(A2,213)+1,"","Station","Block","","Delay")</f>
        <v/>
      </c>
      <c r="M42" s="29" t="str" cm="1">
        <f t="array" ref="M42">GetCSVIndex(A2,214)</f>
        <v>0</v>
      </c>
      <c r="N42" s="27" t="str" cm="1">
        <f t="array" ref="N42">GetCSVIndex(A2,310)</f>
        <v>00:00:00</v>
      </c>
      <c r="O42" s="43" t="str" cm="1">
        <f t="array" ref="O42">GetCSVIndex(A2,373)</f>
        <v>00:00:00</v>
      </c>
    </row>
    <row r="43" spans="1:15" ht="21" customHeight="1" x14ac:dyDescent="0.25">
      <c r="A43" s="42"/>
      <c r="B43" s="25"/>
      <c r="C43" s="25"/>
      <c r="D43" s="26"/>
      <c r="E43" s="45">
        <v>29</v>
      </c>
      <c r="F43" s="29" t="str" cm="1">
        <f t="array" ref="F43">CHOOSE(GetCSVIndex(A2,120)+1,"","Station","Block","","Delay")</f>
        <v>Block</v>
      </c>
      <c r="G43" s="29" t="str" cm="1">
        <f t="array" ref="G43">GetCSVIndex(A2,121)</f>
        <v>32</v>
      </c>
      <c r="H43" s="45" t="str" cm="1">
        <f t="array" ref="H43">GetCSVIndex(A2,279)</f>
        <v>11:55:00</v>
      </c>
      <c r="I43" s="29" t="str" cm="1">
        <f t="array" ref="I43">GetCSVIndex(A2,342)</f>
        <v>00:35:45</v>
      </c>
      <c r="J43" s="26"/>
      <c r="K43" s="45">
        <v>61</v>
      </c>
      <c r="L43" s="29" t="str" cm="1">
        <f t="array" ref="L43">CHOOSE(GetCSVIndex(A2,216)+1,"","Station","Block","","Delay")</f>
        <v/>
      </c>
      <c r="M43" s="29" t="str" cm="1">
        <f t="array" ref="M43">GetCSVIndex(A2,217)</f>
        <v>0</v>
      </c>
      <c r="N43" s="27" t="str" cm="1">
        <f t="array" ref="N43">GetCSVIndex(A2,311)</f>
        <v>00:00:00</v>
      </c>
      <c r="O43" s="43" t="str" cm="1">
        <f t="array" ref="O43">GetCSVIndex(A2,374)</f>
        <v>00:00:00</v>
      </c>
    </row>
    <row r="44" spans="1:15" ht="21" customHeight="1" x14ac:dyDescent="0.25">
      <c r="A44" s="42"/>
      <c r="B44" s="25"/>
      <c r="C44" s="25"/>
      <c r="D44" s="26"/>
      <c r="E44" s="45">
        <v>30</v>
      </c>
      <c r="F44" s="29" t="str" cm="1">
        <f t="array" ref="F44">CHOOSE(GetCSVIndex(A2,123)+1,"","Station","Block","","Delay")</f>
        <v>Block</v>
      </c>
      <c r="G44" s="29" t="str" cm="1">
        <f t="array" ref="G44">GetCSVIndex(A2,124)</f>
        <v>33</v>
      </c>
      <c r="H44" s="45" t="str" cm="1">
        <f t="array" ref="H44">GetCSVIndex(A2,280)</f>
        <v>11:55:00</v>
      </c>
      <c r="I44" s="29" t="str" cm="1">
        <f t="array" ref="I44">GetCSVIndex(A2,343)</f>
        <v>00:35:45</v>
      </c>
      <c r="J44" s="26"/>
      <c r="K44" s="45">
        <v>62</v>
      </c>
      <c r="L44" s="29" t="str" cm="1">
        <f t="array" ref="L44">CHOOSE(GetCSVIndex(A2,219)+1,"","Station","Block","","Delay")</f>
        <v/>
      </c>
      <c r="M44" s="29" t="str" cm="1">
        <f t="array" ref="M44">GetCSVIndex(A2,220)</f>
        <v>0</v>
      </c>
      <c r="N44" s="27" t="str" cm="1">
        <f t="array" ref="N44">GetCSVIndex(A2,312)</f>
        <v>00:00:00</v>
      </c>
      <c r="O44" s="43" t="str" cm="1">
        <f t="array" ref="O44">GetCSVIndex(A2,375)</f>
        <v>00:00:00</v>
      </c>
    </row>
    <row r="45" spans="1:15" ht="21" customHeight="1" x14ac:dyDescent="0.25">
      <c r="A45" s="42"/>
      <c r="B45" s="25"/>
      <c r="C45" s="25"/>
      <c r="D45" s="26"/>
      <c r="E45" s="45">
        <v>31</v>
      </c>
      <c r="F45" s="29" t="str" cm="1">
        <f t="array" ref="F45">CHOOSE(GetCSVIndex(A2,126)+1,"","Station","Block","","Delay")</f>
        <v>Block</v>
      </c>
      <c r="G45" s="29" t="str" cm="1">
        <f t="array" ref="G45">GetCSVIndex(A2,127)</f>
        <v>34</v>
      </c>
      <c r="H45" s="45" t="str" cm="1">
        <f t="array" ref="H45">GetCSVIndex(A2,281)</f>
        <v>11:55:00</v>
      </c>
      <c r="I45" s="29" t="str" cm="1">
        <f t="array" ref="I45">GetCSVIndex(A2,344)</f>
        <v>00:35:45</v>
      </c>
      <c r="J45" s="26"/>
      <c r="K45" s="45">
        <v>63</v>
      </c>
      <c r="L45" s="29" t="str" cm="1">
        <f t="array" ref="L45">CHOOSE(GetCSVIndex(A2,222)+1,"","Station","Block","","Delay")</f>
        <v/>
      </c>
      <c r="M45" s="29" t="str" cm="1">
        <f t="array" ref="M45">GetCSVIndex(A2,223)</f>
        <v>0</v>
      </c>
      <c r="N45" s="27" t="str" cm="1">
        <f t="array" ref="N45">GetCSVIndex(A2,313)</f>
        <v>00:00:00</v>
      </c>
      <c r="O45" s="43" t="str" cm="1">
        <f t="array" ref="O45">GetCSVIndex(A2,376)</f>
        <v>00:00:00</v>
      </c>
    </row>
    <row r="46" spans="1:15" ht="21" customHeight="1" x14ac:dyDescent="0.25">
      <c r="A46" s="37"/>
      <c r="B46" s="28"/>
      <c r="C46" s="29"/>
      <c r="D46" s="29"/>
      <c r="E46" s="45">
        <v>32</v>
      </c>
      <c r="F46" s="29" t="str" cm="1">
        <f t="array" ref="F46">CHOOSE(GetCSVIndex(A2,129)+1,"","Station","Block","","Delay")</f>
        <v>Block</v>
      </c>
      <c r="G46" s="29" t="str" cm="1">
        <f t="array" ref="G46">GetCSVIndex(A2,130)</f>
        <v>35</v>
      </c>
      <c r="H46" s="45" t="str" cm="1">
        <f t="array" ref="H46">GetCSVIndex(A2,282)</f>
        <v>11:55:00</v>
      </c>
      <c r="I46" s="29" t="str" cm="1">
        <f t="array" ref="I46">GetCSVIndex(A2,345)</f>
        <v>00:35:45</v>
      </c>
      <c r="J46" s="29"/>
      <c r="K46" s="45">
        <v>64</v>
      </c>
      <c r="L46" s="29" t="str" cm="1">
        <f t="array" ref="L46">CHOOSE(GetCSVIndex(A2,225)+1,"","Station","Block","","Delay")</f>
        <v/>
      </c>
      <c r="M46" s="29" t="str" cm="1">
        <f t="array" ref="M46">GetCSVIndex(A2,226)</f>
        <v>0</v>
      </c>
      <c r="N46" s="27" t="str" cm="1">
        <f t="array" ref="N46">GetCSVIndex(A2,314)</f>
        <v>00:00:00</v>
      </c>
      <c r="O46" s="43" t="str" cm="1">
        <f t="array" ref="O46">GetCSVIndex(A2,377)</f>
        <v>00:00:00</v>
      </c>
    </row>
    <row r="47" spans="1:15" ht="23.25" customHeight="1" x14ac:dyDescent="0.25">
      <c r="A47" s="51" t="str" cm="1">
        <f t="array" ref="A47">CONCATENATE("Schedule  Program Number : ", GetCSVIndex(A2,5+378))</f>
        <v>Schedule  Program Number : 2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3"/>
    </row>
    <row r="48" spans="1:15" ht="21" customHeight="1" x14ac:dyDescent="0.25">
      <c r="A48" s="20" t="s">
        <v>44</v>
      </c>
      <c r="B48" s="22" t="str" cm="1">
        <f t="array" ref="B48">GetCSVIndex(A2,5+378)</f>
        <v>2</v>
      </c>
      <c r="C48" s="18"/>
      <c r="D48" s="18"/>
      <c r="E48" s="18"/>
      <c r="F48" s="18"/>
      <c r="G48" s="18" t="s">
        <v>19</v>
      </c>
      <c r="H48" s="18" t="str" cm="1">
        <f t="array" ref="H48">CHOOSE(GetCSVIndex(A2,7+378)+1, "Days of Week", "Odd/Even", "Interval","Manual")</f>
        <v>Interval</v>
      </c>
      <c r="I48" s="18"/>
      <c r="J48" s="15"/>
      <c r="K48" s="15"/>
      <c r="L48" s="15"/>
      <c r="M48" s="15"/>
      <c r="N48" s="15"/>
      <c r="O48" s="16"/>
    </row>
    <row r="49" spans="1:15" ht="18" customHeight="1" x14ac:dyDescent="0.25">
      <c r="A49" s="21" t="s">
        <v>20</v>
      </c>
      <c r="B49" s="19" t="str" cm="1">
        <f t="array" ref="B49">CHOOSE(GetCSVIndex(A2,24+378)+1, "Program", "Global", "Monthly","Solar Sync")</f>
        <v>Global</v>
      </c>
      <c r="C49" s="19"/>
      <c r="D49" s="19"/>
      <c r="E49" s="19"/>
      <c r="F49" s="19" t="s">
        <v>21</v>
      </c>
      <c r="G49" s="19" t="str" cm="1">
        <f t="array" ref="G49">IF(CHOOSE(GetCSVIndex(A2,7+378)+1,IF(_xlfn.BITAND(GetCSVIndex(A2,8+378), 2^0)=0, 0, 1),IF(_xlfn.BITAND(GetCSVIndex(A2,9+378), 2^0)=0, 0, 1),IF(_xlfn.BITAND(GetCSVIndex(A2,10+378), 2^0)=0, 0, 1)) =1,"Mon","")</f>
        <v/>
      </c>
      <c r="H49" s="19" t="str" cm="1">
        <f t="array" ref="H49">CONCATENATE(IF(CHOOSE(GetCSVIndex(A2,7+378)+1,IF(_xlfn.BITAND(GetCSVIndex(A2,8+378), 2^1)=0, 0, 1),IF(_xlfn.BITAND(GetCSVIndex(A2,9+378), 2^1)=0, 0, 1),IF(_xlfn.BITAND(GetCSVIndex(A2,10+378), 2^1)=0, 0, 1)) =1,"Tue       ","       "),IF(CHOOSE(GetCSVIndex(A2,7+378)+1,IF(_xlfn.BITAND(GetCSVIndex(A2,8+378), 2^2)=0, 0, 1),IF(_xlfn.BITAND(GetCSVIndex(A2,9+378), 2^2)=0, 0, 1),IF(_xlfn.BITAND(GetCSVIndex(A2,10+378), 2^2)=0, 0, 1)) =1,"Wed",""),IF(CHOOSE(GetCSVIndex(A2,7+378)+1,IF(_xlfn.BITAND(GetCSVIndex(A2,8+378), 2^3)=0, 0, 1),IF(_xlfn.BITAND(GetCSVIndex(A2,9+378), 2^3)=0, 0, 1),IF(_xlfn.BITAND(GetCSVIndex(A2,10+378), 2^3)=0, 0, 1)) =1,"       Thu","       "))</f>
        <v xml:space="preserve">              </v>
      </c>
      <c r="I49" s="32" t="str" cm="1">
        <f t="array" ref="I49">CONCATENATE(IF(CHOOSE(GetCSVIndex(A2,7+378)+1,IF(_xlfn.BITAND(GetCSVIndex(A2,8+378), 2^4)=0, 0, 1),IF(_xlfn.BITAND(GetCSVIndex(A2,9+378), 2^4)=0, 0, 1),IF(_xlfn.BITAND(GetCSVIndex(A2,10+378), 2^4)=0, 0, 1)) =1,"Fri       ","       "),IF(CHOOSE(GetCSVIndex(A2,7+378)+1,IF(_xlfn.BITAND(GetCSVIndex(A2,8+378), 2^5)=0, 0, 1),IF(_xlfn.BITAND(GetCSVIndex(A2,9+378), 2^5)=0, 0, 1),IF(_xlfn.BITAND(GetCSVIndex(A2,10+378), 2^5)=0, 0, 1)) =1,"Sat",""),IF(CHOOSE(GetCSVIndex(A2,7+378)+1,IF(_xlfn.BITAND(GetCSVIndex(A2,8+378), 2^6)=0, 0, 1),IF(_xlfn.BITAND(GetCSVIndex(A2,9+378), 2^6)=0, 0, 1),IF(_xlfn.BITAND(GetCSVIndex(A2,10+378), 2^6)=0, 0, 1)) =1,"       Sun","       "))</f>
        <v xml:space="preserve">              </v>
      </c>
      <c r="J49" s="19"/>
      <c r="K49" s="19"/>
      <c r="L49" s="32" t="s">
        <v>22</v>
      </c>
      <c r="M49" s="19"/>
      <c r="N49" s="19" t="str" cm="1">
        <f t="array" ref="N49">IF(GetCSVIndex(A2,26+378)="1","Enable","Disable")</f>
        <v>Disable</v>
      </c>
      <c r="O49" s="24"/>
    </row>
    <row r="50" spans="1:15" ht="18" customHeight="1" x14ac:dyDescent="0.25">
      <c r="A50" s="21" t="str" cm="1">
        <f t="array" ref="A50">CONCATENATE("Program ", GetCSVIndex(A2,5+378))</f>
        <v>Program 2</v>
      </c>
      <c r="B50" s="23" t="str" cm="1">
        <f t="array" ref="B50">CONCATENATE(GetCSVIndex(A2,25+378)," %")</f>
        <v>100 %</v>
      </c>
      <c r="C50" s="19"/>
      <c r="D50" s="19"/>
      <c r="E50" s="19"/>
      <c r="F50" s="19" t="str" cm="1">
        <f t="array" ref="F50">IF(GetCSVIndex(A2,7)="2","Water Every"," ")</f>
        <v xml:space="preserve"> </v>
      </c>
      <c r="G50" s="47" t="str" cm="1">
        <f t="array" ref="G50">IF(GetCSVIndex(A2,7+378)="2",GetCSVIndex(A2,11+378)," ")</f>
        <v>2</v>
      </c>
      <c r="H50" s="19" t="str" cm="1">
        <f t="array" ref="H50">IF(GetCSVIndex(A2,7+378)="2","Days"," ")</f>
        <v>Days</v>
      </c>
      <c r="I50" s="32" t="str" cm="1">
        <f t="array" ref="I50">IF(GetCSVIndex(A2,7+378)="2","Water After"," ")</f>
        <v>Water After</v>
      </c>
      <c r="J50" s="19"/>
      <c r="K50" s="19" t="str" cm="1">
        <f t="array" ref="K50">IF(GetCSVIndex(A2,7+378)="2",GetCSVIndex(A2,12+378)," ")</f>
        <v>1</v>
      </c>
      <c r="L50" s="47" t="str" cm="1">
        <f t="array" ref="L50">IF(GetCSVIndex(A2,7+378)="2","Days"," ")</f>
        <v>Days</v>
      </c>
      <c r="M50" s="32"/>
      <c r="N50" s="32"/>
      <c r="O50" s="24"/>
    </row>
    <row r="51" spans="1:15" ht="21" customHeight="1" x14ac:dyDescent="0.25">
      <c r="A51" s="20" t="s">
        <v>23</v>
      </c>
      <c r="B51" s="18" t="s">
        <v>24</v>
      </c>
      <c r="C51" s="18" t="str" cm="1">
        <f t="array" ref="C51">CHOOSE(GetCSVIndex(A2,13)+1, "Auto", "Start to End","Manual")</f>
        <v>Start to End</v>
      </c>
      <c r="D51" s="31"/>
      <c r="E51" s="17" t="s">
        <v>38</v>
      </c>
      <c r="F51" s="18" t="s">
        <v>39</v>
      </c>
      <c r="G51" s="18" t="s">
        <v>40</v>
      </c>
      <c r="H51" s="18" t="s">
        <v>41</v>
      </c>
      <c r="I51" s="18" t="s">
        <v>43</v>
      </c>
      <c r="J51" s="31"/>
      <c r="K51" s="17" t="s">
        <v>38</v>
      </c>
      <c r="L51" s="18" t="s">
        <v>39</v>
      </c>
      <c r="M51" s="18" t="s">
        <v>40</v>
      </c>
      <c r="N51" s="22" t="s">
        <v>41</v>
      </c>
      <c r="O51" s="44" t="s">
        <v>42</v>
      </c>
    </row>
    <row r="52" spans="1:15" ht="21" customHeight="1" x14ac:dyDescent="0.25">
      <c r="A52" s="36" t="s">
        <v>25</v>
      </c>
      <c r="B52" s="46" t="str" cm="1">
        <f t="array" ref="B52">IF(GetCSVIndex(A2,6+378)="1","Over","Stack")</f>
        <v>Over</v>
      </c>
      <c r="C52" s="26" t="str" cm="1">
        <f t="array" ref="C52">GetCSVIndex(A2,29+378)</f>
        <v>1</v>
      </c>
      <c r="D52" s="25"/>
      <c r="E52" s="45">
        <v>1</v>
      </c>
      <c r="F52" s="29" t="str" cm="1">
        <f t="array" ref="F52">CHOOSE(GetCSVIndex(A2,36+378)+1,"","Station","Block","","Delay")</f>
        <v>Station</v>
      </c>
      <c r="G52" s="29" t="str" cm="1">
        <f t="array" ref="G52">GetCSVIndex(A2,37+378)</f>
        <v>1</v>
      </c>
      <c r="H52" s="45" t="str" cm="1">
        <f t="array" ref="H52">GetCSVIndex(A2,3+378)</f>
        <v>00:11:00</v>
      </c>
      <c r="I52" s="29" t="str" cm="1">
        <f t="array" ref="I52">GetCSVIndex(A2,1+378)</f>
        <v>00:00:33</v>
      </c>
      <c r="J52" s="25"/>
      <c r="K52" s="45">
        <v>33</v>
      </c>
      <c r="L52" s="29" t="str" cm="1">
        <f t="array" ref="L52">CHOOSE(GetCSVIndex(A2,132+378)+1,"","Station","Block","","Delay")</f>
        <v/>
      </c>
      <c r="M52" s="29" t="str" cm="1">
        <f t="array" ref="M52">GetCSVIndex(A2,133+378)</f>
        <v>0</v>
      </c>
      <c r="N52" s="27" t="str" cm="1">
        <f t="array" ref="N52">GetCSVIndex(A2,283+378)</f>
        <v>00:00:00</v>
      </c>
      <c r="O52" s="43" t="str" cm="1">
        <f t="array" ref="O52">GetCSVIndex(A2,346+378)</f>
        <v>00:00:00</v>
      </c>
    </row>
    <row r="53" spans="1:15" ht="21" customHeight="1" x14ac:dyDescent="0.25">
      <c r="A53" s="36" t="s">
        <v>26</v>
      </c>
      <c r="B53" s="25" t="str" cm="1">
        <f t="array" ref="B53">IF(GetCSVIndex(A2,2+378)="1092:15","Not Set",CONCATENATE("From     ",GetCSVIndex(A2,2+378)))</f>
        <v>Not Set</v>
      </c>
      <c r="C53" s="26" t="str" cm="1">
        <f t="array" ref="C53">IF(GetCSVIndex(C4,1+2)="1092:15","Not Set",CONCATENATE("To     ",GetCSVIndex(C4,1+2)))</f>
        <v>Not Set</v>
      </c>
      <c r="D53" s="25"/>
      <c r="E53" s="45">
        <v>2</v>
      </c>
      <c r="F53" s="29" t="str" cm="1">
        <f t="array" ref="F53">CHOOSE(GetCSVIndex(A2,39+378)+1,"","Station","Block","","Delay")</f>
        <v>Station</v>
      </c>
      <c r="G53" s="29" t="str" cm="1">
        <f t="array" ref="G53">GetCSVIndex(A2,40+378)</f>
        <v>2</v>
      </c>
      <c r="H53" s="45" t="str" cm="1">
        <f t="array" ref="H53">GetCSVIndex(A2,252+378)</f>
        <v>00:11:00</v>
      </c>
      <c r="I53" s="29" t="str" cm="1">
        <f t="array" ref="I53">GetCSVIndex(A2,315+378)</f>
        <v>00:00:33</v>
      </c>
      <c r="J53" s="25"/>
      <c r="K53" s="45">
        <v>34</v>
      </c>
      <c r="L53" s="29" t="str" cm="1">
        <f t="array" ref="L53">CHOOSE(GetCSVIndex(A2,135+378)+1,"","Station","Block","","Delay")</f>
        <v/>
      </c>
      <c r="M53" s="29" t="str" cm="1">
        <f t="array" ref="M53">GetCSVIndex(A2,136+378)</f>
        <v>0</v>
      </c>
      <c r="N53" s="27" t="str" cm="1">
        <f t="array" ref="N53">GetCSVIndex(A2,284+378)</f>
        <v>00:00:00</v>
      </c>
      <c r="O53" s="43" t="str" cm="1">
        <f t="array" ref="O53">GetCSVIndex(A2,347+378)</f>
        <v>00:00:00</v>
      </c>
    </row>
    <row r="54" spans="1:15" ht="21" customHeight="1" x14ac:dyDescent="0.25">
      <c r="A54" s="36" t="s">
        <v>27</v>
      </c>
      <c r="B54" s="25"/>
      <c r="C54" s="26" t="str" cm="1">
        <f t="array" ref="C54">CONCATENATE(GetCSVIndex(A2,249+378),":", GetCSVIndex(A2,250+378),":", GetCSVIndex(A2,251+378))</f>
        <v>0:0:1</v>
      </c>
      <c r="D54" s="26"/>
      <c r="E54" s="45">
        <v>3</v>
      </c>
      <c r="F54" s="29" t="str" cm="1">
        <f t="array" ref="F54">CHOOSE(GetCSVIndex(A2,42+378)+1,"","Station","Block","","Delay")</f>
        <v>Station</v>
      </c>
      <c r="G54" s="29" t="str" cm="1">
        <f t="array" ref="G54">GetCSVIndex(A2,43+378)</f>
        <v>3</v>
      </c>
      <c r="H54" s="45" t="str" cm="1">
        <f t="array" ref="H54">GetCSVIndex(A2,253+378)</f>
        <v>00:11:00</v>
      </c>
      <c r="I54" s="29" t="str" cm="1">
        <f t="array" ref="I54">GetCSVIndex(A2,316+378)</f>
        <v>00:00:33</v>
      </c>
      <c r="J54" s="25"/>
      <c r="K54" s="45">
        <v>35</v>
      </c>
      <c r="L54" s="29" t="str" cm="1">
        <f t="array" ref="L54">CHOOSE(GetCSVIndex(A2,138+378)+1,"","Station","Block","","Delay")</f>
        <v/>
      </c>
      <c r="M54" s="29" t="str" cm="1">
        <f t="array" ref="M54">GetCSVIndex(A2,139+378)</f>
        <v>0</v>
      </c>
      <c r="N54" s="27" t="str" cm="1">
        <f t="array" ref="N54">GetCSVIndex(A2,285+378)</f>
        <v>00:00:00</v>
      </c>
      <c r="O54" s="43" t="str" cm="1">
        <f t="array" ref="O54">GetCSVIndex(A2,348+378)</f>
        <v>00:00:00</v>
      </c>
    </row>
    <row r="55" spans="1:15" ht="21" customHeight="1" x14ac:dyDescent="0.25">
      <c r="A55" s="36"/>
      <c r="B55" s="25"/>
      <c r="C55" s="25"/>
      <c r="D55" s="25"/>
      <c r="E55" s="45">
        <v>4</v>
      </c>
      <c r="F55" s="29" t="str" cm="1">
        <f t="array" ref="F55">CHOOSE(GetCSVIndex(A2,45+378)+1,"","Station","Block","","Delay")</f>
        <v>Station</v>
      </c>
      <c r="G55" s="29" t="str" cm="1">
        <f t="array" ref="G55">GetCSVIndex(A2,46+378)</f>
        <v>4</v>
      </c>
      <c r="H55" s="45" t="str" cm="1">
        <f t="array" ref="H55">GetCSVIndex(A2,254+378)</f>
        <v>00:11:00</v>
      </c>
      <c r="I55" s="29" t="str" cm="1">
        <f t="array" ref="I55">GetCSVIndex(A2,317+378)</f>
        <v>00:00:33</v>
      </c>
      <c r="J55" s="25"/>
      <c r="K55" s="45">
        <v>36</v>
      </c>
      <c r="L55" s="29" t="str" cm="1">
        <f t="array" ref="L55">CHOOSE(GetCSVIndex(A2,141+378)+1,"","Station","Block","","Delay")</f>
        <v/>
      </c>
      <c r="M55" s="29" t="str" cm="1">
        <f t="array" ref="M55">GetCSVIndex(A2,142+378)</f>
        <v>0</v>
      </c>
      <c r="N55" s="27" t="str" cm="1">
        <f t="array" ref="N55">GetCSVIndex(A2,286+378)</f>
        <v>00:00:00</v>
      </c>
      <c r="O55" s="43" t="str" cm="1">
        <f t="array" ref="O55">GetCSVIndex(A2,349+378)</f>
        <v>00:00:00</v>
      </c>
    </row>
    <row r="56" spans="1:15" ht="21" customHeight="1" x14ac:dyDescent="0.25">
      <c r="A56" s="37" t="s">
        <v>28</v>
      </c>
      <c r="B56" s="28"/>
      <c r="C56" s="29" t="str" cm="1">
        <f t="array" ref="C56">IF(GetCSVIndex(A2,14+378)&lt;&gt;"65535",CONCATENATE(GetCSVIndex(A2,229+378),":", GetCSVIndex(A2,239+378)),"OFF")</f>
        <v>0:2</v>
      </c>
      <c r="D56" s="25"/>
      <c r="E56" s="45">
        <v>5</v>
      </c>
      <c r="F56" s="29" t="str" cm="1">
        <f t="array" ref="F56">CHOOSE(GetCSVIndex(A2,48+378)+1,"","Station","Block","","Delay")</f>
        <v>Station</v>
      </c>
      <c r="G56" s="29" t="str" cm="1">
        <f t="array" ref="G56">GetCSVIndex(A2,49+378)</f>
        <v>5</v>
      </c>
      <c r="H56" s="45" t="str" cm="1">
        <f t="array" ref="H56">GetCSVIndex(A2,255+378)</f>
        <v>00:11:00</v>
      </c>
      <c r="I56" s="29" t="str" cm="1">
        <f t="array" ref="I56">GetCSVIndex(A2,318+378)</f>
        <v>00:00:33</v>
      </c>
      <c r="J56" s="25"/>
      <c r="K56" s="45">
        <v>37</v>
      </c>
      <c r="L56" s="29" t="str" cm="1">
        <f t="array" ref="L56">CHOOSE(GetCSVIndex(A2,144+378)+1,"","Station","Block","","Delay")</f>
        <v/>
      </c>
      <c r="M56" s="29" t="str" cm="1">
        <f t="array" ref="M56">GetCSVIndex(A2,145+378)</f>
        <v>0</v>
      </c>
      <c r="N56" s="27" t="str" cm="1">
        <f t="array" ref="N56">GetCSVIndex(A2,287+378)</f>
        <v>00:00:00</v>
      </c>
      <c r="O56" s="43" t="str" cm="1">
        <f t="array" ref="O56">GetCSVIndex(A2,350+378)</f>
        <v>00:00:00</v>
      </c>
    </row>
    <row r="57" spans="1:15" ht="21" customHeight="1" x14ac:dyDescent="0.25">
      <c r="A57" s="38" t="s">
        <v>29</v>
      </c>
      <c r="B57" s="30"/>
      <c r="C57" s="29" t="str" cm="1">
        <f t="array" ref="C57">IF(GetCSVIndex(A2,15+378)&lt;&gt;"65535",CONCATENATE(GetCSVIndex(A2,231+378),":", GetCSVIndex(A2,241+378)),"OFF")</f>
        <v>OFF</v>
      </c>
      <c r="D57" s="25"/>
      <c r="E57" s="45">
        <v>6</v>
      </c>
      <c r="F57" s="29" t="str" cm="1">
        <f t="array" ref="F57">CHOOSE(GetCSVIndex(A2,51+378)+1,"","Station","Block","","Delay")</f>
        <v>Station</v>
      </c>
      <c r="G57" s="29" t="str" cm="1">
        <f t="array" ref="G57">GetCSVIndex(A2,52+378)</f>
        <v>6</v>
      </c>
      <c r="H57" s="45" t="str" cm="1">
        <f t="array" ref="H57">GetCSVIndex(A2,256+378)</f>
        <v>00:11:00</v>
      </c>
      <c r="I57" s="29" t="str" cm="1">
        <f t="array" ref="I57">GetCSVIndex(A2,319+378)</f>
        <v>00:00:33</v>
      </c>
      <c r="J57" s="25"/>
      <c r="K57" s="45">
        <v>38</v>
      </c>
      <c r="L57" s="29" t="str" cm="1">
        <f t="array" ref="L57">CHOOSE(GetCSVIndex(A2,147+378)+1,"","Station","Block","","Delay")</f>
        <v/>
      </c>
      <c r="M57" s="29" t="str" cm="1">
        <f t="array" ref="M57">GetCSVIndex(A2,148+378)</f>
        <v>0</v>
      </c>
      <c r="N57" s="27" t="str" cm="1">
        <f t="array" ref="N57">GetCSVIndex(A2,288+378)</f>
        <v>00:00:00</v>
      </c>
      <c r="O57" s="43" t="str" cm="1">
        <f t="array" ref="O57">GetCSVIndex(A2,351+378)</f>
        <v>00:00:00</v>
      </c>
    </row>
    <row r="58" spans="1:15" ht="21" customHeight="1" x14ac:dyDescent="0.25">
      <c r="A58" s="38" t="s">
        <v>30</v>
      </c>
      <c r="B58" s="30"/>
      <c r="C58" s="29" t="str" cm="1">
        <f t="array" ref="C58">IF(GetCSVIndex(A2,16+378)&lt;&gt;"65535",CONCATENATE(GetCSVIndex(A2,232+378),":", GetCSVIndex(A2,242+378)),"OFF")</f>
        <v>OFF</v>
      </c>
      <c r="D58" s="25"/>
      <c r="E58" s="45">
        <v>7</v>
      </c>
      <c r="F58" s="29" t="str" cm="1">
        <f t="array" ref="F58">CHOOSE(GetCSVIndex(A2,54+378)+1,"","Station","Block","","Delay")</f>
        <v>Station</v>
      </c>
      <c r="G58" s="29" t="str" cm="1">
        <f t="array" ref="G58">GetCSVIndex(A2,55+378)</f>
        <v>7</v>
      </c>
      <c r="H58" s="45" t="str" cm="1">
        <f t="array" ref="H58">GetCSVIndex(A2,257+378)</f>
        <v>00:11:00</v>
      </c>
      <c r="I58" s="29" t="str" cm="1">
        <f t="array" ref="I58">GetCSVIndex(A2,320+378)</f>
        <v>00:00:33</v>
      </c>
      <c r="J58" s="25"/>
      <c r="K58" s="45">
        <v>39</v>
      </c>
      <c r="L58" s="29" t="str" cm="1">
        <f t="array" ref="L58">CHOOSE(GetCSVIndex(A2,150+378)+1,"","Station","Block","","Delay")</f>
        <v/>
      </c>
      <c r="M58" s="29" t="str" cm="1">
        <f t="array" ref="M58">GetCSVIndex(A2,151+378)</f>
        <v>0</v>
      </c>
      <c r="N58" s="27" t="str" cm="1">
        <f t="array" ref="N58">GetCSVIndex(A2,289+378)</f>
        <v>00:00:00</v>
      </c>
      <c r="O58" s="43" t="str" cm="1">
        <f t="array" ref="O58">GetCSVIndex(A2,352+378)</f>
        <v>00:00:00</v>
      </c>
    </row>
    <row r="59" spans="1:15" ht="21" customHeight="1" x14ac:dyDescent="0.25">
      <c r="A59" s="38" t="s">
        <v>31</v>
      </c>
      <c r="B59" s="30"/>
      <c r="C59" s="29" t="str" cm="1">
        <f t="array" ref="C59">IF(GetCSVIndex(A2,17+378)&lt;&gt;"65535",CONCATENATE(GetCSVIndex(A2,233+378),":", GetCSVIndex(A2,243+378)),"OFF")</f>
        <v>23:53</v>
      </c>
      <c r="D59" s="25"/>
      <c r="E59" s="45">
        <v>8</v>
      </c>
      <c r="F59" s="29" t="str" cm="1">
        <f t="array" ref="F59">CHOOSE(GetCSVIndex(A2,57+378)+1,"","Station","Block","","Delay")</f>
        <v>Station</v>
      </c>
      <c r="G59" s="29" t="str" cm="1">
        <f t="array" ref="G59">GetCSVIndex(A2,58+378)</f>
        <v>8</v>
      </c>
      <c r="H59" s="45" t="str" cm="1">
        <f t="array" ref="H59">GetCSVIndex(A2,258+378)</f>
        <v>00:11:00</v>
      </c>
      <c r="I59" s="29" t="str" cm="1">
        <f t="array" ref="I59">GetCSVIndex(A2,321+378)</f>
        <v>00:00:33</v>
      </c>
      <c r="J59" s="25"/>
      <c r="K59" s="45">
        <v>40</v>
      </c>
      <c r="L59" s="29" t="str" cm="1">
        <f t="array" ref="L59">CHOOSE(GetCSVIndex(A2,153+378)+1,"","Station","Block","","Delay")</f>
        <v/>
      </c>
      <c r="M59" s="29" t="str" cm="1">
        <f t="array" ref="M59">GetCSVIndex(A2,154+378)</f>
        <v>0</v>
      </c>
      <c r="N59" s="27" t="str" cm="1">
        <f t="array" ref="N59">GetCSVIndex(A2,290+378)</f>
        <v>00:00:00</v>
      </c>
      <c r="O59" s="43" t="str" cm="1">
        <f t="array" ref="O59">GetCSVIndex(A2,353+378)</f>
        <v>00:00:00</v>
      </c>
    </row>
    <row r="60" spans="1:15" ht="21" customHeight="1" x14ac:dyDescent="0.25">
      <c r="A60" s="38" t="s">
        <v>32</v>
      </c>
      <c r="B60" s="30"/>
      <c r="C60" s="29" t="str" cm="1">
        <f t="array" ref="C60">IF(GetCSVIndex(A2,18+378)&lt;&gt;"65535",CONCATENATE(GetCSVIndex(A2,234+378),":", GetCSVIndex(A2,244+378)),"OFF")</f>
        <v>23:56</v>
      </c>
      <c r="D60" s="25"/>
      <c r="E60" s="45">
        <v>9</v>
      </c>
      <c r="F60" s="29" t="str" cm="1">
        <f t="array" ref="F60">CHOOSE(GetCSVIndex(A2,60+378)+1,"","Station","Block","","Delay")</f>
        <v>Station</v>
      </c>
      <c r="G60" s="29" t="str" cm="1">
        <f t="array" ref="G60">GetCSVIndex(A2,61+378)</f>
        <v>9</v>
      </c>
      <c r="H60" s="45" t="str" cm="1">
        <f t="array" ref="H60">GetCSVIndex(A2,259+378)</f>
        <v>00:11:00</v>
      </c>
      <c r="I60" s="29" t="str" cm="1">
        <f t="array" ref="I60">GetCSVIndex(A2,322+378)</f>
        <v>00:00:33</v>
      </c>
      <c r="J60" s="25"/>
      <c r="K60" s="45">
        <v>41</v>
      </c>
      <c r="L60" s="29" t="str" cm="1">
        <f t="array" ref="L60">CHOOSE(GetCSVIndex(A2,156+378)+1,"","Station","Block","","Delay")</f>
        <v/>
      </c>
      <c r="M60" s="29" t="str" cm="1">
        <f t="array" ref="M60">GetCSVIndex(A2,157+378)</f>
        <v>0</v>
      </c>
      <c r="N60" s="27" t="str" cm="1">
        <f t="array" ref="N60">GetCSVIndex(A2,291+378)</f>
        <v>00:00:00</v>
      </c>
      <c r="O60" s="43" t="str" cm="1">
        <f t="array" ref="O60">GetCSVIndex(A2,354+378)</f>
        <v>00:00:00</v>
      </c>
    </row>
    <row r="61" spans="1:15" ht="21" customHeight="1" x14ac:dyDescent="0.25">
      <c r="A61" s="38" t="s">
        <v>33</v>
      </c>
      <c r="B61" s="30"/>
      <c r="C61" s="29" t="str" cm="1">
        <f t="array" ref="C61">IF(GetCSVIndex(A2,19+378)&lt;&gt;"65535",CONCATENATE(GetCSVIndex(A2,235+378),":", GetCSVIndex(A2,245+378)),"OFF")</f>
        <v>OFF</v>
      </c>
      <c r="D61" s="25"/>
      <c r="E61" s="45">
        <v>10</v>
      </c>
      <c r="F61" s="29" t="str" cm="1">
        <f t="array" ref="F61">CHOOSE(GetCSVIndex(A2,63+378)+1,"","Station","Block","","Delay")</f>
        <v>Station</v>
      </c>
      <c r="G61" s="29" t="str" cm="1">
        <f t="array" ref="G61">GetCSVIndex(A2,64+378)</f>
        <v>10</v>
      </c>
      <c r="H61" s="45" t="str" cm="1">
        <f t="array" ref="H61">GetCSVIndex(A2,260+378)</f>
        <v>00:11:00</v>
      </c>
      <c r="I61" s="29" t="str" cm="1">
        <f t="array" ref="I61">GetCSVIndex(A2,323+378)</f>
        <v>00:00:33</v>
      </c>
      <c r="J61" s="25"/>
      <c r="K61" s="45">
        <v>42</v>
      </c>
      <c r="L61" s="29" t="str" cm="1">
        <f t="array" ref="L61">CHOOSE(GetCSVIndex(A2,159+378)+1,"","Station","Block","","Delay")</f>
        <v/>
      </c>
      <c r="M61" s="29" t="str" cm="1">
        <f t="array" ref="M61">GetCSVIndex(A2,160+378)</f>
        <v>0</v>
      </c>
      <c r="N61" s="27" t="str" cm="1">
        <f t="array" ref="N61">GetCSVIndex(A2,292+378)</f>
        <v>00:00:00</v>
      </c>
      <c r="O61" s="43" t="str" cm="1">
        <f t="array" ref="O61">GetCSVIndex(A2,355+378)</f>
        <v>00:00:00</v>
      </c>
    </row>
    <row r="62" spans="1:15" ht="21" customHeight="1" x14ac:dyDescent="0.25">
      <c r="A62" s="38" t="s">
        <v>34</v>
      </c>
      <c r="B62" s="30"/>
      <c r="C62" s="29" t="str" cm="1">
        <f t="array" ref="C62">IF(GetCSVIndex(A2,20+378)&lt;&gt;"65535",CONCATENATE(GetCSVIndex(A2,236+378),":", GetCSVIndex(A2,246+378)),"OFF")</f>
        <v>OFF</v>
      </c>
      <c r="D62" s="25"/>
      <c r="E62" s="45">
        <v>11</v>
      </c>
      <c r="F62" s="29" t="str" cm="1">
        <f t="array" ref="F62">CHOOSE(GetCSVIndex(A2,66+378)+1,"","Station","Block","","Delay")</f>
        <v>Station</v>
      </c>
      <c r="G62" s="29" t="str" cm="1">
        <f t="array" ref="G62">GetCSVIndex(A2,67+378)</f>
        <v>11</v>
      </c>
      <c r="H62" s="45" t="str" cm="1">
        <f t="array" ref="H62">GetCSVIndex(A2,261+378)</f>
        <v>00:11:00</v>
      </c>
      <c r="I62" s="29" t="str" cm="1">
        <f t="array" ref="I62">GetCSVIndex(A2,324+378)</f>
        <v>00:00:33</v>
      </c>
      <c r="J62" s="25"/>
      <c r="K62" s="45">
        <v>43</v>
      </c>
      <c r="L62" s="29" t="str" cm="1">
        <f t="array" ref="L62">CHOOSE(GetCSVIndex(A2,162+378)+1,"","Station","Block","","Delay")</f>
        <v/>
      </c>
      <c r="M62" s="29" t="str" cm="1">
        <f t="array" ref="M62">GetCSVIndex(A2,163+378)</f>
        <v>0</v>
      </c>
      <c r="N62" s="27" t="str" cm="1">
        <f t="array" ref="N62">GetCSVIndex(A2,293+378)</f>
        <v>00:00:00</v>
      </c>
      <c r="O62" s="43" t="str" cm="1">
        <f t="array" ref="O62">GetCSVIndex(A2,356+378)</f>
        <v>00:00:00</v>
      </c>
    </row>
    <row r="63" spans="1:15" ht="21" customHeight="1" x14ac:dyDescent="0.25">
      <c r="A63" s="38" t="s">
        <v>35</v>
      </c>
      <c r="B63" s="30"/>
      <c r="C63" s="29" t="str" cm="1">
        <f t="array" ref="C63">IF(GetCSVIndex(A2,21+378)&lt;&gt;"65535",CONCATENATE(GetCSVIndex(A2,237+378),":", GetCSVIndex(A2,247+378)),"OFF")</f>
        <v>OFF</v>
      </c>
      <c r="D63" s="25"/>
      <c r="E63" s="45">
        <v>12</v>
      </c>
      <c r="F63" s="29" t="str" cm="1">
        <f t="array" ref="F63">CHOOSE(GetCSVIndex(A2,69+378)+1,"","Station","Block","","Delay")</f>
        <v>Station</v>
      </c>
      <c r="G63" s="29" t="str" cm="1">
        <f t="array" ref="G63">GetCSVIndex(A2,70+378)</f>
        <v>12</v>
      </c>
      <c r="H63" s="45" t="str" cm="1">
        <f t="array" ref="H63">GetCSVIndex(A2,262+378)</f>
        <v>00:11:00</v>
      </c>
      <c r="I63" s="29" t="str" cm="1">
        <f t="array" ref="I63">GetCSVIndex(A2,325+378)</f>
        <v>00:00:33</v>
      </c>
      <c r="J63" s="25"/>
      <c r="K63" s="45">
        <v>44</v>
      </c>
      <c r="L63" s="29" t="str" cm="1">
        <f t="array" ref="L63">CHOOSE(GetCSVIndex(A2,165+378)+1,"","Station","Block","","Delay")</f>
        <v/>
      </c>
      <c r="M63" s="29" t="str" cm="1">
        <f t="array" ref="M63">GetCSVIndex(A2,166+378)</f>
        <v>0</v>
      </c>
      <c r="N63" s="27" t="str" cm="1">
        <f t="array" ref="N63">GetCSVIndex(A2,294+378)</f>
        <v>00:00:00</v>
      </c>
      <c r="O63" s="43" t="str" cm="1">
        <f t="array" ref="O63">GetCSVIndex(A2,357+378)</f>
        <v>00:00:00</v>
      </c>
    </row>
    <row r="64" spans="1:15" ht="21" customHeight="1" x14ac:dyDescent="0.25">
      <c r="A64" s="38" t="s">
        <v>36</v>
      </c>
      <c r="B64" s="30"/>
      <c r="C64" s="29" t="str" cm="1">
        <f t="array" ref="C64">IF(GetCSVIndex(A2,22+378)&lt;&gt;"65535",CONCATENATE(GetCSVIndex(A2,238+378),":", GetCSVIndex(A2,248+378)),"OFF")</f>
        <v>OFF</v>
      </c>
      <c r="D64" s="25"/>
      <c r="E64" s="45">
        <v>13</v>
      </c>
      <c r="F64" s="29" t="str" cm="1">
        <f t="array" ref="F64">CHOOSE(GetCSVIndex(A2,72+378)+1,"","Station","Block","","Delay")</f>
        <v>Station</v>
      </c>
      <c r="G64" s="29" t="str" cm="1">
        <f t="array" ref="G64">GetCSVIndex(A2,73+378)</f>
        <v>13</v>
      </c>
      <c r="H64" s="45" t="str" cm="1">
        <f t="array" ref="H64">GetCSVIndex(A2,263+378)</f>
        <v>00:11:00</v>
      </c>
      <c r="I64" s="29" t="str" cm="1">
        <f t="array" ref="I64">GetCSVIndex(A2,326+378)</f>
        <v>00:00:33</v>
      </c>
      <c r="J64" s="25"/>
      <c r="K64" s="45">
        <v>45</v>
      </c>
      <c r="L64" s="29" t="str" cm="1">
        <f t="array" ref="L64">CHOOSE(GetCSVIndex(A2,168+378)+1,"","Station","Block","","Delay")</f>
        <v/>
      </c>
      <c r="M64" s="29" t="str" cm="1">
        <f t="array" ref="M64">GetCSVIndex(A2,169+378)</f>
        <v>0</v>
      </c>
      <c r="N64" s="27" t="str" cm="1">
        <f t="array" ref="N64">GetCSVIndex(A2,295+378)</f>
        <v>00:00:00</v>
      </c>
      <c r="O64" s="43" t="str" cm="1">
        <f t="array" ref="O64">GetCSVIndex(A2,358+378)</f>
        <v>00:00:00</v>
      </c>
    </row>
    <row r="65" spans="1:15" ht="21" customHeight="1" x14ac:dyDescent="0.25">
      <c r="A65" s="36" t="s">
        <v>37</v>
      </c>
      <c r="B65" s="25"/>
      <c r="C65" s="29" t="str" cm="1">
        <f t="array" ref="C65">IF(GetCSVIndex(A2,23+378)&lt;&gt;"65535",CONCATENATE(GetCSVIndex(A2,230+378),":", GetCSVIndex(A2,240+378)),"OFF")</f>
        <v>OFF</v>
      </c>
      <c r="D65" s="25"/>
      <c r="E65" s="45">
        <v>14</v>
      </c>
      <c r="F65" s="29" t="str" cm="1">
        <f t="array" ref="F65">CHOOSE(GetCSVIndex(A2,75+378)+1,"","Station","Block","","Delay")</f>
        <v>Station</v>
      </c>
      <c r="G65" s="29" t="str" cm="1">
        <f t="array" ref="G65">GetCSVIndex(A2,76+378)</f>
        <v>14</v>
      </c>
      <c r="H65" s="45" t="str" cm="1">
        <f t="array" ref="H65">GetCSVIndex(A2,264+378)</f>
        <v>00:11:00</v>
      </c>
      <c r="I65" s="29" t="str" cm="1">
        <f t="array" ref="I65">GetCSVIndex(A2,327+378)</f>
        <v>00:00:33</v>
      </c>
      <c r="J65" s="25"/>
      <c r="K65" s="45">
        <v>46</v>
      </c>
      <c r="L65" s="29" t="str" cm="1">
        <f t="array" ref="L65">CHOOSE(GetCSVIndex(A2,171+378)+1,"","Station","Block","","Delay")</f>
        <v/>
      </c>
      <c r="M65" s="29" t="str" cm="1">
        <f t="array" ref="M65">GetCSVIndex(A2,172+378)</f>
        <v>0</v>
      </c>
      <c r="N65" s="27" t="str" cm="1">
        <f t="array" ref="N65">GetCSVIndex(A2,296+378)</f>
        <v>00:00:00</v>
      </c>
      <c r="O65" s="43" t="str" cm="1">
        <f t="array" ref="O65">GetCSVIndex(A2,359+378)</f>
        <v>00:00:00</v>
      </c>
    </row>
    <row r="66" spans="1:15" ht="21" customHeight="1" x14ac:dyDescent="0.25">
      <c r="A66" s="39"/>
      <c r="B66" s="40"/>
      <c r="C66" s="41"/>
      <c r="D66" s="26"/>
      <c r="E66" s="45">
        <v>15</v>
      </c>
      <c r="F66" s="29" t="str" cm="1">
        <f t="array" ref="F66">CHOOSE(GetCSVIndex(A2,78+378)+1,"","Station","Block","","Delay")</f>
        <v>Station</v>
      </c>
      <c r="G66" s="29" t="str" cm="1">
        <f t="array" ref="G66">GetCSVIndex(A2,79+378)</f>
        <v>15</v>
      </c>
      <c r="H66" s="45" t="str" cm="1">
        <f t="array" ref="H66">GetCSVIndex(A2,265+378)</f>
        <v>00:11:00</v>
      </c>
      <c r="I66" s="29" t="str" cm="1">
        <f t="array" ref="I66">GetCSVIndex(A2,328+378)</f>
        <v>00:00:33</v>
      </c>
      <c r="J66" s="26"/>
      <c r="K66" s="45">
        <v>47</v>
      </c>
      <c r="L66" s="29" t="str" cm="1">
        <f t="array" ref="L66">CHOOSE(GetCSVIndex(A2,174+378)+1,"","Station","Block","","Delay")</f>
        <v/>
      </c>
      <c r="M66" s="29" t="str" cm="1">
        <f t="array" ref="M66">GetCSVIndex(A2,175+378)</f>
        <v>0</v>
      </c>
      <c r="N66" s="27" t="str" cm="1">
        <f t="array" ref="N66">GetCSVIndex(A2,297+378)</f>
        <v>00:00:00</v>
      </c>
      <c r="O66" s="43" t="str" cm="1">
        <f t="array" ref="O66">GetCSVIndex(A2,360+378)</f>
        <v>00:00:00</v>
      </c>
    </row>
    <row r="67" spans="1:15" ht="21" customHeight="1" x14ac:dyDescent="0.25">
      <c r="A67" s="42"/>
      <c r="B67" s="25"/>
      <c r="C67" s="25"/>
      <c r="D67" s="26"/>
      <c r="E67" s="45">
        <v>16</v>
      </c>
      <c r="F67" s="29" t="str" cm="1">
        <f t="array" ref="F67">CHOOSE(GetCSVIndex(A2,81+378)+1,"","Station","Block","","Delay")</f>
        <v>Station</v>
      </c>
      <c r="G67" s="29" t="str" cm="1">
        <f t="array" ref="G67">GetCSVIndex(A2,82+378)</f>
        <v>16</v>
      </c>
      <c r="H67" s="45" t="str" cm="1">
        <f t="array" ref="H67">GetCSVIndex(A2,266+378)</f>
        <v>00:11:00</v>
      </c>
      <c r="I67" s="29" t="str" cm="1">
        <f t="array" ref="I67">GetCSVIndex(A2,329+378)</f>
        <v>00:00:33</v>
      </c>
      <c r="J67" s="25"/>
      <c r="K67" s="45">
        <v>48</v>
      </c>
      <c r="L67" s="29" t="str" cm="1">
        <f t="array" ref="L67">CHOOSE(GetCSVIndex(A2,177+378)+1,"","Station","Block","","Delay")</f>
        <v/>
      </c>
      <c r="M67" s="29" t="str" cm="1">
        <f t="array" ref="M67">GetCSVIndex(A2,178+378)</f>
        <v>0</v>
      </c>
      <c r="N67" s="27" t="str" cm="1">
        <f t="array" ref="N67">GetCSVIndex(A2,298+378)</f>
        <v>00:00:00</v>
      </c>
      <c r="O67" s="43" t="str" cm="1">
        <f t="array" ref="O67">GetCSVIndex(A2,361+378)</f>
        <v>00:00:00</v>
      </c>
    </row>
    <row r="68" spans="1:15" ht="21" customHeight="1" x14ac:dyDescent="0.25">
      <c r="A68" s="42"/>
      <c r="B68" s="25"/>
      <c r="C68" s="25"/>
      <c r="D68" s="26"/>
      <c r="E68" s="45">
        <v>17</v>
      </c>
      <c r="F68" s="29" t="str" cm="1">
        <f t="array" ref="F68">CHOOSE(GetCSVIndex(A2,84+378)+1,"","Station","Block","","Delay")</f>
        <v>Station</v>
      </c>
      <c r="G68" s="29" t="str" cm="1">
        <f t="array" ref="G68">GetCSVIndex(A2,85+378)</f>
        <v>17</v>
      </c>
      <c r="H68" s="45" t="str" cm="1">
        <f t="array" ref="H68">GetCSVIndex(A2,267+378)</f>
        <v>00:11:00</v>
      </c>
      <c r="I68" s="29" t="str" cm="1">
        <f t="array" ref="I68">GetCSVIndex(A2,330+378)</f>
        <v>00:00:33</v>
      </c>
      <c r="J68" s="26"/>
      <c r="K68" s="45">
        <v>49</v>
      </c>
      <c r="L68" s="29" t="str" cm="1">
        <f t="array" ref="L68">CHOOSE(GetCSVIndex(A2,180+378)+1,"","Station","Block","","Delay")</f>
        <v/>
      </c>
      <c r="M68" s="29" t="str" cm="1">
        <f t="array" ref="M68">GetCSVIndex(A2,181+378)</f>
        <v>0</v>
      </c>
      <c r="N68" s="27" t="str" cm="1">
        <f t="array" ref="N68">GetCSVIndex(A2,299+378)</f>
        <v>00:00:00</v>
      </c>
      <c r="O68" s="43" t="str" cm="1">
        <f t="array" ref="O68">GetCSVIndex(A2,362+378)</f>
        <v>00:00:00</v>
      </c>
    </row>
    <row r="69" spans="1:15" ht="21" customHeight="1" x14ac:dyDescent="0.25">
      <c r="A69" s="42"/>
      <c r="B69" s="25"/>
      <c r="C69" s="25"/>
      <c r="D69" s="26"/>
      <c r="E69" s="45">
        <v>18</v>
      </c>
      <c r="F69" s="29" t="str" cm="1">
        <f t="array" ref="F69">CHOOSE(GetCSVIndex(A2,87+378)+1,"","Station","Block","","Delay")</f>
        <v>Station</v>
      </c>
      <c r="G69" s="29" t="str" cm="1">
        <f t="array" ref="G69">GetCSVIndex(A2,88+378)</f>
        <v>18</v>
      </c>
      <c r="H69" s="45" t="str" cm="1">
        <f t="array" ref="H69">GetCSVIndex(A2,268+378)</f>
        <v>00:11:00</v>
      </c>
      <c r="I69" s="29" t="str" cm="1">
        <f t="array" ref="I69">GetCSVIndex(A2,331+378)</f>
        <v>00:00:33</v>
      </c>
      <c r="J69" s="26"/>
      <c r="K69" s="45">
        <v>50</v>
      </c>
      <c r="L69" s="29" t="str" cm="1">
        <f t="array" ref="L69">CHOOSE(GetCSVIndex(A2,183+378)+1,"","Station","Block","","Delay")</f>
        <v/>
      </c>
      <c r="M69" s="29" t="str" cm="1">
        <f t="array" ref="M69">GetCSVIndex(A2,184+378)</f>
        <v>0</v>
      </c>
      <c r="N69" s="27" t="str" cm="1">
        <f t="array" ref="N69">GetCSVIndex(A2,300+378)</f>
        <v>00:00:00</v>
      </c>
      <c r="O69" s="43" t="str" cm="1">
        <f t="array" ref="O69">GetCSVIndex(A2,363+378)</f>
        <v>00:00:00</v>
      </c>
    </row>
    <row r="70" spans="1:15" ht="21" customHeight="1" x14ac:dyDescent="0.25">
      <c r="A70" s="42"/>
      <c r="B70" s="25"/>
      <c r="C70" s="25"/>
      <c r="D70" s="26"/>
      <c r="E70" s="45">
        <v>19</v>
      </c>
      <c r="F70" s="29" t="str" cm="1">
        <f t="array" ref="F70">CHOOSE(GetCSVIndex(A2,90+378)+1,"","Station","Block","","Delay")</f>
        <v>Station</v>
      </c>
      <c r="G70" s="29" t="str" cm="1">
        <f t="array" ref="G70">GetCSVIndex(A2,91+378)</f>
        <v>19</v>
      </c>
      <c r="H70" s="45" t="str" cm="1">
        <f t="array" ref="H70">GetCSVIndex(A2,269+378)</f>
        <v>00:11:00</v>
      </c>
      <c r="I70" s="29" t="str" cm="1">
        <f t="array" ref="I70">GetCSVIndex(A2,332+378)</f>
        <v>00:00:33</v>
      </c>
      <c r="J70" s="26"/>
      <c r="K70" s="45">
        <v>51</v>
      </c>
      <c r="L70" s="29" t="str" cm="1">
        <f t="array" ref="L70">CHOOSE(GetCSVIndex(A2,186+378)+1,"","Station","Block","","Delay")</f>
        <v/>
      </c>
      <c r="M70" s="29" t="str" cm="1">
        <f t="array" ref="M70">GetCSVIndex(A2,187+378)</f>
        <v>0</v>
      </c>
      <c r="N70" s="27" t="str" cm="1">
        <f t="array" ref="N70">GetCSVIndex(A2,301+378)</f>
        <v>00:00:00</v>
      </c>
      <c r="O70" s="43" t="str" cm="1">
        <f t="array" ref="O70">GetCSVIndex(A2,364+378)</f>
        <v>00:00:00</v>
      </c>
    </row>
    <row r="71" spans="1:15" ht="21" customHeight="1" x14ac:dyDescent="0.25">
      <c r="A71" s="42"/>
      <c r="B71" s="25"/>
      <c r="C71" s="25"/>
      <c r="D71" s="26"/>
      <c r="E71" s="45">
        <v>20</v>
      </c>
      <c r="F71" s="29" t="str" cm="1">
        <f t="array" ref="F71">CHOOSE(GetCSVIndex(A2,93+378)+1,"","Station","Block","","Delay")</f>
        <v>Station</v>
      </c>
      <c r="G71" s="29" t="str" cm="1">
        <f t="array" ref="G71">GetCSVIndex(A2,94+378)</f>
        <v>20</v>
      </c>
      <c r="H71" s="45" t="str" cm="1">
        <f t="array" ref="H71">GetCSVIndex(A2,270+378)</f>
        <v>00:11:00</v>
      </c>
      <c r="I71" s="29" t="str" cm="1">
        <f t="array" ref="I71">GetCSVIndex(A2,333+378)</f>
        <v>00:00:33</v>
      </c>
      <c r="J71" s="26"/>
      <c r="K71" s="45">
        <v>52</v>
      </c>
      <c r="L71" s="29" t="str" cm="1">
        <f t="array" ref="L71">CHOOSE(GetCSVIndex(A2,189+378)+1,"","Station","Block","","Delay")</f>
        <v/>
      </c>
      <c r="M71" s="29" t="str" cm="1">
        <f t="array" ref="M71">GetCSVIndex(A2,190+378)</f>
        <v>0</v>
      </c>
      <c r="N71" s="27" t="str" cm="1">
        <f t="array" ref="N71">GetCSVIndex(A2,302+378)</f>
        <v>00:00:00</v>
      </c>
      <c r="O71" s="43" t="str" cm="1">
        <f t="array" ref="O71">GetCSVIndex(A2,365+378)</f>
        <v>00:00:00</v>
      </c>
    </row>
    <row r="72" spans="1:15" ht="21" customHeight="1" x14ac:dyDescent="0.25">
      <c r="A72" s="42"/>
      <c r="B72" s="25"/>
      <c r="C72" s="25"/>
      <c r="D72" s="26"/>
      <c r="E72" s="45">
        <v>21</v>
      </c>
      <c r="F72" s="29" t="str" cm="1">
        <f t="array" ref="F72">CHOOSE(GetCSVIndex(A2,96+378)+1,"","Station","Block","","Delay")</f>
        <v>Station</v>
      </c>
      <c r="G72" s="29" t="str" cm="1">
        <f t="array" ref="G72">GetCSVIndex(A2,97+378)</f>
        <v>21</v>
      </c>
      <c r="H72" s="45" t="str" cm="1">
        <f t="array" ref="H72">GetCSVIndex(A2,271+378)</f>
        <v>00:11:00</v>
      </c>
      <c r="I72" s="29" t="str" cm="1">
        <f t="array" ref="I72">GetCSVIndex(A2,334+378)</f>
        <v>00:00:33</v>
      </c>
      <c r="J72" s="26"/>
      <c r="K72" s="45">
        <v>53</v>
      </c>
      <c r="L72" s="29" t="str" cm="1">
        <f t="array" ref="L72">CHOOSE(GetCSVIndex(A2,192+378)+1,"","Station","Block","","Delay")</f>
        <v/>
      </c>
      <c r="M72" s="29" t="str" cm="1">
        <f t="array" ref="M72">GetCSVIndex(A2,193+378)</f>
        <v>0</v>
      </c>
      <c r="N72" s="27" t="str" cm="1">
        <f t="array" ref="N72">GetCSVIndex(A2,303+378)</f>
        <v>00:00:00</v>
      </c>
      <c r="O72" s="43" t="str" cm="1">
        <f t="array" ref="O72">GetCSVIndex(A2,366+378)</f>
        <v>00:00:00</v>
      </c>
    </row>
    <row r="73" spans="1:15" ht="21" customHeight="1" x14ac:dyDescent="0.25">
      <c r="A73" s="42"/>
      <c r="B73" s="25"/>
      <c r="C73" s="25"/>
      <c r="D73" s="26"/>
      <c r="E73" s="45">
        <v>22</v>
      </c>
      <c r="F73" s="29" t="str" cm="1">
        <f t="array" ref="F73">CHOOSE(GetCSVIndex(A2,99+378)+1,"","Station","Block","","Delay")</f>
        <v>Station</v>
      </c>
      <c r="G73" s="29" t="str" cm="1">
        <f t="array" ref="G73">GetCSVIndex(A2,100+378)</f>
        <v>22</v>
      </c>
      <c r="H73" s="45" t="str" cm="1">
        <f t="array" ref="H73">GetCSVIndex(A2,272+378)</f>
        <v>00:11:00</v>
      </c>
      <c r="I73" s="29" t="str" cm="1">
        <f t="array" ref="I73">GetCSVIndex(A2,335+378)</f>
        <v>00:00:33</v>
      </c>
      <c r="J73" s="26"/>
      <c r="K73" s="45">
        <v>54</v>
      </c>
      <c r="L73" s="29" t="str" cm="1">
        <f t="array" ref="L73">CHOOSE(GetCSVIndex(A2,195+378)+1,"","Station","Block","","Delay")</f>
        <v/>
      </c>
      <c r="M73" s="29" t="str" cm="1">
        <f t="array" ref="M73">GetCSVIndex(A2,196+378)</f>
        <v>0</v>
      </c>
      <c r="N73" s="27" t="str" cm="1">
        <f t="array" ref="N73">GetCSVIndex(A2,304+378)</f>
        <v>00:00:00</v>
      </c>
      <c r="O73" s="43" t="str" cm="1">
        <f t="array" ref="O73">GetCSVIndex(A2,367+378)</f>
        <v>00:00:00</v>
      </c>
    </row>
    <row r="74" spans="1:15" ht="21" customHeight="1" x14ac:dyDescent="0.25">
      <c r="A74" s="42"/>
      <c r="B74" s="25"/>
      <c r="C74" s="25"/>
      <c r="D74" s="26"/>
      <c r="E74" s="45">
        <v>23</v>
      </c>
      <c r="F74" s="29" t="str" cm="1">
        <f t="array" ref="F74">CHOOSE(GetCSVIndex(A2,102+378)+1,"","Station","Block","","Delay")</f>
        <v/>
      </c>
      <c r="G74" s="29" t="str" cm="1">
        <f t="array" ref="G74">GetCSVIndex(A2,103+378)</f>
        <v>0</v>
      </c>
      <c r="H74" s="45" t="str" cm="1">
        <f t="array" ref="H74">GetCSVIndex(A2,273+378)</f>
        <v>00:00:00</v>
      </c>
      <c r="I74" s="29" t="str" cm="1">
        <f t="array" ref="I74">GetCSVIndex(A2,336+378)</f>
        <v>00:00:00</v>
      </c>
      <c r="J74" s="26"/>
      <c r="K74" s="45">
        <v>55</v>
      </c>
      <c r="L74" s="29" t="str" cm="1">
        <f t="array" ref="L74">CHOOSE(GetCSVIndex(A2,198+378)+1,"","Station","Block","","Delay")</f>
        <v/>
      </c>
      <c r="M74" s="29" t="str" cm="1">
        <f t="array" ref="M74">GetCSVIndex(A2,199+378)</f>
        <v>0</v>
      </c>
      <c r="N74" s="27" t="str" cm="1">
        <f t="array" ref="N74">GetCSVIndex(A2,305+378)</f>
        <v>00:00:00</v>
      </c>
      <c r="O74" s="43" t="str" cm="1">
        <f t="array" ref="O74">GetCSVIndex(A2,368+378)</f>
        <v>00:00:00</v>
      </c>
    </row>
    <row r="75" spans="1:15" ht="21" customHeight="1" x14ac:dyDescent="0.25">
      <c r="A75" s="42"/>
      <c r="B75" s="25"/>
      <c r="C75" s="25"/>
      <c r="D75" s="26"/>
      <c r="E75" s="45">
        <v>24</v>
      </c>
      <c r="F75" s="29" t="str" cm="1">
        <f t="array" ref="F75">CHOOSE(GetCSVIndex(A2,105+378)+1,"","Station","Block","","Delay")</f>
        <v/>
      </c>
      <c r="G75" s="29" t="str" cm="1">
        <f t="array" ref="G75">GetCSVIndex(A2,106+378)</f>
        <v>0</v>
      </c>
      <c r="H75" s="45" t="str" cm="1">
        <f t="array" ref="H75">GetCSVIndex(A2,274+378)</f>
        <v>00:00:00</v>
      </c>
      <c r="I75" s="29" t="str" cm="1">
        <f t="array" ref="I75">GetCSVIndex(A2,337+378)</f>
        <v>00:00:00</v>
      </c>
      <c r="J75" s="26"/>
      <c r="K75" s="45">
        <v>56</v>
      </c>
      <c r="L75" s="29" t="str" cm="1">
        <f t="array" ref="L75">CHOOSE(GetCSVIndex(A2,201+378)+1,"","Station","Block","","Delay")</f>
        <v/>
      </c>
      <c r="M75" s="29" t="str" cm="1">
        <f t="array" ref="M75">GetCSVIndex(A2,202+378)</f>
        <v>0</v>
      </c>
      <c r="N75" s="27" t="str" cm="1">
        <f t="array" ref="N75">GetCSVIndex(A2,306+378)</f>
        <v>00:00:00</v>
      </c>
      <c r="O75" s="43" t="str" cm="1">
        <f t="array" ref="O75">GetCSVIndex(A2,369+378)</f>
        <v>00:00:00</v>
      </c>
    </row>
    <row r="76" spans="1:15" ht="21" customHeight="1" x14ac:dyDescent="0.25">
      <c r="A76" s="42"/>
      <c r="B76" s="25"/>
      <c r="C76" s="25"/>
      <c r="D76" s="26"/>
      <c r="E76" s="45">
        <v>25</v>
      </c>
      <c r="F76" s="29" t="str" cm="1">
        <f t="array" ref="F76">CHOOSE(GetCSVIndex(A2,108+378)+1,"","Station","Block","","Delay")</f>
        <v/>
      </c>
      <c r="G76" s="29" t="str" cm="1">
        <f t="array" ref="G76">GetCSVIndex(A2,109+378)</f>
        <v>0</v>
      </c>
      <c r="H76" s="45" t="str" cm="1">
        <f t="array" ref="H76">GetCSVIndex(A2,275+378)</f>
        <v>00:00:00</v>
      </c>
      <c r="I76" s="29" t="str" cm="1">
        <f t="array" ref="I76">GetCSVIndex(A2,338+378)</f>
        <v>00:00:00</v>
      </c>
      <c r="J76" s="26"/>
      <c r="K76" s="45">
        <v>57</v>
      </c>
      <c r="L76" s="29" t="str" cm="1">
        <f t="array" ref="L76">CHOOSE(GetCSVIndex(A2,204+378)+1,"","Station","Block","","Delay")</f>
        <v/>
      </c>
      <c r="M76" s="29" t="str" cm="1">
        <f t="array" ref="M76">GetCSVIndex(A2,205+378)</f>
        <v>0</v>
      </c>
      <c r="N76" s="27" t="str" cm="1">
        <f t="array" ref="N76">GetCSVIndex(A2,307+378)</f>
        <v>00:00:00</v>
      </c>
      <c r="O76" s="43" t="str" cm="1">
        <f t="array" ref="O76">GetCSVIndex(A2,370+378)</f>
        <v>00:00:00</v>
      </c>
    </row>
    <row r="77" spans="1:15" ht="21" customHeight="1" x14ac:dyDescent="0.25">
      <c r="A77" s="42"/>
      <c r="B77" s="25"/>
      <c r="C77" s="25"/>
      <c r="D77" s="26"/>
      <c r="E77" s="45">
        <v>26</v>
      </c>
      <c r="F77" s="29" t="str" cm="1">
        <f t="array" ref="F77">CHOOSE(GetCSVIndex(A2,111+378)+1,"","Station","Block","","Delay")</f>
        <v/>
      </c>
      <c r="G77" s="29" t="str" cm="1">
        <f t="array" ref="G77">GetCSVIndex(A2,112+378)</f>
        <v>0</v>
      </c>
      <c r="H77" s="45" t="str" cm="1">
        <f t="array" ref="H77">GetCSVIndex(A2,276+378)</f>
        <v>00:00:00</v>
      </c>
      <c r="I77" s="29" t="str" cm="1">
        <f t="array" ref="I77">GetCSVIndex(A2,339+378)</f>
        <v>00:00:00</v>
      </c>
      <c r="J77" s="26"/>
      <c r="K77" s="45">
        <v>58</v>
      </c>
      <c r="L77" s="29" t="str" cm="1">
        <f t="array" ref="L77">CHOOSE(GetCSVIndex(A2,207+378)+1,"","Station","Block","","Delay")</f>
        <v/>
      </c>
      <c r="M77" s="29" t="str" cm="1">
        <f t="array" ref="M77">GetCSVIndex(A2,208+378)</f>
        <v>0</v>
      </c>
      <c r="N77" s="27" t="str" cm="1">
        <f t="array" ref="N77">GetCSVIndex(A2,308+378)</f>
        <v>00:00:00</v>
      </c>
      <c r="O77" s="43" t="str" cm="1">
        <f t="array" ref="O77">GetCSVIndex(A2,371+378)</f>
        <v>00:00:00</v>
      </c>
    </row>
    <row r="78" spans="1:15" ht="21" customHeight="1" x14ac:dyDescent="0.25">
      <c r="A78" s="42"/>
      <c r="B78" s="25"/>
      <c r="C78" s="25"/>
      <c r="D78" s="26"/>
      <c r="E78" s="45">
        <v>27</v>
      </c>
      <c r="F78" s="29" t="str" cm="1">
        <f t="array" ref="F78">CHOOSE(GetCSVIndex(A2,114+378)+1,"","Station","Block","","Delay")</f>
        <v/>
      </c>
      <c r="G78" s="29" t="str" cm="1">
        <f t="array" ref="G78">GetCSVIndex(A2,115+378)</f>
        <v>0</v>
      </c>
      <c r="H78" s="45" t="str" cm="1">
        <f t="array" ref="H78">GetCSVIndex(A2,277+378)</f>
        <v>00:00:00</v>
      </c>
      <c r="I78" s="29" t="str" cm="1">
        <f t="array" ref="I78">GetCSVIndex(A2,340+378)</f>
        <v>00:00:00</v>
      </c>
      <c r="J78" s="26"/>
      <c r="K78" s="45">
        <v>59</v>
      </c>
      <c r="L78" s="29" t="str" cm="1">
        <f t="array" ref="L78">CHOOSE(GetCSVIndex(A2,210+378)+1,"","Station","Block","","Delay")</f>
        <v/>
      </c>
      <c r="M78" s="29" t="str" cm="1">
        <f t="array" ref="M78">GetCSVIndex(A2,211+378)</f>
        <v>0</v>
      </c>
      <c r="N78" s="27" t="str" cm="1">
        <f t="array" ref="N78">GetCSVIndex(A2,309+378)</f>
        <v>00:00:00</v>
      </c>
      <c r="O78" s="43" t="str" cm="1">
        <f t="array" ref="O78">GetCSVIndex(A2,372+378)</f>
        <v>00:00:00</v>
      </c>
    </row>
    <row r="79" spans="1:15" ht="21" customHeight="1" x14ac:dyDescent="0.25">
      <c r="A79" s="42"/>
      <c r="B79" s="25"/>
      <c r="C79" s="25"/>
      <c r="D79" s="26"/>
      <c r="E79" s="45">
        <v>28</v>
      </c>
      <c r="F79" s="29" t="str" cm="1">
        <f t="array" ref="F79">CHOOSE(GetCSVIndex(A2,117+378)+1,"","Station","Block","","Delay")</f>
        <v/>
      </c>
      <c r="G79" s="29" t="str" cm="1">
        <f t="array" ref="G79">GetCSVIndex(A2,118+378)</f>
        <v>0</v>
      </c>
      <c r="H79" s="45" t="str" cm="1">
        <f t="array" ref="H79">GetCSVIndex(A2,278+378)</f>
        <v>00:00:00</v>
      </c>
      <c r="I79" s="29" t="str" cm="1">
        <f t="array" ref="I79">GetCSVIndex(A2,341+378)</f>
        <v>00:00:00</v>
      </c>
      <c r="J79" s="26"/>
      <c r="K79" s="45">
        <v>60</v>
      </c>
      <c r="L79" s="29" t="str" cm="1">
        <f t="array" ref="L79">CHOOSE(GetCSVIndex(A2,213+378)+1,"","Station","Block","","Delay")</f>
        <v/>
      </c>
      <c r="M79" s="29" t="str" cm="1">
        <f t="array" ref="M79">GetCSVIndex(A2,214+378)</f>
        <v>0</v>
      </c>
      <c r="N79" s="27" t="str" cm="1">
        <f t="array" ref="N79">GetCSVIndex(A2,310+378)</f>
        <v>00:00:00</v>
      </c>
      <c r="O79" s="43" t="str" cm="1">
        <f t="array" ref="O79">GetCSVIndex(A2,373+378)</f>
        <v>00:00:00</v>
      </c>
    </row>
    <row r="80" spans="1:15" ht="21" customHeight="1" x14ac:dyDescent="0.25">
      <c r="A80" s="42"/>
      <c r="B80" s="25"/>
      <c r="C80" s="25"/>
      <c r="D80" s="26"/>
      <c r="E80" s="45">
        <v>29</v>
      </c>
      <c r="F80" s="29" t="str" cm="1">
        <f t="array" ref="F80">CHOOSE(GetCSVIndex(A2,120+378)+1,"","Station","Block","","Delay")</f>
        <v/>
      </c>
      <c r="G80" s="29" t="str" cm="1">
        <f t="array" ref="G80">GetCSVIndex(A2,121+378)</f>
        <v>0</v>
      </c>
      <c r="H80" s="45" t="str" cm="1">
        <f t="array" ref="H80">GetCSVIndex(A2,279+378)</f>
        <v>00:00:00</v>
      </c>
      <c r="I80" s="29" t="str" cm="1">
        <f t="array" ref="I80">GetCSVIndex(A2,342+378)</f>
        <v>00:00:00</v>
      </c>
      <c r="J80" s="26"/>
      <c r="K80" s="45">
        <v>61</v>
      </c>
      <c r="L80" s="29" t="str" cm="1">
        <f t="array" ref="L80">CHOOSE(GetCSVIndex(A2,216+378)+1,"","Station","Block","","Delay")</f>
        <v/>
      </c>
      <c r="M80" s="29" t="str" cm="1">
        <f t="array" ref="M80">GetCSVIndex(A2,217+378)</f>
        <v>0</v>
      </c>
      <c r="N80" s="27" t="str" cm="1">
        <f t="array" ref="N80">GetCSVIndex(A2,311+378)</f>
        <v>00:00:00</v>
      </c>
      <c r="O80" s="43" t="str" cm="1">
        <f t="array" ref="O80">GetCSVIndex(A2,374+378)</f>
        <v>00:00:00</v>
      </c>
    </row>
    <row r="81" spans="1:15" ht="21" customHeight="1" x14ac:dyDescent="0.25">
      <c r="A81" s="42"/>
      <c r="B81" s="25"/>
      <c r="C81" s="25"/>
      <c r="D81" s="26"/>
      <c r="E81" s="45">
        <v>30</v>
      </c>
      <c r="F81" s="29" t="str" cm="1">
        <f t="array" ref="F81">CHOOSE(GetCSVIndex(A2,123+378)+1,"","Station","Block","","Delay")</f>
        <v/>
      </c>
      <c r="G81" s="29" t="str" cm="1">
        <f t="array" ref="G81">GetCSVIndex(A2,124+378)</f>
        <v>0</v>
      </c>
      <c r="H81" s="45" t="str" cm="1">
        <f t="array" ref="H81">GetCSVIndex(A2,280+378)</f>
        <v>00:00:00</v>
      </c>
      <c r="I81" s="29" t="str" cm="1">
        <f t="array" ref="I81">GetCSVIndex(A2,343+378)</f>
        <v>00:00:00</v>
      </c>
      <c r="J81" s="26"/>
      <c r="K81" s="45">
        <v>62</v>
      </c>
      <c r="L81" s="29" t="str" cm="1">
        <f t="array" ref="L81">CHOOSE(GetCSVIndex(A2,219+378)+1,"","Station","Block","","Delay")</f>
        <v/>
      </c>
      <c r="M81" s="29" t="str" cm="1">
        <f t="array" ref="M81">GetCSVIndex(A2,220+378)</f>
        <v>0</v>
      </c>
      <c r="N81" s="27" t="str" cm="1">
        <f t="array" ref="N81">GetCSVIndex(A2,312+378)</f>
        <v>00:00:00</v>
      </c>
      <c r="O81" s="43" t="str" cm="1">
        <f t="array" ref="O81">GetCSVIndex(A2,375+378)</f>
        <v>00:00:00</v>
      </c>
    </row>
    <row r="82" spans="1:15" ht="21" customHeight="1" x14ac:dyDescent="0.25">
      <c r="A82" s="42"/>
      <c r="B82" s="25"/>
      <c r="C82" s="25"/>
      <c r="D82" s="26"/>
      <c r="E82" s="45">
        <v>31</v>
      </c>
      <c r="F82" s="29" t="str" cm="1">
        <f t="array" ref="F82">CHOOSE(GetCSVIndex(A2,126+378)+1,"","Station","Block","","Delay")</f>
        <v/>
      </c>
      <c r="G82" s="29" t="str" cm="1">
        <f t="array" ref="G82">GetCSVIndex(A2,127+378)</f>
        <v>0</v>
      </c>
      <c r="H82" s="45" t="str" cm="1">
        <f t="array" ref="H82">GetCSVIndex(A2,281+378)</f>
        <v>00:00:00</v>
      </c>
      <c r="I82" s="29" t="str" cm="1">
        <f t="array" ref="I82">GetCSVIndex(A2,344+378)</f>
        <v>00:00:00</v>
      </c>
      <c r="J82" s="26"/>
      <c r="K82" s="45">
        <v>63</v>
      </c>
      <c r="L82" s="29" t="str" cm="1">
        <f t="array" ref="L82">CHOOSE(GetCSVIndex(A2,222+378)+1,"","Station","Block","","Delay")</f>
        <v/>
      </c>
      <c r="M82" s="29" t="str" cm="1">
        <f t="array" ref="M82">GetCSVIndex(A2,223+378)</f>
        <v>0</v>
      </c>
      <c r="N82" s="27" t="str" cm="1">
        <f t="array" ref="N82">GetCSVIndex(A2,313+378)</f>
        <v>00:00:00</v>
      </c>
      <c r="O82" s="43" t="str" cm="1">
        <f t="array" ref="O82">GetCSVIndex(A2,376+378)</f>
        <v>00:00:00</v>
      </c>
    </row>
    <row r="83" spans="1:15" ht="21" customHeight="1" x14ac:dyDescent="0.25">
      <c r="A83" s="37"/>
      <c r="B83" s="28"/>
      <c r="C83" s="29"/>
      <c r="D83" s="29"/>
      <c r="E83" s="45">
        <v>32</v>
      </c>
      <c r="F83" s="29" t="str" cm="1">
        <f t="array" ref="F83">CHOOSE(GetCSVIndex(A2,129+378)+1,"","Station","Block","","Delay")</f>
        <v/>
      </c>
      <c r="G83" s="29" t="str" cm="1">
        <f t="array" ref="G83">GetCSVIndex(A2,130+378)</f>
        <v>0</v>
      </c>
      <c r="H83" s="45" t="str" cm="1">
        <f t="array" ref="H83">GetCSVIndex(A2,282+378)</f>
        <v>00:00:00</v>
      </c>
      <c r="I83" s="29" t="str" cm="1">
        <f t="array" ref="I83">GetCSVIndex(A2,345+378)</f>
        <v>00:00:00</v>
      </c>
      <c r="J83" s="29"/>
      <c r="K83" s="45">
        <v>64</v>
      </c>
      <c r="L83" s="29" t="str" cm="1">
        <f t="array" ref="L83">CHOOSE(GetCSVIndex(A2,225+378)+1,"","Station","Block","","Delay")</f>
        <v/>
      </c>
      <c r="M83" s="29" t="str" cm="1">
        <f t="array" ref="M83">GetCSVIndex(A2,226+378)</f>
        <v>0</v>
      </c>
      <c r="N83" s="27" t="str" cm="1">
        <f t="array" ref="N83">GetCSVIndex(A2,314+378)</f>
        <v>00:00:00</v>
      </c>
      <c r="O83" s="43" t="str" cm="1">
        <f t="array" ref="O83">GetCSVIndex(A2,377+378)</f>
        <v>00:00:00</v>
      </c>
    </row>
    <row r="84" spans="1:15" ht="23.25" customHeight="1" x14ac:dyDescent="0.25">
      <c r="A84" s="51" t="str" cm="1">
        <f t="array" ref="A84">CONCATENATE("Schedule  Program Number : ", GetCSVIndex(A2,5+756))</f>
        <v>Schedule  Program Number : 3</v>
      </c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3"/>
    </row>
    <row r="85" spans="1:15" ht="21" customHeight="1" x14ac:dyDescent="0.25">
      <c r="A85" s="20" t="s">
        <v>44</v>
      </c>
      <c r="B85" s="22" t="str" cm="1">
        <f t="array" ref="B85">GetCSVIndex(A2,5+756)</f>
        <v>3</v>
      </c>
      <c r="C85" s="18"/>
      <c r="D85" s="18"/>
      <c r="E85" s="18"/>
      <c r="F85" s="18"/>
      <c r="G85" s="18" t="s">
        <v>19</v>
      </c>
      <c r="H85" s="18" t="str" cm="1">
        <f t="array" ref="H85">CHOOSE(GetCSVIndex(A2,7+756)+1, "Days of Week", "Odd/Even", "Interval","Manual")</f>
        <v>Days of Week</v>
      </c>
      <c r="I85" s="18"/>
      <c r="J85" s="15"/>
      <c r="K85" s="15"/>
      <c r="L85" s="15"/>
      <c r="M85" s="15"/>
      <c r="N85" s="15"/>
      <c r="O85" s="16"/>
    </row>
    <row r="86" spans="1:15" ht="18" customHeight="1" x14ac:dyDescent="0.25">
      <c r="A86" s="21" t="s">
        <v>20</v>
      </c>
      <c r="B86" s="19" t="str" cm="1">
        <f t="array" ref="B86">CHOOSE(GetCSVIndex(A2,24+756)+1, "Program", "Global", "Monthly","Solar Sync")</f>
        <v>Global</v>
      </c>
      <c r="C86" s="19"/>
      <c r="D86" s="19"/>
      <c r="E86" s="19"/>
      <c r="F86" s="19" t="s">
        <v>21</v>
      </c>
      <c r="G86" s="19" t="str" cm="1">
        <f t="array" ref="G86">IF(CHOOSE(GetCSVIndex(A2,7+756)+1,IF(_xlfn.BITAND(GetCSVIndex(A2,8+756), 2^0)=0, 0, 1),IF(_xlfn.BITAND(GetCSVIndex(A2,9+756), 2^0)=0, 0, 1),IF(_xlfn.BITAND(GetCSVIndex(A2,10+756), 2^0)=0, 0, 1)) =1,"Mon","")</f>
        <v>Mon</v>
      </c>
      <c r="H86" s="19" t="str" cm="1">
        <f t="array" ref="H86">CONCATENATE(IF(CHOOSE(GetCSVIndex(A2,7+756)+1,IF(_xlfn.BITAND(GetCSVIndex(A2,8+756), 2^1)=0, 0, 1),IF(_xlfn.BITAND(GetCSVIndex(A2,9+756), 2^1)=0, 0, 1),IF(_xlfn.BITAND(GetCSVIndex(A2,10+756), 2^1)=0, 0, 1)) =1,"Tue       ","       "),IF(CHOOSE(GetCSVIndex(A2,7+756)+1,IF(_xlfn.BITAND(GetCSVIndex(A2,8+756), 2^2)=0, 0, 1),IF(_xlfn.BITAND(GetCSVIndex(A2,9+756), 2^2)=0, 0, 1),IF(_xlfn.BITAND(GetCSVIndex(A2,10+756), 2^2)=0, 0, 1)) =1,"Wed",""),IF(CHOOSE(GetCSVIndex(A2,7+756)+1,IF(_xlfn.BITAND(GetCSVIndex(A2,8+756), 2^3)=0, 0, 1),IF(_xlfn.BITAND(GetCSVIndex(A2,9+756), 2^3)=0, 0, 1),IF(_xlfn.BITAND(GetCSVIndex(A2,10+756), 2^3)=0, 0, 1)) =1,"       Thu","       "))</f>
        <v>Tue       Wed       Thu</v>
      </c>
      <c r="I86" s="32" t="str" cm="1">
        <f t="array" ref="I86">CONCATENATE(IF(CHOOSE(GetCSVIndex(A2,7+756)+1,IF(_xlfn.BITAND(GetCSVIndex(A2,8+756), 2^4)=0, 0, 1),IF(_xlfn.BITAND(GetCSVIndex(A2,9+756), 2^4)=0, 0, 1),IF(_xlfn.BITAND(GetCSVIndex(A2,10+756), 2^4)=0, 0, 1)) =1,"Fri       ","       "),IF(CHOOSE(GetCSVIndex(A2,7+756)+1,IF(_xlfn.BITAND(GetCSVIndex(A2,8+756), 2^5)=0, 0, 1),IF(_xlfn.BITAND(GetCSVIndex(A2,9+756), 2^5)=0, 0, 1),IF(_xlfn.BITAND(GetCSVIndex(A2,10+756), 2^5)=0, 0, 1)) =1,"Sat",""),IF(CHOOSE(GetCSVIndex(A2,7+756)+1,IF(_xlfn.BITAND(GetCSVIndex(A2,8+756), 2^6)=0, 0, 1),IF(_xlfn.BITAND(GetCSVIndex(A2,9+756), 2^6)=0, 0, 1),IF(_xlfn.BITAND(GetCSVIndex(A2,10+756), 2^6)=0, 0, 1)) =1,"       Sun","       "))</f>
        <v>Fri       Sat       Sun</v>
      </c>
      <c r="J86" s="19"/>
      <c r="K86" s="19"/>
      <c r="L86" s="32" t="s">
        <v>22</v>
      </c>
      <c r="M86" s="19"/>
      <c r="N86" s="19" t="str" cm="1">
        <f t="array" ref="N86">IF(GetCSVIndex(A2,26+756)="1","Enable","Disable")</f>
        <v>Disable</v>
      </c>
      <c r="O86" s="24"/>
    </row>
    <row r="87" spans="1:15" ht="18" customHeight="1" x14ac:dyDescent="0.25">
      <c r="A87" s="21" t="str" cm="1">
        <f t="array" ref="A87">CONCATENATE("Program ", GetCSVIndex(A2,5+756))</f>
        <v>Program 3</v>
      </c>
      <c r="B87" s="23" t="str" cm="1">
        <f t="array" ref="B87">CONCATENATE(GetCSVIndex(A2,25+756)," %")</f>
        <v>100 %</v>
      </c>
      <c r="C87" s="19"/>
      <c r="D87" s="19"/>
      <c r="E87" s="19"/>
      <c r="F87" s="19" t="str" cm="1">
        <f t="array" ref="F87">IF(GetCSVIndex(A2,7)="2","Water Every"," ")</f>
        <v xml:space="preserve"> </v>
      </c>
      <c r="G87" s="47" t="str" cm="1">
        <f t="array" ref="G87">IF(GetCSVIndex(A2,7+756)="2",GetCSVIndex(A2,11+756)," ")</f>
        <v xml:space="preserve"> </v>
      </c>
      <c r="H87" s="19" t="str" cm="1">
        <f t="array" ref="H87">IF(GetCSVIndex(A2,7+756)="2","Days"," ")</f>
        <v xml:space="preserve"> </v>
      </c>
      <c r="I87" s="32" t="str" cm="1">
        <f t="array" ref="I87">IF(GetCSVIndex(A2,7+756)="2","Water After"," ")</f>
        <v xml:space="preserve"> </v>
      </c>
      <c r="J87" s="19"/>
      <c r="K87" s="19" t="str" cm="1">
        <f t="array" ref="K87">IF(GetCSVIndex(A2,7+756)="2",GetCSVIndex(A2,12+756)," ")</f>
        <v xml:space="preserve"> </v>
      </c>
      <c r="L87" s="47" t="str" cm="1">
        <f t="array" ref="L87">IF(GetCSVIndex(A2,7+756)="2","Days"," ")</f>
        <v xml:space="preserve"> </v>
      </c>
      <c r="M87" s="32"/>
      <c r="N87" s="32"/>
      <c r="O87" s="24"/>
    </row>
    <row r="88" spans="1:15" ht="21" customHeight="1" x14ac:dyDescent="0.25">
      <c r="A88" s="20" t="s">
        <v>23</v>
      </c>
      <c r="B88" s="18" t="s">
        <v>24</v>
      </c>
      <c r="C88" s="18" t="str" cm="1">
        <f t="array" ref="C88">CHOOSE(GetCSVIndex(A2,13)+1, "Auto", "Start to End","Manual")</f>
        <v>Start to End</v>
      </c>
      <c r="D88" s="31"/>
      <c r="E88" s="17" t="s">
        <v>38</v>
      </c>
      <c r="F88" s="18" t="s">
        <v>39</v>
      </c>
      <c r="G88" s="18" t="s">
        <v>40</v>
      </c>
      <c r="H88" s="18" t="s">
        <v>41</v>
      </c>
      <c r="I88" s="18" t="s">
        <v>43</v>
      </c>
      <c r="J88" s="31"/>
      <c r="K88" s="17" t="s">
        <v>38</v>
      </c>
      <c r="L88" s="18" t="s">
        <v>39</v>
      </c>
      <c r="M88" s="18" t="s">
        <v>40</v>
      </c>
      <c r="N88" s="22" t="s">
        <v>41</v>
      </c>
      <c r="O88" s="44" t="s">
        <v>42</v>
      </c>
    </row>
    <row r="89" spans="1:15" ht="21" customHeight="1" x14ac:dyDescent="0.25">
      <c r="A89" s="36" t="s">
        <v>25</v>
      </c>
      <c r="B89" s="46" t="str" cm="1">
        <f t="array" ref="B89">IF(GetCSVIndex(A2,6+756)="1","Over","Stack")</f>
        <v>Stack</v>
      </c>
      <c r="C89" s="26" t="str" cm="1">
        <f t="array" ref="C89">GetCSVIndex(A2,29+756)</f>
        <v>1</v>
      </c>
      <c r="D89" s="25"/>
      <c r="E89" s="45">
        <v>1</v>
      </c>
      <c r="F89" s="29" t="str" cm="1">
        <f t="array" ref="F89">CHOOSE(GetCSVIndex(A2,36+756)+1,"","Station","Block","","Delay")</f>
        <v/>
      </c>
      <c r="G89" s="29" t="str" cm="1">
        <f t="array" ref="G89">GetCSVIndex(A2,37+756)</f>
        <v>0</v>
      </c>
      <c r="H89" s="45" t="str" cm="1">
        <f t="array" ref="H89">GetCSVIndex(A2,3+756)</f>
        <v>00:00:00</v>
      </c>
      <c r="I89" s="29" t="str" cm="1">
        <f t="array" ref="I89">GetCSVIndex(A2,1+756)</f>
        <v>00:00:00</v>
      </c>
      <c r="J89" s="25"/>
      <c r="K89" s="45">
        <v>33</v>
      </c>
      <c r="L89" s="29" t="str" cm="1">
        <f t="array" ref="L89">CHOOSE(GetCSVIndex(A2,132+756)+1,"","Station","Block","","Delay")</f>
        <v/>
      </c>
      <c r="M89" s="29" t="str" cm="1">
        <f t="array" ref="M89">GetCSVIndex(A2,133+756)</f>
        <v>0</v>
      </c>
      <c r="N89" s="27" t="str" cm="1">
        <f t="array" ref="N89">GetCSVIndex(A2,283+756)</f>
        <v>00:00:00</v>
      </c>
      <c r="O89" s="43" t="str" cm="1">
        <f t="array" ref="O89">GetCSVIndex(A2,346+756)</f>
        <v>00:00:00</v>
      </c>
    </row>
    <row r="90" spans="1:15" ht="21" customHeight="1" x14ac:dyDescent="0.25">
      <c r="A90" s="36" t="s">
        <v>26</v>
      </c>
      <c r="B90" s="25" t="str" cm="1">
        <f t="array" ref="B90">IF(GetCSVIndex(A2,2+756)="1092:15","Not Set",CONCATENATE("From     ",GetCSVIndex(A2,2+756)))</f>
        <v>Not Set</v>
      </c>
      <c r="C90" s="26" t="str" cm="1">
        <f t="array" ref="C90">IF(GetCSVIndex(C4,1+4)="1092:15","Not Set",CONCATENATE("To     ",GetCSVIndex(C4,1+4)))</f>
        <v>Not Set</v>
      </c>
      <c r="D90" s="25"/>
      <c r="E90" s="45">
        <v>2</v>
      </c>
      <c r="F90" s="29" t="str" cm="1">
        <f t="array" ref="F90">CHOOSE(GetCSVIndex(A2,39+756)+1,"","Station","Block","","Delay")</f>
        <v/>
      </c>
      <c r="G90" s="29" t="str" cm="1">
        <f t="array" ref="G90">GetCSVIndex(A2,40+756)</f>
        <v>0</v>
      </c>
      <c r="H90" s="45" t="str" cm="1">
        <f t="array" ref="H90">GetCSVIndex(A2,252+756)</f>
        <v>00:00:00</v>
      </c>
      <c r="I90" s="29" t="str" cm="1">
        <f t="array" ref="I90">GetCSVIndex(A2,315+756)</f>
        <v>00:00:00</v>
      </c>
      <c r="J90" s="25"/>
      <c r="K90" s="45">
        <v>34</v>
      </c>
      <c r="L90" s="29" t="str" cm="1">
        <f t="array" ref="L90">CHOOSE(GetCSVIndex(A2,135+756)+1,"","Station","Block","","Delay")</f>
        <v/>
      </c>
      <c r="M90" s="29" t="str" cm="1">
        <f t="array" ref="M90">GetCSVIndex(A2,136+756)</f>
        <v>0</v>
      </c>
      <c r="N90" s="27" t="str" cm="1">
        <f t="array" ref="N90">GetCSVIndex(A2,284+756)</f>
        <v>00:00:00</v>
      </c>
      <c r="O90" s="43" t="str" cm="1">
        <f t="array" ref="O90">GetCSVIndex(A2,347+756)</f>
        <v>00:00:00</v>
      </c>
    </row>
    <row r="91" spans="1:15" ht="21" customHeight="1" x14ac:dyDescent="0.25">
      <c r="A91" s="36" t="s">
        <v>27</v>
      </c>
      <c r="B91" s="25"/>
      <c r="C91" s="26" t="str" cm="1">
        <f t="array" ref="C91">CONCATENATE(GetCSVIndex(A2,249+756),":", GetCSVIndex(A2,250+756),":", GetCSVIndex(A2,251+756))</f>
        <v>0:0:1</v>
      </c>
      <c r="D91" s="26"/>
      <c r="E91" s="45">
        <v>3</v>
      </c>
      <c r="F91" s="29" t="str" cm="1">
        <f t="array" ref="F91">CHOOSE(GetCSVIndex(A2,42+756)+1,"","Station","Block","","Delay")</f>
        <v/>
      </c>
      <c r="G91" s="29" t="str" cm="1">
        <f t="array" ref="G91">GetCSVIndex(A2,43+756)</f>
        <v>0</v>
      </c>
      <c r="H91" s="45" t="str" cm="1">
        <f t="array" ref="H91">GetCSVIndex(A2,253+756)</f>
        <v>00:00:00</v>
      </c>
      <c r="I91" s="29" t="str" cm="1">
        <f t="array" ref="I91">GetCSVIndex(A2,316+756)</f>
        <v>00:00:00</v>
      </c>
      <c r="J91" s="25"/>
      <c r="K91" s="45">
        <v>35</v>
      </c>
      <c r="L91" s="29" t="str" cm="1">
        <f t="array" ref="L91">CHOOSE(GetCSVIndex(A2,138+756)+1,"","Station","Block","","Delay")</f>
        <v/>
      </c>
      <c r="M91" s="29" t="str" cm="1">
        <f t="array" ref="M91">GetCSVIndex(A2,139+756)</f>
        <v>0</v>
      </c>
      <c r="N91" s="27" t="str" cm="1">
        <f t="array" ref="N91">GetCSVIndex(A2,285+756)</f>
        <v>00:00:00</v>
      </c>
      <c r="O91" s="43" t="str" cm="1">
        <f t="array" ref="O91">GetCSVIndex(A2,348+756)</f>
        <v>00:00:00</v>
      </c>
    </row>
    <row r="92" spans="1:15" ht="21" customHeight="1" x14ac:dyDescent="0.25">
      <c r="A92" s="36"/>
      <c r="B92" s="25"/>
      <c r="C92" s="25"/>
      <c r="D92" s="25"/>
      <c r="E92" s="45">
        <v>4</v>
      </c>
      <c r="F92" s="29" t="str" cm="1">
        <f t="array" ref="F92">CHOOSE(GetCSVIndex(A2,45+756)+1,"","Station","Block","","Delay")</f>
        <v/>
      </c>
      <c r="G92" s="29" t="str" cm="1">
        <f t="array" ref="G92">GetCSVIndex(A2,46+756)</f>
        <v>0</v>
      </c>
      <c r="H92" s="45" t="str" cm="1">
        <f t="array" ref="H92">GetCSVIndex(A2,254+756)</f>
        <v>00:00:00</v>
      </c>
      <c r="I92" s="29" t="str" cm="1">
        <f t="array" ref="I92">GetCSVIndex(A2,317+756)</f>
        <v>00:00:00</v>
      </c>
      <c r="J92" s="25"/>
      <c r="K92" s="45">
        <v>36</v>
      </c>
      <c r="L92" s="29" t="str" cm="1">
        <f t="array" ref="L92">CHOOSE(GetCSVIndex(A2,141+756)+1,"","Station","Block","","Delay")</f>
        <v/>
      </c>
      <c r="M92" s="29" t="str" cm="1">
        <f t="array" ref="M92">GetCSVIndex(A2,142+756)</f>
        <v>0</v>
      </c>
      <c r="N92" s="27" t="str" cm="1">
        <f t="array" ref="N92">GetCSVIndex(A2,286+756)</f>
        <v>00:00:00</v>
      </c>
      <c r="O92" s="43" t="str" cm="1">
        <f t="array" ref="O92">GetCSVIndex(A2,349+756)</f>
        <v>00:00:00</v>
      </c>
    </row>
    <row r="93" spans="1:15" ht="21" customHeight="1" x14ac:dyDescent="0.25">
      <c r="A93" s="37" t="s">
        <v>28</v>
      </c>
      <c r="B93" s="28"/>
      <c r="C93" s="29" t="str" cm="1">
        <f t="array" ref="C93">IF(GetCSVIndex(A2,14+756)&lt;&gt;"65535",CONCATENATE(GetCSVIndex(A2,229+756),":", GetCSVIndex(A2,239+756)),"OFF")</f>
        <v>OFF</v>
      </c>
      <c r="D93" s="25"/>
      <c r="E93" s="45">
        <v>5</v>
      </c>
      <c r="F93" s="29" t="str" cm="1">
        <f t="array" ref="F93">CHOOSE(GetCSVIndex(A2,48+756)+1,"","Station","Block","","Delay")</f>
        <v/>
      </c>
      <c r="G93" s="29" t="str" cm="1">
        <f t="array" ref="G93">GetCSVIndex(A2,49+756)</f>
        <v>0</v>
      </c>
      <c r="H93" s="45" t="str" cm="1">
        <f t="array" ref="H93">GetCSVIndex(A2,255+756)</f>
        <v>00:00:00</v>
      </c>
      <c r="I93" s="29" t="str" cm="1">
        <f t="array" ref="I93">GetCSVIndex(A2,318+756)</f>
        <v>00:00:00</v>
      </c>
      <c r="J93" s="25"/>
      <c r="K93" s="45">
        <v>37</v>
      </c>
      <c r="L93" s="29" t="str" cm="1">
        <f t="array" ref="L93">CHOOSE(GetCSVIndex(A2,144+756)+1,"","Station","Block","","Delay")</f>
        <v/>
      </c>
      <c r="M93" s="29" t="str" cm="1">
        <f t="array" ref="M93">GetCSVIndex(A2,145+756)</f>
        <v>0</v>
      </c>
      <c r="N93" s="27" t="str" cm="1">
        <f t="array" ref="N93">GetCSVIndex(A2,287+756)</f>
        <v>00:00:00</v>
      </c>
      <c r="O93" s="43" t="str" cm="1">
        <f t="array" ref="O93">GetCSVIndex(A2,350+756)</f>
        <v>00:00:00</v>
      </c>
    </row>
    <row r="94" spans="1:15" ht="21" customHeight="1" x14ac:dyDescent="0.25">
      <c r="A94" s="38" t="s">
        <v>29</v>
      </c>
      <c r="B94" s="30"/>
      <c r="C94" s="29" t="str" cm="1">
        <f t="array" ref="C94">IF(GetCSVIndex(A2,15+756)&lt;&gt;"65535",CONCATENATE(GetCSVIndex(A2,231+756),":", GetCSVIndex(A2,241+756)),"OFF")</f>
        <v>OFF</v>
      </c>
      <c r="D94" s="25"/>
      <c r="E94" s="45">
        <v>6</v>
      </c>
      <c r="F94" s="29" t="str" cm="1">
        <f t="array" ref="F94">CHOOSE(GetCSVIndex(A2,51+756)+1,"","Station","Block","","Delay")</f>
        <v/>
      </c>
      <c r="G94" s="29" t="str" cm="1">
        <f t="array" ref="G94">GetCSVIndex(A2,52+756)</f>
        <v>0</v>
      </c>
      <c r="H94" s="45" t="str" cm="1">
        <f t="array" ref="H94">GetCSVIndex(A2,256+756)</f>
        <v>00:00:00</v>
      </c>
      <c r="I94" s="29" t="str" cm="1">
        <f t="array" ref="I94">GetCSVIndex(A2,319+756)</f>
        <v>00:00:00</v>
      </c>
      <c r="J94" s="25"/>
      <c r="K94" s="45">
        <v>38</v>
      </c>
      <c r="L94" s="29" t="str" cm="1">
        <f t="array" ref="L94">CHOOSE(GetCSVIndex(A2,147+756)+1,"","Station","Block","","Delay")</f>
        <v/>
      </c>
      <c r="M94" s="29" t="str" cm="1">
        <f t="array" ref="M94">GetCSVIndex(A2,148+756)</f>
        <v>0</v>
      </c>
      <c r="N94" s="27" t="str" cm="1">
        <f t="array" ref="N94">GetCSVIndex(A2,288+756)</f>
        <v>00:00:00</v>
      </c>
      <c r="O94" s="43" t="str" cm="1">
        <f t="array" ref="O94">GetCSVIndex(A2,351+756)</f>
        <v>00:00:00</v>
      </c>
    </row>
    <row r="95" spans="1:15" ht="21" customHeight="1" x14ac:dyDescent="0.25">
      <c r="A95" s="38" t="s">
        <v>30</v>
      </c>
      <c r="B95" s="30"/>
      <c r="C95" s="29" t="str" cm="1">
        <f t="array" ref="C95">IF(GetCSVIndex(A2,16+756)&lt;&gt;"65535",CONCATENATE(GetCSVIndex(A2,232+756),":", GetCSVIndex(A2,242+756)),"OFF")</f>
        <v>OFF</v>
      </c>
      <c r="D95" s="25"/>
      <c r="E95" s="45">
        <v>7</v>
      </c>
      <c r="F95" s="29" t="str" cm="1">
        <f t="array" ref="F95">CHOOSE(GetCSVIndex(A2,54+756)+1,"","Station","Block","","Delay")</f>
        <v/>
      </c>
      <c r="G95" s="29" t="str" cm="1">
        <f t="array" ref="G95">GetCSVIndex(A2,55+756)</f>
        <v>0</v>
      </c>
      <c r="H95" s="45" t="str" cm="1">
        <f t="array" ref="H95">GetCSVIndex(A2,257+756)</f>
        <v>00:00:00</v>
      </c>
      <c r="I95" s="29" t="str" cm="1">
        <f t="array" ref="I95">GetCSVIndex(A2,320+756)</f>
        <v>00:00:00</v>
      </c>
      <c r="J95" s="25"/>
      <c r="K95" s="45">
        <v>39</v>
      </c>
      <c r="L95" s="29" t="str" cm="1">
        <f t="array" ref="L95">CHOOSE(GetCSVIndex(A2,150+756)+1,"","Station","Block","","Delay")</f>
        <v/>
      </c>
      <c r="M95" s="29" t="str" cm="1">
        <f t="array" ref="M95">GetCSVIndex(A2,151+756)</f>
        <v>0</v>
      </c>
      <c r="N95" s="27" t="str" cm="1">
        <f t="array" ref="N95">GetCSVIndex(A2,289+756)</f>
        <v>00:00:00</v>
      </c>
      <c r="O95" s="43" t="str" cm="1">
        <f t="array" ref="O95">GetCSVIndex(A2,352+756)</f>
        <v>00:00:00</v>
      </c>
    </row>
    <row r="96" spans="1:15" ht="21" customHeight="1" x14ac:dyDescent="0.25">
      <c r="A96" s="38" t="s">
        <v>31</v>
      </c>
      <c r="B96" s="30"/>
      <c r="C96" s="29" t="str" cm="1">
        <f t="array" ref="C96">IF(GetCSVIndex(A2,17+756)&lt;&gt;"65535",CONCATENATE(GetCSVIndex(A2,233+756),":", GetCSVIndex(A2,243+756)),"OFF")</f>
        <v>OFF</v>
      </c>
      <c r="D96" s="25"/>
      <c r="E96" s="45">
        <v>8</v>
      </c>
      <c r="F96" s="29" t="str" cm="1">
        <f t="array" ref="F96">CHOOSE(GetCSVIndex(A2,57+756)+1,"","Station","Block","","Delay")</f>
        <v/>
      </c>
      <c r="G96" s="29" t="str" cm="1">
        <f t="array" ref="G96">GetCSVIndex(A2,58+756)</f>
        <v>0</v>
      </c>
      <c r="H96" s="45" t="str" cm="1">
        <f t="array" ref="H96">GetCSVIndex(A2,258+756)</f>
        <v>00:00:00</v>
      </c>
      <c r="I96" s="29" t="str" cm="1">
        <f t="array" ref="I96">GetCSVIndex(A2,321+756)</f>
        <v>00:00:00</v>
      </c>
      <c r="J96" s="25"/>
      <c r="K96" s="45">
        <v>40</v>
      </c>
      <c r="L96" s="29" t="str" cm="1">
        <f t="array" ref="L96">CHOOSE(GetCSVIndex(A2,153+756)+1,"","Station","Block","","Delay")</f>
        <v/>
      </c>
      <c r="M96" s="29" t="str" cm="1">
        <f t="array" ref="M96">GetCSVIndex(A2,154+756)</f>
        <v>0</v>
      </c>
      <c r="N96" s="27" t="str" cm="1">
        <f t="array" ref="N96">GetCSVIndex(A2,290+756)</f>
        <v>00:00:00</v>
      </c>
      <c r="O96" s="43" t="str" cm="1">
        <f t="array" ref="O96">GetCSVIndex(A2,353+756)</f>
        <v>00:00:00</v>
      </c>
    </row>
    <row r="97" spans="1:15" ht="21" customHeight="1" x14ac:dyDescent="0.25">
      <c r="A97" s="38" t="s">
        <v>32</v>
      </c>
      <c r="B97" s="30"/>
      <c r="C97" s="29" t="str" cm="1">
        <f t="array" ref="C97">IF(GetCSVIndex(A2,18+756)&lt;&gt;"65535",CONCATENATE(GetCSVIndex(A2,234+756),":", GetCSVIndex(A2,244+756)),"OFF")</f>
        <v>OFF</v>
      </c>
      <c r="D97" s="25"/>
      <c r="E97" s="45">
        <v>9</v>
      </c>
      <c r="F97" s="29" t="str" cm="1">
        <f t="array" ref="F97">CHOOSE(GetCSVIndex(A2,60+756)+1,"","Station","Block","","Delay")</f>
        <v/>
      </c>
      <c r="G97" s="29" t="str" cm="1">
        <f t="array" ref="G97">GetCSVIndex(A2,61+756)</f>
        <v>0</v>
      </c>
      <c r="H97" s="45" t="str" cm="1">
        <f t="array" ref="H97">GetCSVIndex(A2,259+756)</f>
        <v>00:00:00</v>
      </c>
      <c r="I97" s="29" t="str" cm="1">
        <f t="array" ref="I97">GetCSVIndex(A2,322+756)</f>
        <v>00:00:00</v>
      </c>
      <c r="J97" s="25"/>
      <c r="K97" s="45">
        <v>41</v>
      </c>
      <c r="L97" s="29" t="str" cm="1">
        <f t="array" ref="L97">CHOOSE(GetCSVIndex(A2,156+756)+1,"","Station","Block","","Delay")</f>
        <v/>
      </c>
      <c r="M97" s="29" t="str" cm="1">
        <f t="array" ref="M97">GetCSVIndex(A2,157+756)</f>
        <v>0</v>
      </c>
      <c r="N97" s="27" t="str" cm="1">
        <f t="array" ref="N97">GetCSVIndex(A2,291+756)</f>
        <v>00:00:00</v>
      </c>
      <c r="O97" s="43" t="str" cm="1">
        <f t="array" ref="O97">GetCSVIndex(A2,354+756)</f>
        <v>00:00:00</v>
      </c>
    </row>
    <row r="98" spans="1:15" ht="21" customHeight="1" x14ac:dyDescent="0.25">
      <c r="A98" s="38" t="s">
        <v>33</v>
      </c>
      <c r="B98" s="30"/>
      <c r="C98" s="29" t="str" cm="1">
        <f t="array" ref="C98">IF(GetCSVIndex(A2,19+756)&lt;&gt;"65535",CONCATENATE(GetCSVIndex(A2,235+756),":", GetCSVIndex(A2,245+756)),"OFF")</f>
        <v>OFF</v>
      </c>
      <c r="D98" s="25"/>
      <c r="E98" s="45">
        <v>10</v>
      </c>
      <c r="F98" s="29" t="str" cm="1">
        <f t="array" ref="F98">CHOOSE(GetCSVIndex(A2,63+756)+1,"","Station","Block","","Delay")</f>
        <v/>
      </c>
      <c r="G98" s="29" t="str" cm="1">
        <f t="array" ref="G98">GetCSVIndex(A2,64+756)</f>
        <v>0</v>
      </c>
      <c r="H98" s="45" t="str" cm="1">
        <f t="array" ref="H98">GetCSVIndex(A2,260+756)</f>
        <v>00:00:00</v>
      </c>
      <c r="I98" s="29" t="str" cm="1">
        <f t="array" ref="I98">GetCSVIndex(A2,323+756)</f>
        <v>00:00:00</v>
      </c>
      <c r="J98" s="25"/>
      <c r="K98" s="45">
        <v>42</v>
      </c>
      <c r="L98" s="29" t="str" cm="1">
        <f t="array" ref="L98">CHOOSE(GetCSVIndex(A2,159+756)+1,"","Station","Block","","Delay")</f>
        <v/>
      </c>
      <c r="M98" s="29" t="str" cm="1">
        <f t="array" ref="M98">GetCSVIndex(A2,160+756)</f>
        <v>0</v>
      </c>
      <c r="N98" s="27" t="str" cm="1">
        <f t="array" ref="N98">GetCSVIndex(A2,292+756)</f>
        <v>00:00:00</v>
      </c>
      <c r="O98" s="43" t="str" cm="1">
        <f t="array" ref="O98">GetCSVIndex(A2,355+756)</f>
        <v>00:00:00</v>
      </c>
    </row>
    <row r="99" spans="1:15" ht="21" customHeight="1" x14ac:dyDescent="0.25">
      <c r="A99" s="38" t="s">
        <v>34</v>
      </c>
      <c r="B99" s="30"/>
      <c r="C99" s="29" t="str" cm="1">
        <f t="array" ref="C99">IF(GetCSVIndex(A2,20+756)&lt;&gt;"65535",CONCATENATE(GetCSVIndex(A2,236+756),":", GetCSVIndex(A2,246+756)),"OFF")</f>
        <v>OFF</v>
      </c>
      <c r="D99" s="25"/>
      <c r="E99" s="45">
        <v>11</v>
      </c>
      <c r="F99" s="29" t="str" cm="1">
        <f t="array" ref="F99">CHOOSE(GetCSVIndex(A2,66+756)+1,"","Station","Block","","Delay")</f>
        <v/>
      </c>
      <c r="G99" s="29" t="str" cm="1">
        <f t="array" ref="G99">GetCSVIndex(A2,67+756)</f>
        <v>0</v>
      </c>
      <c r="H99" s="45" t="str" cm="1">
        <f t="array" ref="H99">GetCSVIndex(A2,261+756)</f>
        <v>00:00:00</v>
      </c>
      <c r="I99" s="29" t="str" cm="1">
        <f t="array" ref="I99">GetCSVIndex(A2,324+756)</f>
        <v>00:00:00</v>
      </c>
      <c r="J99" s="25"/>
      <c r="K99" s="45">
        <v>43</v>
      </c>
      <c r="L99" s="29" t="str" cm="1">
        <f t="array" ref="L99">CHOOSE(GetCSVIndex(A2,162+756)+1,"","Station","Block","","Delay")</f>
        <v/>
      </c>
      <c r="M99" s="29" t="str" cm="1">
        <f t="array" ref="M99">GetCSVIndex(A2,163+756)</f>
        <v>0</v>
      </c>
      <c r="N99" s="27" t="str" cm="1">
        <f t="array" ref="N99">GetCSVIndex(A2,293+756)</f>
        <v>00:00:00</v>
      </c>
      <c r="O99" s="43" t="str" cm="1">
        <f t="array" ref="O99">GetCSVIndex(A2,356+756)</f>
        <v>00:00:00</v>
      </c>
    </row>
    <row r="100" spans="1:15" ht="21" customHeight="1" x14ac:dyDescent="0.25">
      <c r="A100" s="38" t="s">
        <v>35</v>
      </c>
      <c r="B100" s="30"/>
      <c r="C100" s="29" t="str" cm="1">
        <f t="array" ref="C100">IF(GetCSVIndex(A2,21+756)&lt;&gt;"65535",CONCATENATE(GetCSVIndex(A2,237+756),":", GetCSVIndex(A2,247+756)),"OFF")</f>
        <v>OFF</v>
      </c>
      <c r="D100" s="25"/>
      <c r="E100" s="45">
        <v>12</v>
      </c>
      <c r="F100" s="29" t="str" cm="1">
        <f t="array" ref="F100">CHOOSE(GetCSVIndex(A2,69+756)+1,"","Station","Block","","Delay")</f>
        <v/>
      </c>
      <c r="G100" s="29" t="str" cm="1">
        <f t="array" ref="G100">GetCSVIndex(A2,70+756)</f>
        <v>0</v>
      </c>
      <c r="H100" s="45" t="str" cm="1">
        <f t="array" ref="H100">GetCSVIndex(A2,262+756)</f>
        <v>00:00:00</v>
      </c>
      <c r="I100" s="29" t="str" cm="1">
        <f t="array" ref="I100">GetCSVIndex(A2,325+756)</f>
        <v>00:00:00</v>
      </c>
      <c r="J100" s="25"/>
      <c r="K100" s="45">
        <v>44</v>
      </c>
      <c r="L100" s="29" t="str" cm="1">
        <f t="array" ref="L100">CHOOSE(GetCSVIndex(A2,165+756)+1,"","Station","Block","","Delay")</f>
        <v/>
      </c>
      <c r="M100" s="29" t="str" cm="1">
        <f t="array" ref="M100">GetCSVIndex(A2,166+756)</f>
        <v>0</v>
      </c>
      <c r="N100" s="27" t="str" cm="1">
        <f t="array" ref="N100">GetCSVIndex(A2,294+756)</f>
        <v>00:00:00</v>
      </c>
      <c r="O100" s="43" t="str" cm="1">
        <f t="array" ref="O100">GetCSVIndex(A2,357+756)</f>
        <v>00:00:00</v>
      </c>
    </row>
    <row r="101" spans="1:15" ht="21" customHeight="1" x14ac:dyDescent="0.25">
      <c r="A101" s="38" t="s">
        <v>36</v>
      </c>
      <c r="B101" s="30"/>
      <c r="C101" s="29" t="str" cm="1">
        <f t="array" ref="C101">IF(GetCSVIndex(A2,22+756)&lt;&gt;"65535",CONCATENATE(GetCSVIndex(A2,238+756),":", GetCSVIndex(A2,248+756)),"OFF")</f>
        <v>OFF</v>
      </c>
      <c r="D101" s="25"/>
      <c r="E101" s="45">
        <v>13</v>
      </c>
      <c r="F101" s="29" t="str" cm="1">
        <f t="array" ref="F101">CHOOSE(GetCSVIndex(A2,72+756)+1,"","Station","Block","","Delay")</f>
        <v/>
      </c>
      <c r="G101" s="29" t="str" cm="1">
        <f t="array" ref="G101">GetCSVIndex(A2,73+756)</f>
        <v>0</v>
      </c>
      <c r="H101" s="45" t="str" cm="1">
        <f t="array" ref="H101">GetCSVIndex(A2,263+756)</f>
        <v>00:00:00</v>
      </c>
      <c r="I101" s="29" t="str" cm="1">
        <f t="array" ref="I101">GetCSVIndex(A2,326+756)</f>
        <v>00:00:00</v>
      </c>
      <c r="J101" s="25"/>
      <c r="K101" s="45">
        <v>45</v>
      </c>
      <c r="L101" s="29" t="str" cm="1">
        <f t="array" ref="L101">CHOOSE(GetCSVIndex(A2,168+756)+1,"","Station","Block","","Delay")</f>
        <v/>
      </c>
      <c r="M101" s="29" t="str" cm="1">
        <f t="array" ref="M101">GetCSVIndex(A2,169+756)</f>
        <v>0</v>
      </c>
      <c r="N101" s="27" t="str" cm="1">
        <f t="array" ref="N101">GetCSVIndex(A2,295+756)</f>
        <v>00:00:00</v>
      </c>
      <c r="O101" s="43" t="str" cm="1">
        <f t="array" ref="O101">GetCSVIndex(A2,358+756)</f>
        <v>00:00:00</v>
      </c>
    </row>
    <row r="102" spans="1:15" ht="21" customHeight="1" x14ac:dyDescent="0.25">
      <c r="A102" s="36" t="s">
        <v>37</v>
      </c>
      <c r="B102" s="25"/>
      <c r="C102" s="29" t="str" cm="1">
        <f t="array" ref="C102">IF(GetCSVIndex(A2,23+756)&lt;&gt;"65535",CONCATENATE(GetCSVIndex(A2,230+756),":", GetCSVIndex(A2,240+756)),"OFF")</f>
        <v>OFF</v>
      </c>
      <c r="D102" s="25"/>
      <c r="E102" s="45">
        <v>14</v>
      </c>
      <c r="F102" s="29" t="str" cm="1">
        <f t="array" ref="F102">CHOOSE(GetCSVIndex(A2,75+756)+1,"","Station","Block","","Delay")</f>
        <v/>
      </c>
      <c r="G102" s="29" t="str" cm="1">
        <f t="array" ref="G102">GetCSVIndex(A2,76+756)</f>
        <v>0</v>
      </c>
      <c r="H102" s="45" t="str" cm="1">
        <f t="array" ref="H102">GetCSVIndex(A2,264+756)</f>
        <v>00:00:00</v>
      </c>
      <c r="I102" s="29" t="str" cm="1">
        <f t="array" ref="I102">GetCSVIndex(A2,327+756)</f>
        <v>00:00:00</v>
      </c>
      <c r="J102" s="25"/>
      <c r="K102" s="45">
        <v>46</v>
      </c>
      <c r="L102" s="29" t="str" cm="1">
        <f t="array" ref="L102">CHOOSE(GetCSVIndex(A2,171+756)+1,"","Station","Block","","Delay")</f>
        <v/>
      </c>
      <c r="M102" s="29" t="str" cm="1">
        <f t="array" ref="M102">GetCSVIndex(A2,172+756)</f>
        <v>0</v>
      </c>
      <c r="N102" s="27" t="str" cm="1">
        <f t="array" ref="N102">GetCSVIndex(A2,296+756)</f>
        <v>00:00:00</v>
      </c>
      <c r="O102" s="43" t="str" cm="1">
        <f t="array" ref="O102">GetCSVIndex(A2,359+756)</f>
        <v>00:00:00</v>
      </c>
    </row>
    <row r="103" spans="1:15" ht="21" customHeight="1" x14ac:dyDescent="0.25">
      <c r="A103" s="39"/>
      <c r="B103" s="40"/>
      <c r="C103" s="41"/>
      <c r="D103" s="26"/>
      <c r="E103" s="45">
        <v>15</v>
      </c>
      <c r="F103" s="29" t="str" cm="1">
        <f t="array" ref="F103">CHOOSE(GetCSVIndex(A2,78+756)+1,"","Station","Block","","Delay")</f>
        <v/>
      </c>
      <c r="G103" s="29" t="str" cm="1">
        <f t="array" ref="G103">GetCSVIndex(A2,79+756)</f>
        <v>0</v>
      </c>
      <c r="H103" s="45" t="str" cm="1">
        <f t="array" ref="H103">GetCSVIndex(A2,265+756)</f>
        <v>00:00:00</v>
      </c>
      <c r="I103" s="29" t="str" cm="1">
        <f t="array" ref="I103">GetCSVIndex(A2,328+756)</f>
        <v>00:00:00</v>
      </c>
      <c r="J103" s="26"/>
      <c r="K103" s="45">
        <v>47</v>
      </c>
      <c r="L103" s="29" t="str" cm="1">
        <f t="array" ref="L103">CHOOSE(GetCSVIndex(A2,174+756)+1,"","Station","Block","","Delay")</f>
        <v/>
      </c>
      <c r="M103" s="29" t="str" cm="1">
        <f t="array" ref="M103">GetCSVIndex(A2,175+756)</f>
        <v>0</v>
      </c>
      <c r="N103" s="27" t="str" cm="1">
        <f t="array" ref="N103">GetCSVIndex(A2,297+756)</f>
        <v>00:00:00</v>
      </c>
      <c r="O103" s="43" t="str" cm="1">
        <f t="array" ref="O103">GetCSVIndex(A2,360+756)</f>
        <v>00:00:00</v>
      </c>
    </row>
    <row r="104" spans="1:15" ht="21" customHeight="1" x14ac:dyDescent="0.25">
      <c r="A104" s="42"/>
      <c r="B104" s="25"/>
      <c r="C104" s="25"/>
      <c r="D104" s="26"/>
      <c r="E104" s="45">
        <v>16</v>
      </c>
      <c r="F104" s="29" t="str" cm="1">
        <f t="array" ref="F104">CHOOSE(GetCSVIndex(A2,81+756)+1,"","Station","Block","","Delay")</f>
        <v/>
      </c>
      <c r="G104" s="29" t="str" cm="1">
        <f t="array" ref="G104">GetCSVIndex(A2,82+756)</f>
        <v>0</v>
      </c>
      <c r="H104" s="45" t="str" cm="1">
        <f t="array" ref="H104">GetCSVIndex(A2,266+756)</f>
        <v>00:00:00</v>
      </c>
      <c r="I104" s="29" t="str" cm="1">
        <f t="array" ref="I104">GetCSVIndex(A2,329+756)</f>
        <v>00:00:00</v>
      </c>
      <c r="J104" s="25"/>
      <c r="K104" s="45">
        <v>48</v>
      </c>
      <c r="L104" s="29" t="str" cm="1">
        <f t="array" ref="L104">CHOOSE(GetCSVIndex(A2,177+756)+1,"","Station","Block","","Delay")</f>
        <v/>
      </c>
      <c r="M104" s="29" t="str" cm="1">
        <f t="array" ref="M104">GetCSVIndex(A2,178+756)</f>
        <v>0</v>
      </c>
      <c r="N104" s="27" t="str" cm="1">
        <f t="array" ref="N104">GetCSVIndex(A2,298+756)</f>
        <v>00:00:00</v>
      </c>
      <c r="O104" s="43" t="str" cm="1">
        <f t="array" ref="O104">GetCSVIndex(A2,361+756)</f>
        <v>00:00:00</v>
      </c>
    </row>
    <row r="105" spans="1:15" ht="21" customHeight="1" x14ac:dyDescent="0.25">
      <c r="A105" s="42"/>
      <c r="B105" s="25"/>
      <c r="C105" s="25"/>
      <c r="D105" s="26"/>
      <c r="E105" s="45">
        <v>17</v>
      </c>
      <c r="F105" s="29" t="str" cm="1">
        <f t="array" ref="F105">CHOOSE(GetCSVIndex(A2,84+756)+1,"","Station","Block","","Delay")</f>
        <v/>
      </c>
      <c r="G105" s="29" t="str" cm="1">
        <f t="array" ref="G105">GetCSVIndex(A2,85+756)</f>
        <v>0</v>
      </c>
      <c r="H105" s="45" t="str" cm="1">
        <f t="array" ref="H105">GetCSVIndex(A2,267+756)</f>
        <v>00:00:00</v>
      </c>
      <c r="I105" s="29" t="str" cm="1">
        <f t="array" ref="I105">GetCSVIndex(A2,330+756)</f>
        <v>00:00:00</v>
      </c>
      <c r="J105" s="26"/>
      <c r="K105" s="45">
        <v>49</v>
      </c>
      <c r="L105" s="29" t="str" cm="1">
        <f t="array" ref="L105">CHOOSE(GetCSVIndex(A2,180+756)+1,"","Station","Block","","Delay")</f>
        <v/>
      </c>
      <c r="M105" s="29" t="str" cm="1">
        <f t="array" ref="M105">GetCSVIndex(A2,181+756)</f>
        <v>0</v>
      </c>
      <c r="N105" s="27" t="str" cm="1">
        <f t="array" ref="N105">GetCSVIndex(A2,299+756)</f>
        <v>00:00:00</v>
      </c>
      <c r="O105" s="43" t="str" cm="1">
        <f t="array" ref="O105">GetCSVIndex(A2,362+756)</f>
        <v>00:00:00</v>
      </c>
    </row>
    <row r="106" spans="1:15" ht="21" customHeight="1" x14ac:dyDescent="0.25">
      <c r="A106" s="42"/>
      <c r="B106" s="25"/>
      <c r="C106" s="25"/>
      <c r="D106" s="26"/>
      <c r="E106" s="45">
        <v>18</v>
      </c>
      <c r="F106" s="29" t="str" cm="1">
        <f t="array" ref="F106">CHOOSE(GetCSVIndex(A2,87+756)+1,"","Station","Block","","Delay")</f>
        <v/>
      </c>
      <c r="G106" s="29" t="str" cm="1">
        <f t="array" ref="G106">GetCSVIndex(A2,88+756)</f>
        <v>0</v>
      </c>
      <c r="H106" s="45" t="str" cm="1">
        <f t="array" ref="H106">GetCSVIndex(A2,268+756)</f>
        <v>00:00:00</v>
      </c>
      <c r="I106" s="29" t="str" cm="1">
        <f t="array" ref="I106">GetCSVIndex(A2,331+756)</f>
        <v>00:00:00</v>
      </c>
      <c r="J106" s="26"/>
      <c r="K106" s="45">
        <v>50</v>
      </c>
      <c r="L106" s="29" t="str" cm="1">
        <f t="array" ref="L106">CHOOSE(GetCSVIndex(A2,183+756)+1,"","Station","Block","","Delay")</f>
        <v/>
      </c>
      <c r="M106" s="29" t="str" cm="1">
        <f t="array" ref="M106">GetCSVIndex(A2,184+756)</f>
        <v>0</v>
      </c>
      <c r="N106" s="27" t="str" cm="1">
        <f t="array" ref="N106">GetCSVIndex(A2,300+756)</f>
        <v>00:00:00</v>
      </c>
      <c r="O106" s="43" t="str" cm="1">
        <f t="array" ref="O106">GetCSVIndex(A2,363+756)</f>
        <v>00:00:00</v>
      </c>
    </row>
    <row r="107" spans="1:15" ht="21" customHeight="1" x14ac:dyDescent="0.25">
      <c r="A107" s="42"/>
      <c r="B107" s="25"/>
      <c r="C107" s="25"/>
      <c r="D107" s="26"/>
      <c r="E107" s="45">
        <v>19</v>
      </c>
      <c r="F107" s="29" t="str" cm="1">
        <f t="array" ref="F107">CHOOSE(GetCSVIndex(A2,90+756)+1,"","Station","Block","","Delay")</f>
        <v/>
      </c>
      <c r="G107" s="29" t="str" cm="1">
        <f t="array" ref="G107">GetCSVIndex(A2,91+756)</f>
        <v>0</v>
      </c>
      <c r="H107" s="45" t="str" cm="1">
        <f t="array" ref="H107">GetCSVIndex(A2,269+756)</f>
        <v>00:00:00</v>
      </c>
      <c r="I107" s="29" t="str" cm="1">
        <f t="array" ref="I107">GetCSVIndex(A2,332+756)</f>
        <v>00:00:00</v>
      </c>
      <c r="J107" s="26"/>
      <c r="K107" s="45">
        <v>51</v>
      </c>
      <c r="L107" s="29" t="str" cm="1">
        <f t="array" ref="L107">CHOOSE(GetCSVIndex(A2,186+756)+1,"","Station","Block","","Delay")</f>
        <v/>
      </c>
      <c r="M107" s="29" t="str" cm="1">
        <f t="array" ref="M107">GetCSVIndex(A2,187+756)</f>
        <v>0</v>
      </c>
      <c r="N107" s="27" t="str" cm="1">
        <f t="array" ref="N107">GetCSVIndex(A2,301+756)</f>
        <v>00:00:00</v>
      </c>
      <c r="O107" s="43" t="str" cm="1">
        <f t="array" ref="O107">GetCSVIndex(A2,364+756)</f>
        <v>00:00:00</v>
      </c>
    </row>
    <row r="108" spans="1:15" ht="21" customHeight="1" x14ac:dyDescent="0.25">
      <c r="A108" s="42"/>
      <c r="B108" s="25"/>
      <c r="C108" s="25"/>
      <c r="D108" s="26"/>
      <c r="E108" s="45">
        <v>20</v>
      </c>
      <c r="F108" s="29" t="str" cm="1">
        <f t="array" ref="F108">CHOOSE(GetCSVIndex(A2,93+756)+1,"","Station","Block","","Delay")</f>
        <v/>
      </c>
      <c r="G108" s="29" t="str" cm="1">
        <f t="array" ref="G108">GetCSVIndex(A2,94+756)</f>
        <v>0</v>
      </c>
      <c r="H108" s="45" t="str" cm="1">
        <f t="array" ref="H108">GetCSVIndex(A2,270+756)</f>
        <v>00:00:00</v>
      </c>
      <c r="I108" s="29" t="str" cm="1">
        <f t="array" ref="I108">GetCSVIndex(A2,333+756)</f>
        <v>00:00:00</v>
      </c>
      <c r="J108" s="26"/>
      <c r="K108" s="45">
        <v>52</v>
      </c>
      <c r="L108" s="29" t="str" cm="1">
        <f t="array" ref="L108">CHOOSE(GetCSVIndex(A2,189+756)+1,"","Station","Block","","Delay")</f>
        <v/>
      </c>
      <c r="M108" s="29" t="str" cm="1">
        <f t="array" ref="M108">GetCSVIndex(A2,190+756)</f>
        <v>0</v>
      </c>
      <c r="N108" s="27" t="str" cm="1">
        <f t="array" ref="N108">GetCSVIndex(A2,302+756)</f>
        <v>00:00:00</v>
      </c>
      <c r="O108" s="43" t="str" cm="1">
        <f t="array" ref="O108">GetCSVIndex(A2,365+756)</f>
        <v>00:00:00</v>
      </c>
    </row>
    <row r="109" spans="1:15" ht="21" customHeight="1" x14ac:dyDescent="0.25">
      <c r="A109" s="42"/>
      <c r="B109" s="25"/>
      <c r="C109" s="25"/>
      <c r="D109" s="26"/>
      <c r="E109" s="45">
        <v>21</v>
      </c>
      <c r="F109" s="29" t="str" cm="1">
        <f t="array" ref="F109">CHOOSE(GetCSVIndex(A2,96+756)+1,"","Station","Block","","Delay")</f>
        <v/>
      </c>
      <c r="G109" s="29" t="str" cm="1">
        <f t="array" ref="G109">GetCSVIndex(A2,97+756)</f>
        <v>0</v>
      </c>
      <c r="H109" s="45" t="str" cm="1">
        <f t="array" ref="H109">GetCSVIndex(A2,271+756)</f>
        <v>00:00:00</v>
      </c>
      <c r="I109" s="29" t="str" cm="1">
        <f t="array" ref="I109">GetCSVIndex(A2,334+756)</f>
        <v>00:00:00</v>
      </c>
      <c r="J109" s="26"/>
      <c r="K109" s="45">
        <v>53</v>
      </c>
      <c r="L109" s="29" t="str" cm="1">
        <f t="array" ref="L109">CHOOSE(GetCSVIndex(A2,192+756)+1,"","Station","Block","","Delay")</f>
        <v/>
      </c>
      <c r="M109" s="29" t="str" cm="1">
        <f t="array" ref="M109">GetCSVIndex(A2,193+756)</f>
        <v>0</v>
      </c>
      <c r="N109" s="27" t="str" cm="1">
        <f t="array" ref="N109">GetCSVIndex(A2,303+756)</f>
        <v>00:00:00</v>
      </c>
      <c r="O109" s="43" t="str" cm="1">
        <f t="array" ref="O109">GetCSVIndex(A2,366+756)</f>
        <v>00:00:00</v>
      </c>
    </row>
    <row r="110" spans="1:15" ht="21" customHeight="1" x14ac:dyDescent="0.25">
      <c r="A110" s="42"/>
      <c r="B110" s="25"/>
      <c r="C110" s="25"/>
      <c r="D110" s="26"/>
      <c r="E110" s="45">
        <v>22</v>
      </c>
      <c r="F110" s="29" t="str" cm="1">
        <f t="array" ref="F110">CHOOSE(GetCSVIndex(A2,99+756)+1,"","Station","Block","","Delay")</f>
        <v/>
      </c>
      <c r="G110" s="29" t="str" cm="1">
        <f t="array" ref="G110">GetCSVIndex(A2,100+756)</f>
        <v>0</v>
      </c>
      <c r="H110" s="45" t="str" cm="1">
        <f t="array" ref="H110">GetCSVIndex(A2,272+756)</f>
        <v>00:00:00</v>
      </c>
      <c r="I110" s="29" t="str" cm="1">
        <f t="array" ref="I110">GetCSVIndex(A2,335+756)</f>
        <v>00:00:00</v>
      </c>
      <c r="J110" s="26"/>
      <c r="K110" s="45">
        <v>54</v>
      </c>
      <c r="L110" s="29" t="str" cm="1">
        <f t="array" ref="L110">CHOOSE(GetCSVIndex(A2,195+756)+1,"","Station","Block","","Delay")</f>
        <v/>
      </c>
      <c r="M110" s="29" t="str" cm="1">
        <f t="array" ref="M110">GetCSVIndex(A2,196+756)</f>
        <v>0</v>
      </c>
      <c r="N110" s="27" t="str" cm="1">
        <f t="array" ref="N110">GetCSVIndex(A2,304+756)</f>
        <v>00:00:00</v>
      </c>
      <c r="O110" s="43" t="str" cm="1">
        <f t="array" ref="O110">GetCSVIndex(A2,367+756)</f>
        <v>00:00:00</v>
      </c>
    </row>
    <row r="111" spans="1:15" ht="21" customHeight="1" x14ac:dyDescent="0.25">
      <c r="A111" s="42"/>
      <c r="B111" s="25"/>
      <c r="C111" s="25"/>
      <c r="D111" s="26"/>
      <c r="E111" s="45">
        <v>23</v>
      </c>
      <c r="F111" s="29" t="str" cm="1">
        <f t="array" ref="F111">CHOOSE(GetCSVIndex(A2,102+756)+1,"","Station","Block","","Delay")</f>
        <v/>
      </c>
      <c r="G111" s="29" t="str" cm="1">
        <f t="array" ref="G111">GetCSVIndex(A2,103+756)</f>
        <v>0</v>
      </c>
      <c r="H111" s="45" t="str" cm="1">
        <f t="array" ref="H111">GetCSVIndex(A2,273+756)</f>
        <v>00:00:00</v>
      </c>
      <c r="I111" s="29" t="str" cm="1">
        <f t="array" ref="I111">GetCSVIndex(A2,336+756)</f>
        <v>00:00:00</v>
      </c>
      <c r="J111" s="26"/>
      <c r="K111" s="45">
        <v>55</v>
      </c>
      <c r="L111" s="29" t="str" cm="1">
        <f t="array" ref="L111">CHOOSE(GetCSVIndex(A2,198+756)+1,"","Station","Block","","Delay")</f>
        <v/>
      </c>
      <c r="M111" s="29" t="str" cm="1">
        <f t="array" ref="M111">GetCSVIndex(A2,199+756)</f>
        <v>0</v>
      </c>
      <c r="N111" s="27" t="str" cm="1">
        <f t="array" ref="N111">GetCSVIndex(A2,305+756)</f>
        <v>00:00:00</v>
      </c>
      <c r="O111" s="43" t="str" cm="1">
        <f t="array" ref="O111">GetCSVIndex(A2,368+756)</f>
        <v>00:00:00</v>
      </c>
    </row>
    <row r="112" spans="1:15" ht="21" customHeight="1" x14ac:dyDescent="0.25">
      <c r="A112" s="42"/>
      <c r="B112" s="25"/>
      <c r="C112" s="25"/>
      <c r="D112" s="26"/>
      <c r="E112" s="45">
        <v>24</v>
      </c>
      <c r="F112" s="29" t="str" cm="1">
        <f t="array" ref="F112">CHOOSE(GetCSVIndex(A2,105+756)+1,"","Station","Block","","Delay")</f>
        <v/>
      </c>
      <c r="G112" s="29" t="str" cm="1">
        <f t="array" ref="G112">GetCSVIndex(A2,106+756)</f>
        <v>0</v>
      </c>
      <c r="H112" s="45" t="str" cm="1">
        <f t="array" ref="H112">GetCSVIndex(A2,274+756)</f>
        <v>00:00:00</v>
      </c>
      <c r="I112" s="29" t="str" cm="1">
        <f t="array" ref="I112">GetCSVIndex(A2,337+756)</f>
        <v>00:00:00</v>
      </c>
      <c r="J112" s="26"/>
      <c r="K112" s="45">
        <v>56</v>
      </c>
      <c r="L112" s="29" t="str" cm="1">
        <f t="array" ref="L112">CHOOSE(GetCSVIndex(A2,201+756)+1,"","Station","Block","","Delay")</f>
        <v/>
      </c>
      <c r="M112" s="29" t="str" cm="1">
        <f t="array" ref="M112">GetCSVIndex(A2,202+756)</f>
        <v>0</v>
      </c>
      <c r="N112" s="27" t="str" cm="1">
        <f t="array" ref="N112">GetCSVIndex(A2,306+756)</f>
        <v>00:00:00</v>
      </c>
      <c r="O112" s="43" t="str" cm="1">
        <f t="array" ref="O112">GetCSVIndex(A2,369+756)</f>
        <v>00:00:00</v>
      </c>
    </row>
    <row r="113" spans="1:15" ht="21" customHeight="1" x14ac:dyDescent="0.25">
      <c r="A113" s="42"/>
      <c r="B113" s="25"/>
      <c r="C113" s="25"/>
      <c r="D113" s="26"/>
      <c r="E113" s="45">
        <v>25</v>
      </c>
      <c r="F113" s="29" t="str" cm="1">
        <f t="array" ref="F113">CHOOSE(GetCSVIndex(A2,108+756)+1,"","Station","Block","","Delay")</f>
        <v/>
      </c>
      <c r="G113" s="29" t="str" cm="1">
        <f t="array" ref="G113">GetCSVIndex(A2,109+756)</f>
        <v>0</v>
      </c>
      <c r="H113" s="45" t="str" cm="1">
        <f t="array" ref="H113">GetCSVIndex(A2,275+756)</f>
        <v>00:00:00</v>
      </c>
      <c r="I113" s="29" t="str" cm="1">
        <f t="array" ref="I113">GetCSVIndex(A2,338+756)</f>
        <v>00:00:00</v>
      </c>
      <c r="J113" s="26"/>
      <c r="K113" s="45">
        <v>57</v>
      </c>
      <c r="L113" s="29" t="str" cm="1">
        <f t="array" ref="L113">CHOOSE(GetCSVIndex(A2,204+756)+1,"","Station","Block","","Delay")</f>
        <v/>
      </c>
      <c r="M113" s="29" t="str" cm="1">
        <f t="array" ref="M113">GetCSVIndex(A2,205+756)</f>
        <v>0</v>
      </c>
      <c r="N113" s="27" t="str" cm="1">
        <f t="array" ref="N113">GetCSVIndex(A2,307+756)</f>
        <v>00:00:00</v>
      </c>
      <c r="O113" s="43" t="str" cm="1">
        <f t="array" ref="O113">GetCSVIndex(A2,370+756)</f>
        <v>00:00:00</v>
      </c>
    </row>
    <row r="114" spans="1:15" ht="21" customHeight="1" x14ac:dyDescent="0.25">
      <c r="A114" s="42"/>
      <c r="B114" s="25"/>
      <c r="C114" s="25"/>
      <c r="D114" s="26"/>
      <c r="E114" s="45">
        <v>26</v>
      </c>
      <c r="F114" s="29" t="str" cm="1">
        <f t="array" ref="F114">CHOOSE(GetCSVIndex(A2,111+756)+1,"","Station","Block","","Delay")</f>
        <v/>
      </c>
      <c r="G114" s="29" t="str" cm="1">
        <f t="array" ref="G114">GetCSVIndex(A2,112+756)</f>
        <v>0</v>
      </c>
      <c r="H114" s="45" t="str" cm="1">
        <f t="array" ref="H114">GetCSVIndex(A2,276+756)</f>
        <v>00:00:00</v>
      </c>
      <c r="I114" s="29" t="str" cm="1">
        <f t="array" ref="I114">GetCSVIndex(A2,339+756)</f>
        <v>00:00:00</v>
      </c>
      <c r="J114" s="26"/>
      <c r="K114" s="45">
        <v>58</v>
      </c>
      <c r="L114" s="29" t="str" cm="1">
        <f t="array" ref="L114">CHOOSE(GetCSVIndex(A2,207+756)+1,"","Station","Block","","Delay")</f>
        <v/>
      </c>
      <c r="M114" s="29" t="str" cm="1">
        <f t="array" ref="M114">GetCSVIndex(A2,208+756)</f>
        <v>0</v>
      </c>
      <c r="N114" s="27" t="str" cm="1">
        <f t="array" ref="N114">GetCSVIndex(A2,308+756)</f>
        <v>00:00:00</v>
      </c>
      <c r="O114" s="43" t="str" cm="1">
        <f t="array" ref="O114">GetCSVIndex(A2,371+756)</f>
        <v>00:00:00</v>
      </c>
    </row>
    <row r="115" spans="1:15" ht="21" customHeight="1" x14ac:dyDescent="0.25">
      <c r="A115" s="42"/>
      <c r="B115" s="25"/>
      <c r="C115" s="25"/>
      <c r="D115" s="26"/>
      <c r="E115" s="45">
        <v>27</v>
      </c>
      <c r="F115" s="29" t="str" cm="1">
        <f t="array" ref="F115">CHOOSE(GetCSVIndex(A2,114+756)+1,"","Station","Block","","Delay")</f>
        <v/>
      </c>
      <c r="G115" s="29" t="str" cm="1">
        <f t="array" ref="G115">GetCSVIndex(A2,115+756)</f>
        <v>0</v>
      </c>
      <c r="H115" s="45" t="str" cm="1">
        <f t="array" ref="H115">GetCSVIndex(A2,277+756)</f>
        <v>00:00:00</v>
      </c>
      <c r="I115" s="29" t="str" cm="1">
        <f t="array" ref="I115">GetCSVIndex(A2,340+756)</f>
        <v>00:00:00</v>
      </c>
      <c r="J115" s="26"/>
      <c r="K115" s="45">
        <v>59</v>
      </c>
      <c r="L115" s="29" t="str" cm="1">
        <f t="array" ref="L115">CHOOSE(GetCSVIndex(A2,210+756)+1,"","Station","Block","","Delay")</f>
        <v/>
      </c>
      <c r="M115" s="29" t="str" cm="1">
        <f t="array" ref="M115">GetCSVIndex(A2,211+756)</f>
        <v>0</v>
      </c>
      <c r="N115" s="27" t="str" cm="1">
        <f t="array" ref="N115">GetCSVIndex(A2,309+756)</f>
        <v>00:00:00</v>
      </c>
      <c r="O115" s="43" t="str" cm="1">
        <f t="array" ref="O115">GetCSVIndex(A2,372+756)</f>
        <v>00:00:00</v>
      </c>
    </row>
    <row r="116" spans="1:15" ht="21" customHeight="1" x14ac:dyDescent="0.25">
      <c r="A116" s="42"/>
      <c r="B116" s="25"/>
      <c r="C116" s="25"/>
      <c r="D116" s="26"/>
      <c r="E116" s="45">
        <v>28</v>
      </c>
      <c r="F116" s="29" t="str" cm="1">
        <f t="array" ref="F116">CHOOSE(GetCSVIndex(A2,117+756)+1,"","Station","Block","","Delay")</f>
        <v/>
      </c>
      <c r="G116" s="29" t="str" cm="1">
        <f t="array" ref="G116">GetCSVIndex(A2,118+756)</f>
        <v>0</v>
      </c>
      <c r="H116" s="45" t="str" cm="1">
        <f t="array" ref="H116">GetCSVIndex(A2,278+756)</f>
        <v>00:00:00</v>
      </c>
      <c r="I116" s="29" t="str" cm="1">
        <f t="array" ref="I116">GetCSVIndex(A2,341+756)</f>
        <v>00:00:00</v>
      </c>
      <c r="J116" s="26"/>
      <c r="K116" s="45">
        <v>60</v>
      </c>
      <c r="L116" s="29" t="str" cm="1">
        <f t="array" ref="L116">CHOOSE(GetCSVIndex(A2,213+756)+1,"","Station","Block","","Delay")</f>
        <v/>
      </c>
      <c r="M116" s="29" t="str" cm="1">
        <f t="array" ref="M116">GetCSVIndex(A2,214+756)</f>
        <v>0</v>
      </c>
      <c r="N116" s="27" t="str" cm="1">
        <f t="array" ref="N116">GetCSVIndex(A2,310+756)</f>
        <v>00:00:00</v>
      </c>
      <c r="O116" s="43" t="str" cm="1">
        <f t="array" ref="O116">GetCSVIndex(A2,373+756)</f>
        <v>00:00:00</v>
      </c>
    </row>
    <row r="117" spans="1:15" ht="21" customHeight="1" x14ac:dyDescent="0.25">
      <c r="A117" s="42"/>
      <c r="B117" s="25"/>
      <c r="C117" s="25"/>
      <c r="D117" s="26"/>
      <c r="E117" s="45">
        <v>29</v>
      </c>
      <c r="F117" s="29" t="str" cm="1">
        <f t="array" ref="F117">CHOOSE(GetCSVIndex(A2,120+756)+1,"","Station","Block","","Delay")</f>
        <v/>
      </c>
      <c r="G117" s="29" t="str" cm="1">
        <f t="array" ref="G117">GetCSVIndex(A2,121+756)</f>
        <v>0</v>
      </c>
      <c r="H117" s="45" t="str" cm="1">
        <f t="array" ref="H117">GetCSVIndex(A2,279+756)</f>
        <v>00:00:00</v>
      </c>
      <c r="I117" s="29" t="str" cm="1">
        <f t="array" ref="I117">GetCSVIndex(A2,342+756)</f>
        <v>00:00:00</v>
      </c>
      <c r="J117" s="26"/>
      <c r="K117" s="45">
        <v>61</v>
      </c>
      <c r="L117" s="29" t="str" cm="1">
        <f t="array" ref="L117">CHOOSE(GetCSVIndex(A2,216+756)+1,"","Station","Block","","Delay")</f>
        <v/>
      </c>
      <c r="M117" s="29" t="str" cm="1">
        <f t="array" ref="M117">GetCSVIndex(A2,217+756)</f>
        <v>0</v>
      </c>
      <c r="N117" s="27" t="str" cm="1">
        <f t="array" ref="N117">GetCSVIndex(A2,311+756)</f>
        <v>00:00:00</v>
      </c>
      <c r="O117" s="43" t="str" cm="1">
        <f t="array" ref="O117">GetCSVIndex(A2,374+756)</f>
        <v>00:00:00</v>
      </c>
    </row>
    <row r="118" spans="1:15" ht="21" customHeight="1" x14ac:dyDescent="0.25">
      <c r="A118" s="42"/>
      <c r="B118" s="25"/>
      <c r="C118" s="25"/>
      <c r="D118" s="26"/>
      <c r="E118" s="45">
        <v>30</v>
      </c>
      <c r="F118" s="29" t="str" cm="1">
        <f t="array" ref="F118">CHOOSE(GetCSVIndex(A2,123+756)+1,"","Station","Block","","Delay")</f>
        <v/>
      </c>
      <c r="G118" s="29" t="str" cm="1">
        <f t="array" ref="G118">GetCSVIndex(A2,124+756)</f>
        <v>0</v>
      </c>
      <c r="H118" s="45" t="str" cm="1">
        <f t="array" ref="H118">GetCSVIndex(A2,280+756)</f>
        <v>00:00:00</v>
      </c>
      <c r="I118" s="29" t="str" cm="1">
        <f t="array" ref="I118">GetCSVIndex(A2,343+756)</f>
        <v>00:00:00</v>
      </c>
      <c r="J118" s="26"/>
      <c r="K118" s="45">
        <v>62</v>
      </c>
      <c r="L118" s="29" t="str" cm="1">
        <f t="array" ref="L118">CHOOSE(GetCSVIndex(A2,219+756)+1,"","Station","Block","","Delay")</f>
        <v/>
      </c>
      <c r="M118" s="29" t="str" cm="1">
        <f t="array" ref="M118">GetCSVIndex(A2,220+756)</f>
        <v>0</v>
      </c>
      <c r="N118" s="27" t="str" cm="1">
        <f t="array" ref="N118">GetCSVIndex(A2,312+756)</f>
        <v>00:00:00</v>
      </c>
      <c r="O118" s="43" t="str" cm="1">
        <f t="array" ref="O118">GetCSVIndex(A2,375+756)</f>
        <v>00:00:00</v>
      </c>
    </row>
    <row r="119" spans="1:15" ht="21" customHeight="1" x14ac:dyDescent="0.25">
      <c r="A119" s="42"/>
      <c r="B119" s="25"/>
      <c r="C119" s="25"/>
      <c r="D119" s="26"/>
      <c r="E119" s="45">
        <v>31</v>
      </c>
      <c r="F119" s="29" t="str" cm="1">
        <f t="array" ref="F119">CHOOSE(GetCSVIndex(A2,126+756)+1,"","Station","Block","","Delay")</f>
        <v/>
      </c>
      <c r="G119" s="29" t="str" cm="1">
        <f t="array" ref="G119">GetCSVIndex(A2,127+756)</f>
        <v>0</v>
      </c>
      <c r="H119" s="45" t="str" cm="1">
        <f t="array" ref="H119">GetCSVIndex(A2,281+756)</f>
        <v>00:00:00</v>
      </c>
      <c r="I119" s="29" t="str" cm="1">
        <f t="array" ref="I119">GetCSVIndex(A2,344+756)</f>
        <v>00:00:00</v>
      </c>
      <c r="J119" s="26"/>
      <c r="K119" s="45">
        <v>63</v>
      </c>
      <c r="L119" s="29" t="str" cm="1">
        <f t="array" ref="L119">CHOOSE(GetCSVIndex(A2,222+756)+1,"","Station","Block","","Delay")</f>
        <v/>
      </c>
      <c r="M119" s="29" t="str" cm="1">
        <f t="array" ref="M119">GetCSVIndex(A2,223+756)</f>
        <v>0</v>
      </c>
      <c r="N119" s="27" t="str" cm="1">
        <f t="array" ref="N119">GetCSVIndex(A2,313+756)</f>
        <v>00:00:00</v>
      </c>
      <c r="O119" s="43" t="str" cm="1">
        <f t="array" ref="O119">GetCSVIndex(A2,376+756)</f>
        <v>00:00:00</v>
      </c>
    </row>
    <row r="120" spans="1:15" ht="21" customHeight="1" x14ac:dyDescent="0.25">
      <c r="A120" s="37"/>
      <c r="B120" s="28"/>
      <c r="C120" s="29"/>
      <c r="D120" s="29"/>
      <c r="E120" s="45">
        <v>32</v>
      </c>
      <c r="F120" s="29" t="str" cm="1">
        <f t="array" ref="F120">CHOOSE(GetCSVIndex(A2,129+756)+1,"","Station","Block","","Delay")</f>
        <v/>
      </c>
      <c r="G120" s="29" t="str" cm="1">
        <f t="array" ref="G120">GetCSVIndex(A2,130+756)</f>
        <v>0</v>
      </c>
      <c r="H120" s="45" t="str" cm="1">
        <f t="array" ref="H120">GetCSVIndex(A2,282+756)</f>
        <v>00:00:00</v>
      </c>
      <c r="I120" s="29" t="str" cm="1">
        <f t="array" ref="I120">GetCSVIndex(A2,345+756)</f>
        <v>00:00:00</v>
      </c>
      <c r="J120" s="29"/>
      <c r="K120" s="45">
        <v>64</v>
      </c>
      <c r="L120" s="29" t="str" cm="1">
        <f t="array" ref="L120">CHOOSE(GetCSVIndex(A2,225+756)+1,"","Station","Block","","Delay")</f>
        <v/>
      </c>
      <c r="M120" s="29" t="str" cm="1">
        <f t="array" ref="M120">GetCSVIndex(A2,226+756)</f>
        <v>0</v>
      </c>
      <c r="N120" s="27" t="str" cm="1">
        <f t="array" ref="N120">GetCSVIndex(A2,314+756)</f>
        <v>00:00:00</v>
      </c>
      <c r="O120" s="43" t="str" cm="1">
        <f t="array" ref="O120">GetCSVIndex(A2,377+756)</f>
        <v>00:00:00</v>
      </c>
    </row>
    <row r="121" spans="1:15" ht="23.25" customHeight="1" x14ac:dyDescent="0.25">
      <c r="A121" s="51" t="str" cm="1">
        <f t="array" ref="A121">CONCATENATE("Schedule  Program Number : ", GetCSVIndex(A2,5+1134))</f>
        <v>Schedule  Program Number : 4</v>
      </c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3"/>
    </row>
    <row r="122" spans="1:15" ht="21" customHeight="1" x14ac:dyDescent="0.25">
      <c r="A122" s="20" t="s">
        <v>44</v>
      </c>
      <c r="B122" s="22" t="str" cm="1">
        <f t="array" ref="B122">GetCSVIndex(A2,5+1134)</f>
        <v>4</v>
      </c>
      <c r="C122" s="18"/>
      <c r="D122" s="18"/>
      <c r="E122" s="18"/>
      <c r="F122" s="18"/>
      <c r="G122" s="18" t="s">
        <v>19</v>
      </c>
      <c r="H122" s="18" t="str" cm="1">
        <f t="array" ref="H122">CHOOSE(GetCSVIndex(A2,7+1134)+1, "Days of Week", "Odd/Even", "Interval","Manual")</f>
        <v>Days of Week</v>
      </c>
      <c r="I122" s="18"/>
      <c r="J122" s="15"/>
      <c r="K122" s="15"/>
      <c r="L122" s="15"/>
      <c r="M122" s="15"/>
      <c r="N122" s="15"/>
      <c r="O122" s="16"/>
    </row>
    <row r="123" spans="1:15" ht="18" customHeight="1" x14ac:dyDescent="0.25">
      <c r="A123" s="21" t="s">
        <v>20</v>
      </c>
      <c r="B123" s="19" t="str" cm="1">
        <f t="array" ref="B123">CHOOSE(GetCSVIndex(A2,24+1134)+1, "Program", "Global", "Monthly","Solar Sync")</f>
        <v>Global</v>
      </c>
      <c r="C123" s="19"/>
      <c r="D123" s="19"/>
      <c r="E123" s="19"/>
      <c r="F123" s="19" t="s">
        <v>21</v>
      </c>
      <c r="G123" s="19" t="str" cm="1">
        <f t="array" ref="G123">IF(CHOOSE(GetCSVIndex(A2,7+1134)+1,IF(_xlfn.BITAND(GetCSVIndex(A2,8+1134), 2^0)=0, 0, 1),IF(_xlfn.BITAND(GetCSVIndex(A2,9+1134), 2^0)=0, 0, 1),IF(_xlfn.BITAND(GetCSVIndex(A2,10+1134), 2^0)=0, 0, 1)) =1,"Mon","")</f>
        <v>Mon</v>
      </c>
      <c r="H123" s="19" t="str" cm="1">
        <f t="array" ref="H123">CONCATENATE(IF(CHOOSE(GetCSVIndex(A2,7+1134)+1,IF(_xlfn.BITAND(GetCSVIndex(A2,8+1134), 2^1)=0, 0, 1),IF(_xlfn.BITAND(GetCSVIndex(A2,9+1134), 2^1)=0, 0, 1),IF(_xlfn.BITAND(GetCSVIndex(A2,10+1134), 2^1)=0, 0, 1)) =1,"Tue       ","       "),IF(CHOOSE(GetCSVIndex(A2,7+1134)+1,IF(_xlfn.BITAND(GetCSVIndex(A2,8+1134), 2^2)=0, 0, 1),IF(_xlfn.BITAND(GetCSVIndex(A2,9+1134), 2^2)=0, 0, 1),IF(_xlfn.BITAND(GetCSVIndex(A2,10+1134), 2^2)=0, 0, 1)) =1,"Wed",""),IF(CHOOSE(GetCSVIndex(A2,7+1134)+1,IF(_xlfn.BITAND(GetCSVIndex(A2,8+1134), 2^3)=0, 0, 1),IF(_xlfn.BITAND(GetCSVIndex(A2,9+1134), 2^3)=0, 0, 1),IF(_xlfn.BITAND(GetCSVIndex(A2,10+1134), 2^3)=0, 0, 1)) =1,"       Thu","       "))</f>
        <v>Tue       Wed       Thu</v>
      </c>
      <c r="I123" s="32" t="str" cm="1">
        <f t="array" ref="I123">CONCATENATE(IF(CHOOSE(GetCSVIndex(A2,7+1134)+1,IF(_xlfn.BITAND(GetCSVIndex(A2,8+1134), 2^4)=0, 0, 1),IF(_xlfn.BITAND(GetCSVIndex(A2,9+1134), 2^4)=0, 0, 1),IF(_xlfn.BITAND(GetCSVIndex(A2,10+1134), 2^4)=0, 0, 1)) =1,"Fri       ","       "),IF(CHOOSE(GetCSVIndex(A2,7+1134)+1,IF(_xlfn.BITAND(GetCSVIndex(A2,8+1134), 2^5)=0, 0, 1),IF(_xlfn.BITAND(GetCSVIndex(A2,9+1134), 2^5)=0, 0, 1),IF(_xlfn.BITAND(GetCSVIndex(A2,10+1134), 2^5)=0, 0, 1)) =1,"Sat",""),IF(CHOOSE(GetCSVIndex(A2,7+1134)+1,IF(_xlfn.BITAND(GetCSVIndex(A2,8+1134), 2^6)=0, 0, 1),IF(_xlfn.BITAND(GetCSVIndex(A2,9+1134), 2^6)=0, 0, 1),IF(_xlfn.BITAND(GetCSVIndex(A2,10+1134), 2^6)=0, 0, 1)) =1,"       Sun","       "))</f>
        <v>Fri       Sat       Sun</v>
      </c>
      <c r="J123" s="19"/>
      <c r="K123" s="19"/>
      <c r="L123" s="32" t="s">
        <v>22</v>
      </c>
      <c r="M123" s="19"/>
      <c r="N123" s="19" t="str" cm="1">
        <f t="array" ref="N123">IF(GetCSVIndex(A2,26+1134)="1","Enable","Disable")</f>
        <v>Disable</v>
      </c>
      <c r="O123" s="24"/>
    </row>
    <row r="124" spans="1:15" ht="18" customHeight="1" x14ac:dyDescent="0.25">
      <c r="A124" s="21" t="str" cm="1">
        <f t="array" ref="A124">CONCATENATE("Program ", GetCSVIndex(A2,5+1134))</f>
        <v>Program 4</v>
      </c>
      <c r="B124" s="23" t="str" cm="1">
        <f t="array" ref="B124">CONCATENATE(GetCSVIndex(A2,25+1134)," %")</f>
        <v>100 %</v>
      </c>
      <c r="C124" s="19"/>
      <c r="D124" s="19"/>
      <c r="E124" s="19"/>
      <c r="F124" s="19" t="str" cm="1">
        <f t="array" ref="F124">IF(GetCSVIndex(A2,7)="2","Water Every"," ")</f>
        <v xml:space="preserve"> </v>
      </c>
      <c r="G124" s="47" t="str" cm="1">
        <f t="array" ref="G124">IF(GetCSVIndex(A2,7+1134)="2",GetCSVIndex(A2,11+1134)," ")</f>
        <v xml:space="preserve"> </v>
      </c>
      <c r="H124" s="19" t="str" cm="1">
        <f t="array" ref="H124">IF(GetCSVIndex(A2,7+1134)="2","Days"," ")</f>
        <v xml:space="preserve"> </v>
      </c>
      <c r="I124" s="32" t="str" cm="1">
        <f t="array" ref="I124">IF(GetCSVIndex(A2,7+1134)="2","Water After"," ")</f>
        <v xml:space="preserve"> </v>
      </c>
      <c r="J124" s="19"/>
      <c r="K124" s="19" t="str" cm="1">
        <f t="array" ref="K124">IF(GetCSVIndex(A2,7+1134)="2",GetCSVIndex(A2,12+1134)," ")</f>
        <v xml:space="preserve"> </v>
      </c>
      <c r="L124" s="47" t="str" cm="1">
        <f t="array" ref="L124">IF(GetCSVIndex(A2,7+1134)="2","Days"," ")</f>
        <v xml:space="preserve"> </v>
      </c>
      <c r="M124" s="32"/>
      <c r="N124" s="32"/>
      <c r="O124" s="24"/>
    </row>
    <row r="125" spans="1:15" ht="21" customHeight="1" x14ac:dyDescent="0.25">
      <c r="A125" s="20" t="s">
        <v>23</v>
      </c>
      <c r="B125" s="18" t="s">
        <v>24</v>
      </c>
      <c r="C125" s="18" t="str" cm="1">
        <f t="array" ref="C125">CHOOSE(GetCSVIndex(A2,13)+1, "Auto", "Start to End","Manual")</f>
        <v>Start to End</v>
      </c>
      <c r="D125" s="31"/>
      <c r="E125" s="17" t="s">
        <v>38</v>
      </c>
      <c r="F125" s="18" t="s">
        <v>39</v>
      </c>
      <c r="G125" s="18" t="s">
        <v>40</v>
      </c>
      <c r="H125" s="18" t="s">
        <v>41</v>
      </c>
      <c r="I125" s="18" t="s">
        <v>43</v>
      </c>
      <c r="J125" s="31"/>
      <c r="K125" s="17" t="s">
        <v>38</v>
      </c>
      <c r="L125" s="18" t="s">
        <v>39</v>
      </c>
      <c r="M125" s="18" t="s">
        <v>40</v>
      </c>
      <c r="N125" s="22" t="s">
        <v>41</v>
      </c>
      <c r="O125" s="44" t="s">
        <v>42</v>
      </c>
    </row>
    <row r="126" spans="1:15" ht="21" customHeight="1" x14ac:dyDescent="0.25">
      <c r="A126" s="36" t="s">
        <v>25</v>
      </c>
      <c r="B126" s="46" t="str" cm="1">
        <f t="array" ref="B126">IF(GetCSVIndex(A2,6+1134)="1","Over","Stack")</f>
        <v>Stack</v>
      </c>
      <c r="C126" s="26" t="str" cm="1">
        <f t="array" ref="C126">GetCSVIndex(A2,29+1134)</f>
        <v>1</v>
      </c>
      <c r="D126" s="25"/>
      <c r="E126" s="45">
        <v>1</v>
      </c>
      <c r="F126" s="29" t="str" cm="1">
        <f t="array" ref="F126">CHOOSE(GetCSVIndex(A2,36+1134)+1,"","Station","Block","","Delay")</f>
        <v/>
      </c>
      <c r="G126" s="29" t="str" cm="1">
        <f t="array" ref="G126">GetCSVIndex(A2,37+1134)</f>
        <v>0</v>
      </c>
      <c r="H126" s="45" t="str" cm="1">
        <f t="array" ref="H126">GetCSVIndex(A2,3+1134)</f>
        <v>00:00:00</v>
      </c>
      <c r="I126" s="29" t="str" cm="1">
        <f t="array" ref="I126">GetCSVIndex(A2,1+1134)</f>
        <v>00:00:00</v>
      </c>
      <c r="J126" s="25"/>
      <c r="K126" s="45">
        <v>33</v>
      </c>
      <c r="L126" s="29" t="str" cm="1">
        <f t="array" ref="L126">CHOOSE(GetCSVIndex(A2,132+1134)+1,"","Station","Block","","Delay")</f>
        <v/>
      </c>
      <c r="M126" s="29" t="str" cm="1">
        <f t="array" ref="M126">GetCSVIndex(A2,133+1134)</f>
        <v>0</v>
      </c>
      <c r="N126" s="27" t="str" cm="1">
        <f t="array" ref="N126">GetCSVIndex(A2,283+1134)</f>
        <v>00:00:00</v>
      </c>
      <c r="O126" s="43" t="str" cm="1">
        <f t="array" ref="O126">GetCSVIndex(A2,346+1134)</f>
        <v>00:00:00</v>
      </c>
    </row>
    <row r="127" spans="1:15" ht="21" customHeight="1" x14ac:dyDescent="0.25">
      <c r="A127" s="36" t="s">
        <v>26</v>
      </c>
      <c r="B127" s="25" t="str" cm="1">
        <f t="array" ref="B127">IF(GetCSVIndex(A2,2+1134)="1092:15","Not Set",CONCATENATE("From     ",GetCSVIndex(A2,2+1134)))</f>
        <v>Not Set</v>
      </c>
      <c r="C127" s="26" t="str" cm="1">
        <f t="array" ref="C127">IF(GetCSVIndex(C4,1+6)="1092:15","Not Set",CONCATENATE("To     ",GetCSVIndex(C4,1+6)))</f>
        <v>Not Set</v>
      </c>
      <c r="D127" s="25"/>
      <c r="E127" s="45">
        <v>2</v>
      </c>
      <c r="F127" s="29" t="str" cm="1">
        <f t="array" ref="F127">CHOOSE(GetCSVIndex(A2,39+1134)+1,"","Station","Block","","Delay")</f>
        <v/>
      </c>
      <c r="G127" s="29" t="str" cm="1">
        <f t="array" ref="G127">GetCSVIndex(A2,40+1134)</f>
        <v>0</v>
      </c>
      <c r="H127" s="45" t="str" cm="1">
        <f t="array" ref="H127">GetCSVIndex(A2,252+1134)</f>
        <v>00:00:00</v>
      </c>
      <c r="I127" s="29" t="str" cm="1">
        <f t="array" ref="I127">GetCSVIndex(A2,315+1134)</f>
        <v>00:00:00</v>
      </c>
      <c r="J127" s="25"/>
      <c r="K127" s="45">
        <v>34</v>
      </c>
      <c r="L127" s="29" t="str" cm="1">
        <f t="array" ref="L127">CHOOSE(GetCSVIndex(A2,135+1134)+1,"","Station","Block","","Delay")</f>
        <v/>
      </c>
      <c r="M127" s="29" t="str" cm="1">
        <f t="array" ref="M127">GetCSVIndex(A2,136+1134)</f>
        <v>0</v>
      </c>
      <c r="N127" s="27" t="str" cm="1">
        <f t="array" ref="N127">GetCSVIndex(A2,284+1134)</f>
        <v>00:00:00</v>
      </c>
      <c r="O127" s="43" t="str" cm="1">
        <f t="array" ref="O127">GetCSVIndex(A2,347+1134)</f>
        <v>00:00:00</v>
      </c>
    </row>
    <row r="128" spans="1:15" ht="21" customHeight="1" x14ac:dyDescent="0.25">
      <c r="A128" s="36" t="s">
        <v>27</v>
      </c>
      <c r="B128" s="25"/>
      <c r="C128" s="26" t="str" cm="1">
        <f t="array" ref="C128">CONCATENATE(GetCSVIndex(A2,249+1134),":", GetCSVIndex(A2,250+1134),":", GetCSVIndex(A2,251+1134))</f>
        <v>0:0:1</v>
      </c>
      <c r="D128" s="26"/>
      <c r="E128" s="45">
        <v>3</v>
      </c>
      <c r="F128" s="29" t="str" cm="1">
        <f t="array" ref="F128">CHOOSE(GetCSVIndex(A2,42+1134)+1,"","Station","Block","","Delay")</f>
        <v/>
      </c>
      <c r="G128" s="29" t="str" cm="1">
        <f t="array" ref="G128">GetCSVIndex(A2,43+1134)</f>
        <v>0</v>
      </c>
      <c r="H128" s="45" t="str" cm="1">
        <f t="array" ref="H128">GetCSVIndex(A2,253+1134)</f>
        <v>00:00:00</v>
      </c>
      <c r="I128" s="29" t="str" cm="1">
        <f t="array" ref="I128">GetCSVIndex(A2,316+1134)</f>
        <v>00:00:00</v>
      </c>
      <c r="J128" s="25"/>
      <c r="K128" s="45">
        <v>35</v>
      </c>
      <c r="L128" s="29" t="str" cm="1">
        <f t="array" ref="L128">CHOOSE(GetCSVIndex(A2,138+1134)+1,"","Station","Block","","Delay")</f>
        <v/>
      </c>
      <c r="M128" s="29" t="str" cm="1">
        <f t="array" ref="M128">GetCSVIndex(A2,139+1134)</f>
        <v>0</v>
      </c>
      <c r="N128" s="27" t="str" cm="1">
        <f t="array" ref="N128">GetCSVIndex(A2,285+1134)</f>
        <v>00:00:00</v>
      </c>
      <c r="O128" s="43" t="str" cm="1">
        <f t="array" ref="O128">GetCSVIndex(A2,348+1134)</f>
        <v>00:00:00</v>
      </c>
    </row>
    <row r="129" spans="1:15" ht="21" customHeight="1" x14ac:dyDescent="0.25">
      <c r="A129" s="36"/>
      <c r="B129" s="25"/>
      <c r="C129" s="25"/>
      <c r="D129" s="25"/>
      <c r="E129" s="45">
        <v>4</v>
      </c>
      <c r="F129" s="29" t="str" cm="1">
        <f t="array" ref="F129">CHOOSE(GetCSVIndex(A2,45+1134)+1,"","Station","Block","","Delay")</f>
        <v/>
      </c>
      <c r="G129" s="29" t="str" cm="1">
        <f t="array" ref="G129">GetCSVIndex(A2,46+1134)</f>
        <v>0</v>
      </c>
      <c r="H129" s="45" t="str" cm="1">
        <f t="array" ref="H129">GetCSVIndex(A2,254+1134)</f>
        <v>00:00:00</v>
      </c>
      <c r="I129" s="29" t="str" cm="1">
        <f t="array" ref="I129">GetCSVIndex(A2,317+1134)</f>
        <v>00:00:00</v>
      </c>
      <c r="J129" s="25"/>
      <c r="K129" s="45">
        <v>36</v>
      </c>
      <c r="L129" s="29" t="str" cm="1">
        <f t="array" ref="L129">CHOOSE(GetCSVIndex(A2,141+1134)+1,"","Station","Block","","Delay")</f>
        <v/>
      </c>
      <c r="M129" s="29" t="str" cm="1">
        <f t="array" ref="M129">GetCSVIndex(A2,142+1134)</f>
        <v>0</v>
      </c>
      <c r="N129" s="27" t="str" cm="1">
        <f t="array" ref="N129">GetCSVIndex(A2,286+1134)</f>
        <v>00:00:00</v>
      </c>
      <c r="O129" s="43" t="str" cm="1">
        <f t="array" ref="O129">GetCSVIndex(A2,349+1134)</f>
        <v>00:00:00</v>
      </c>
    </row>
    <row r="130" spans="1:15" ht="21" customHeight="1" x14ac:dyDescent="0.25">
      <c r="A130" s="37" t="s">
        <v>28</v>
      </c>
      <c r="B130" s="28"/>
      <c r="C130" s="29" t="str" cm="1">
        <f t="array" ref="C130">IF(GetCSVIndex(A2,14+1134)&lt;&gt;"65535",CONCATENATE(GetCSVIndex(A2,229+1134),":", GetCSVIndex(A2,239+1134)),"OFF")</f>
        <v>OFF</v>
      </c>
      <c r="D130" s="25"/>
      <c r="E130" s="45">
        <v>5</v>
      </c>
      <c r="F130" s="29" t="str" cm="1">
        <f t="array" ref="F130">CHOOSE(GetCSVIndex(A2,48+1134)+1,"","Station","Block","","Delay")</f>
        <v/>
      </c>
      <c r="G130" s="29" t="str" cm="1">
        <f t="array" ref="G130">GetCSVIndex(A2,49+1134)</f>
        <v>0</v>
      </c>
      <c r="H130" s="45" t="str" cm="1">
        <f t="array" ref="H130">GetCSVIndex(A2,255+1134)</f>
        <v>00:00:00</v>
      </c>
      <c r="I130" s="29" t="str" cm="1">
        <f t="array" ref="I130">GetCSVIndex(A2,318+1134)</f>
        <v>00:00:00</v>
      </c>
      <c r="J130" s="25"/>
      <c r="K130" s="45">
        <v>37</v>
      </c>
      <c r="L130" s="29" t="str" cm="1">
        <f t="array" ref="L130">CHOOSE(GetCSVIndex(A2,144+1134)+1,"","Station","Block","","Delay")</f>
        <v/>
      </c>
      <c r="M130" s="29" t="str" cm="1">
        <f t="array" ref="M130">GetCSVIndex(A2,145+1134)</f>
        <v>0</v>
      </c>
      <c r="N130" s="27" t="str" cm="1">
        <f t="array" ref="N130">GetCSVIndex(A2,287+1134)</f>
        <v>00:00:00</v>
      </c>
      <c r="O130" s="43" t="str" cm="1">
        <f t="array" ref="O130">GetCSVIndex(A2,350+1134)</f>
        <v>00:00:00</v>
      </c>
    </row>
    <row r="131" spans="1:15" ht="21" customHeight="1" x14ac:dyDescent="0.25">
      <c r="A131" s="38" t="s">
        <v>29</v>
      </c>
      <c r="B131" s="30"/>
      <c r="C131" s="29" t="str" cm="1">
        <f t="array" ref="C131">IF(GetCSVIndex(A2,15+1134)&lt;&gt;"65535",CONCATENATE(GetCSVIndex(A2,231+1134),":", GetCSVIndex(A2,241+1134)),"OFF")</f>
        <v>OFF</v>
      </c>
      <c r="D131" s="25"/>
      <c r="E131" s="45">
        <v>6</v>
      </c>
      <c r="F131" s="29" t="str" cm="1">
        <f t="array" ref="F131">CHOOSE(GetCSVIndex(A2,51+1134)+1,"","Station","Block","","Delay")</f>
        <v/>
      </c>
      <c r="G131" s="29" t="str" cm="1">
        <f t="array" ref="G131">GetCSVIndex(A2,52+1134)</f>
        <v>0</v>
      </c>
      <c r="H131" s="45" t="str" cm="1">
        <f t="array" ref="H131">GetCSVIndex(A2,256+1134)</f>
        <v>00:00:00</v>
      </c>
      <c r="I131" s="29" t="str" cm="1">
        <f t="array" ref="I131">GetCSVIndex(A2,319+1134)</f>
        <v>00:00:00</v>
      </c>
      <c r="J131" s="25"/>
      <c r="K131" s="45">
        <v>38</v>
      </c>
      <c r="L131" s="29" t="str" cm="1">
        <f t="array" ref="L131">CHOOSE(GetCSVIndex(A2,147+1134)+1,"","Station","Block","","Delay")</f>
        <v/>
      </c>
      <c r="M131" s="29" t="str" cm="1">
        <f t="array" ref="M131">GetCSVIndex(A2,148+1134)</f>
        <v>0</v>
      </c>
      <c r="N131" s="27" t="str" cm="1">
        <f t="array" ref="N131">GetCSVIndex(A2,288+1134)</f>
        <v>00:00:00</v>
      </c>
      <c r="O131" s="43" t="str" cm="1">
        <f t="array" ref="O131">GetCSVIndex(A2,351+1134)</f>
        <v>00:00:00</v>
      </c>
    </row>
    <row r="132" spans="1:15" ht="21" customHeight="1" x14ac:dyDescent="0.25">
      <c r="A132" s="38" t="s">
        <v>30</v>
      </c>
      <c r="B132" s="30"/>
      <c r="C132" s="29" t="str" cm="1">
        <f t="array" ref="C132">IF(GetCSVIndex(A2,16+1134)&lt;&gt;"65535",CONCATENATE(GetCSVIndex(A2,232+1134),":", GetCSVIndex(A2,242+1134)),"OFF")</f>
        <v>OFF</v>
      </c>
      <c r="D132" s="25"/>
      <c r="E132" s="45">
        <v>7</v>
      </c>
      <c r="F132" s="29" t="str" cm="1">
        <f t="array" ref="F132">CHOOSE(GetCSVIndex(A2,54+1134)+1,"","Station","Block","","Delay")</f>
        <v/>
      </c>
      <c r="G132" s="29" t="str" cm="1">
        <f t="array" ref="G132">GetCSVIndex(A2,55+1134)</f>
        <v>0</v>
      </c>
      <c r="H132" s="45" t="str" cm="1">
        <f t="array" ref="H132">GetCSVIndex(A2,257+1134)</f>
        <v>00:00:00</v>
      </c>
      <c r="I132" s="29" t="str" cm="1">
        <f t="array" ref="I132">GetCSVIndex(A2,320+1134)</f>
        <v>00:00:00</v>
      </c>
      <c r="J132" s="25"/>
      <c r="K132" s="45">
        <v>39</v>
      </c>
      <c r="L132" s="29" t="str" cm="1">
        <f t="array" ref="L132">CHOOSE(GetCSVIndex(A2,150+1134)+1,"","Station","Block","","Delay")</f>
        <v/>
      </c>
      <c r="M132" s="29" t="str" cm="1">
        <f t="array" ref="M132">GetCSVIndex(A2,151+1134)</f>
        <v>0</v>
      </c>
      <c r="N132" s="27" t="str" cm="1">
        <f t="array" ref="N132">GetCSVIndex(A2,289+1134)</f>
        <v>00:00:00</v>
      </c>
      <c r="O132" s="43" t="str" cm="1">
        <f t="array" ref="O132">GetCSVIndex(A2,352+1134)</f>
        <v>00:00:00</v>
      </c>
    </row>
    <row r="133" spans="1:15" ht="21" customHeight="1" x14ac:dyDescent="0.25">
      <c r="A133" s="38" t="s">
        <v>31</v>
      </c>
      <c r="B133" s="30"/>
      <c r="C133" s="29" t="str" cm="1">
        <f t="array" ref="C133">IF(GetCSVIndex(A2,17+1134)&lt;&gt;"65535",CONCATENATE(GetCSVIndex(A2,233+1134),":", GetCSVIndex(A2,243+1134)),"OFF")</f>
        <v>OFF</v>
      </c>
      <c r="D133" s="25"/>
      <c r="E133" s="45">
        <v>8</v>
      </c>
      <c r="F133" s="29" t="str" cm="1">
        <f t="array" ref="F133">CHOOSE(GetCSVIndex(A2,57+1134)+1,"","Station","Block","","Delay")</f>
        <v/>
      </c>
      <c r="G133" s="29" t="str" cm="1">
        <f t="array" ref="G133">GetCSVIndex(A2,58+1134)</f>
        <v>0</v>
      </c>
      <c r="H133" s="45" t="str" cm="1">
        <f t="array" ref="H133">GetCSVIndex(A2,258+1134)</f>
        <v>00:00:00</v>
      </c>
      <c r="I133" s="29" t="str" cm="1">
        <f t="array" ref="I133">GetCSVIndex(A2,321+1134)</f>
        <v>00:00:00</v>
      </c>
      <c r="J133" s="25"/>
      <c r="K133" s="45">
        <v>40</v>
      </c>
      <c r="L133" s="29" t="str" cm="1">
        <f t="array" ref="L133">CHOOSE(GetCSVIndex(A2,153+1134)+1,"","Station","Block","","Delay")</f>
        <v/>
      </c>
      <c r="M133" s="29" t="str" cm="1">
        <f t="array" ref="M133">GetCSVIndex(A2,154+1134)</f>
        <v>0</v>
      </c>
      <c r="N133" s="27" t="str" cm="1">
        <f t="array" ref="N133">GetCSVIndex(A2,290+1134)</f>
        <v>00:00:00</v>
      </c>
      <c r="O133" s="43" t="str" cm="1">
        <f t="array" ref="O133">GetCSVIndex(A2,353+1134)</f>
        <v>00:00:00</v>
      </c>
    </row>
    <row r="134" spans="1:15" ht="21" customHeight="1" x14ac:dyDescent="0.25">
      <c r="A134" s="38" t="s">
        <v>32</v>
      </c>
      <c r="B134" s="30"/>
      <c r="C134" s="29" t="str" cm="1">
        <f t="array" ref="C134">IF(GetCSVIndex(A2,18+1134)&lt;&gt;"65535",CONCATENATE(GetCSVIndex(A2,234+1134),":", GetCSVIndex(A2,244+1134)),"OFF")</f>
        <v>OFF</v>
      </c>
      <c r="D134" s="25"/>
      <c r="E134" s="45">
        <v>9</v>
      </c>
      <c r="F134" s="29" t="str" cm="1">
        <f t="array" ref="F134">CHOOSE(GetCSVIndex(A2,60+1134)+1,"","Station","Block","","Delay")</f>
        <v/>
      </c>
      <c r="G134" s="29" t="str" cm="1">
        <f t="array" ref="G134">GetCSVIndex(A2,61+1134)</f>
        <v>0</v>
      </c>
      <c r="H134" s="45" t="str" cm="1">
        <f t="array" ref="H134">GetCSVIndex(A2,259+1134)</f>
        <v>00:00:00</v>
      </c>
      <c r="I134" s="29" t="str" cm="1">
        <f t="array" ref="I134">GetCSVIndex(A2,322+1134)</f>
        <v>00:00:00</v>
      </c>
      <c r="J134" s="25"/>
      <c r="K134" s="45">
        <v>41</v>
      </c>
      <c r="L134" s="29" t="str" cm="1">
        <f t="array" ref="L134">CHOOSE(GetCSVIndex(A2,156+1134)+1,"","Station","Block","","Delay")</f>
        <v/>
      </c>
      <c r="M134" s="29" t="str" cm="1">
        <f t="array" ref="M134">GetCSVIndex(A2,157+1134)</f>
        <v>0</v>
      </c>
      <c r="N134" s="27" t="str" cm="1">
        <f t="array" ref="N134">GetCSVIndex(A2,291+1134)</f>
        <v>00:00:00</v>
      </c>
      <c r="O134" s="43" t="str" cm="1">
        <f t="array" ref="O134">GetCSVIndex(A2,354+1134)</f>
        <v>00:00:00</v>
      </c>
    </row>
    <row r="135" spans="1:15" ht="21" customHeight="1" x14ac:dyDescent="0.25">
      <c r="A135" s="38" t="s">
        <v>33</v>
      </c>
      <c r="B135" s="30"/>
      <c r="C135" s="29" t="str" cm="1">
        <f t="array" ref="C135">IF(GetCSVIndex(A2,19+1134)&lt;&gt;"65535",CONCATENATE(GetCSVIndex(A2,235+1134),":", GetCSVIndex(A2,245+1134)),"OFF")</f>
        <v>OFF</v>
      </c>
      <c r="D135" s="25"/>
      <c r="E135" s="45">
        <v>10</v>
      </c>
      <c r="F135" s="29" t="str" cm="1">
        <f t="array" ref="F135">CHOOSE(GetCSVIndex(A2,63+1134)+1,"","Station","Block","","Delay")</f>
        <v/>
      </c>
      <c r="G135" s="29" t="str" cm="1">
        <f t="array" ref="G135">GetCSVIndex(A2,64+1134)</f>
        <v>0</v>
      </c>
      <c r="H135" s="45" t="str" cm="1">
        <f t="array" ref="H135">GetCSVIndex(A2,260+1134)</f>
        <v>00:00:00</v>
      </c>
      <c r="I135" s="29" t="str" cm="1">
        <f t="array" ref="I135">GetCSVIndex(A2,323+1134)</f>
        <v>00:00:00</v>
      </c>
      <c r="J135" s="25"/>
      <c r="K135" s="45">
        <v>42</v>
      </c>
      <c r="L135" s="29" t="str" cm="1">
        <f t="array" ref="L135">CHOOSE(GetCSVIndex(A2,159+1134)+1,"","Station","Block","","Delay")</f>
        <v/>
      </c>
      <c r="M135" s="29" t="str" cm="1">
        <f t="array" ref="M135">GetCSVIndex(A2,160+1134)</f>
        <v>0</v>
      </c>
      <c r="N135" s="27" t="str" cm="1">
        <f t="array" ref="N135">GetCSVIndex(A2,292+1134)</f>
        <v>00:00:00</v>
      </c>
      <c r="O135" s="43" t="str" cm="1">
        <f t="array" ref="O135">GetCSVIndex(A2,355+1134)</f>
        <v>00:00:00</v>
      </c>
    </row>
    <row r="136" spans="1:15" ht="21" customHeight="1" x14ac:dyDescent="0.25">
      <c r="A136" s="38" t="s">
        <v>34</v>
      </c>
      <c r="B136" s="30"/>
      <c r="C136" s="29" t="str" cm="1">
        <f t="array" ref="C136">IF(GetCSVIndex(A2,20+1134)&lt;&gt;"65535",CONCATENATE(GetCSVIndex(A2,236+1134),":", GetCSVIndex(A2,246+1134)),"OFF")</f>
        <v>OFF</v>
      </c>
      <c r="D136" s="25"/>
      <c r="E136" s="45">
        <v>11</v>
      </c>
      <c r="F136" s="29" t="str" cm="1">
        <f t="array" ref="F136">CHOOSE(GetCSVIndex(A2,66+1134)+1,"","Station","Block","","Delay")</f>
        <v/>
      </c>
      <c r="G136" s="29" t="str" cm="1">
        <f t="array" ref="G136">GetCSVIndex(A2,67+1134)</f>
        <v>0</v>
      </c>
      <c r="H136" s="45" t="str" cm="1">
        <f t="array" ref="H136">GetCSVIndex(A2,261+1134)</f>
        <v>00:00:00</v>
      </c>
      <c r="I136" s="29" t="str" cm="1">
        <f t="array" ref="I136">GetCSVIndex(A2,324+1134)</f>
        <v>00:00:00</v>
      </c>
      <c r="J136" s="25"/>
      <c r="K136" s="45">
        <v>43</v>
      </c>
      <c r="L136" s="29" t="str" cm="1">
        <f t="array" ref="L136">CHOOSE(GetCSVIndex(A2,162+1134)+1,"","Station","Block","","Delay")</f>
        <v/>
      </c>
      <c r="M136" s="29" t="str" cm="1">
        <f t="array" ref="M136">GetCSVIndex(A2,163+1134)</f>
        <v>0</v>
      </c>
      <c r="N136" s="27" t="str" cm="1">
        <f t="array" ref="N136">GetCSVIndex(A2,293+1134)</f>
        <v>00:00:00</v>
      </c>
      <c r="O136" s="43" t="str" cm="1">
        <f t="array" ref="O136">GetCSVIndex(A2,356+1134)</f>
        <v>00:00:00</v>
      </c>
    </row>
    <row r="137" spans="1:15" ht="21" customHeight="1" x14ac:dyDescent="0.25">
      <c r="A137" s="38" t="s">
        <v>35</v>
      </c>
      <c r="B137" s="30"/>
      <c r="C137" s="29" t="str" cm="1">
        <f t="array" ref="C137">IF(GetCSVIndex(A2,21+1134)&lt;&gt;"65535",CONCATENATE(GetCSVIndex(A2,237+1134),":", GetCSVIndex(A2,247+1134)),"OFF")</f>
        <v>OFF</v>
      </c>
      <c r="D137" s="25"/>
      <c r="E137" s="45">
        <v>12</v>
      </c>
      <c r="F137" s="29" t="str" cm="1">
        <f t="array" ref="F137">CHOOSE(GetCSVIndex(A2,69+1134)+1,"","Station","Block","","Delay")</f>
        <v/>
      </c>
      <c r="G137" s="29" t="str" cm="1">
        <f t="array" ref="G137">GetCSVIndex(A2,70+1134)</f>
        <v>0</v>
      </c>
      <c r="H137" s="45" t="str" cm="1">
        <f t="array" ref="H137">GetCSVIndex(A2,262+1134)</f>
        <v>00:00:00</v>
      </c>
      <c r="I137" s="29" t="str" cm="1">
        <f t="array" ref="I137">GetCSVIndex(A2,325+1134)</f>
        <v>00:00:00</v>
      </c>
      <c r="J137" s="25"/>
      <c r="K137" s="45">
        <v>44</v>
      </c>
      <c r="L137" s="29" t="str" cm="1">
        <f t="array" ref="L137">CHOOSE(GetCSVIndex(A2,165+1134)+1,"","Station","Block","","Delay")</f>
        <v/>
      </c>
      <c r="M137" s="29" t="str" cm="1">
        <f t="array" ref="M137">GetCSVIndex(A2,166+1134)</f>
        <v>0</v>
      </c>
      <c r="N137" s="27" t="str" cm="1">
        <f t="array" ref="N137">GetCSVIndex(A2,294+1134)</f>
        <v>00:00:00</v>
      </c>
      <c r="O137" s="43" t="str" cm="1">
        <f t="array" ref="O137">GetCSVIndex(A2,357+1134)</f>
        <v>00:00:00</v>
      </c>
    </row>
    <row r="138" spans="1:15" ht="21" customHeight="1" x14ac:dyDescent="0.25">
      <c r="A138" s="38" t="s">
        <v>36</v>
      </c>
      <c r="B138" s="30"/>
      <c r="C138" s="29" t="str" cm="1">
        <f t="array" ref="C138">IF(GetCSVIndex(A2,22+1134)&lt;&gt;"65535",CONCATENATE(GetCSVIndex(A2,238+1134),":", GetCSVIndex(A2,248+1134)),"OFF")</f>
        <v>OFF</v>
      </c>
      <c r="D138" s="25"/>
      <c r="E138" s="45">
        <v>13</v>
      </c>
      <c r="F138" s="29" t="str" cm="1">
        <f t="array" ref="F138">CHOOSE(GetCSVIndex(A2,72+1134)+1,"","Station","Block","","Delay")</f>
        <v/>
      </c>
      <c r="G138" s="29" t="str" cm="1">
        <f t="array" ref="G138">GetCSVIndex(A2,73+1134)</f>
        <v>0</v>
      </c>
      <c r="H138" s="45" t="str" cm="1">
        <f t="array" ref="H138">GetCSVIndex(A2,263+1134)</f>
        <v>00:00:00</v>
      </c>
      <c r="I138" s="29" t="str" cm="1">
        <f t="array" ref="I138">GetCSVIndex(A2,326+1134)</f>
        <v>00:00:00</v>
      </c>
      <c r="J138" s="25"/>
      <c r="K138" s="45">
        <v>45</v>
      </c>
      <c r="L138" s="29" t="str" cm="1">
        <f t="array" ref="L138">CHOOSE(GetCSVIndex(A2,168+1134)+1,"","Station","Block","","Delay")</f>
        <v/>
      </c>
      <c r="M138" s="29" t="str" cm="1">
        <f t="array" ref="M138">GetCSVIndex(A2,169+1134)</f>
        <v>0</v>
      </c>
      <c r="N138" s="27" t="str" cm="1">
        <f t="array" ref="N138">GetCSVIndex(A2,295+1134)</f>
        <v>00:00:00</v>
      </c>
      <c r="O138" s="43" t="str" cm="1">
        <f t="array" ref="O138">GetCSVIndex(A2,358+1134)</f>
        <v>00:00:00</v>
      </c>
    </row>
    <row r="139" spans="1:15" ht="21" customHeight="1" x14ac:dyDescent="0.25">
      <c r="A139" s="36" t="s">
        <v>37</v>
      </c>
      <c r="B139" s="25"/>
      <c r="C139" s="29" t="str" cm="1">
        <f t="array" ref="C139">IF(GetCSVIndex(A2,23+1134)&lt;&gt;"65535",CONCATENATE(GetCSVIndex(A2,230+1134),":", GetCSVIndex(A2,240+1134)),"OFF")</f>
        <v>OFF</v>
      </c>
      <c r="D139" s="25"/>
      <c r="E139" s="45">
        <v>14</v>
      </c>
      <c r="F139" s="29" t="str" cm="1">
        <f t="array" ref="F139">CHOOSE(GetCSVIndex(A2,75+1134)+1,"","Station","Block","","Delay")</f>
        <v/>
      </c>
      <c r="G139" s="29" t="str" cm="1">
        <f t="array" ref="G139">GetCSVIndex(A2,76+1134)</f>
        <v>0</v>
      </c>
      <c r="H139" s="45" t="str" cm="1">
        <f t="array" ref="H139">GetCSVIndex(A2,264+1134)</f>
        <v>00:00:00</v>
      </c>
      <c r="I139" s="29" t="str" cm="1">
        <f t="array" ref="I139">GetCSVIndex(A2,327+1134)</f>
        <v>00:00:00</v>
      </c>
      <c r="J139" s="25"/>
      <c r="K139" s="45">
        <v>46</v>
      </c>
      <c r="L139" s="29" t="str" cm="1">
        <f t="array" ref="L139">CHOOSE(GetCSVIndex(A2,171+1134)+1,"","Station","Block","","Delay")</f>
        <v/>
      </c>
      <c r="M139" s="29" t="str" cm="1">
        <f t="array" ref="M139">GetCSVIndex(A2,172+1134)</f>
        <v>0</v>
      </c>
      <c r="N139" s="27" t="str" cm="1">
        <f t="array" ref="N139">GetCSVIndex(A2,296+1134)</f>
        <v>00:00:00</v>
      </c>
      <c r="O139" s="43" t="str" cm="1">
        <f t="array" ref="O139">GetCSVIndex(A2,359+1134)</f>
        <v>00:00:00</v>
      </c>
    </row>
    <row r="140" spans="1:15" ht="21" customHeight="1" x14ac:dyDescent="0.25">
      <c r="A140" s="39"/>
      <c r="B140" s="40"/>
      <c r="C140" s="41"/>
      <c r="D140" s="26"/>
      <c r="E140" s="45">
        <v>15</v>
      </c>
      <c r="F140" s="29" t="str" cm="1">
        <f t="array" ref="F140">CHOOSE(GetCSVIndex(A2,78+1134)+1,"","Station","Block","","Delay")</f>
        <v/>
      </c>
      <c r="G140" s="29" t="str" cm="1">
        <f t="array" ref="G140">GetCSVIndex(A2,79+1134)</f>
        <v>0</v>
      </c>
      <c r="H140" s="45" t="str" cm="1">
        <f t="array" ref="H140">GetCSVIndex(A2,265+1134)</f>
        <v>00:00:00</v>
      </c>
      <c r="I140" s="29" t="str" cm="1">
        <f t="array" ref="I140">GetCSVIndex(A2,328+1134)</f>
        <v>00:00:00</v>
      </c>
      <c r="J140" s="26"/>
      <c r="K140" s="45">
        <v>47</v>
      </c>
      <c r="L140" s="29" t="str" cm="1">
        <f t="array" ref="L140">CHOOSE(GetCSVIndex(A2,174+1134)+1,"","Station","Block","","Delay")</f>
        <v/>
      </c>
      <c r="M140" s="29" t="str" cm="1">
        <f t="array" ref="M140">GetCSVIndex(A2,175+1134)</f>
        <v>0</v>
      </c>
      <c r="N140" s="27" t="str" cm="1">
        <f t="array" ref="N140">GetCSVIndex(A2,297+1134)</f>
        <v>00:00:00</v>
      </c>
      <c r="O140" s="43" t="str" cm="1">
        <f t="array" ref="O140">GetCSVIndex(A2,360+1134)</f>
        <v>00:00:00</v>
      </c>
    </row>
    <row r="141" spans="1:15" ht="21" customHeight="1" x14ac:dyDescent="0.25">
      <c r="A141" s="42"/>
      <c r="B141" s="25"/>
      <c r="C141" s="25"/>
      <c r="D141" s="26"/>
      <c r="E141" s="45">
        <v>16</v>
      </c>
      <c r="F141" s="29" t="str" cm="1">
        <f t="array" ref="F141">CHOOSE(GetCSVIndex(A2,81+1134)+1,"","Station","Block","","Delay")</f>
        <v/>
      </c>
      <c r="G141" s="29" t="str" cm="1">
        <f t="array" ref="G141">GetCSVIndex(A2,82+1134)</f>
        <v>0</v>
      </c>
      <c r="H141" s="45" t="str" cm="1">
        <f t="array" ref="H141">GetCSVIndex(A2,266+1134)</f>
        <v>00:00:00</v>
      </c>
      <c r="I141" s="29" t="str" cm="1">
        <f t="array" ref="I141">GetCSVIndex(A2,329+1134)</f>
        <v>00:00:00</v>
      </c>
      <c r="J141" s="25"/>
      <c r="K141" s="45">
        <v>48</v>
      </c>
      <c r="L141" s="29" t="str" cm="1">
        <f t="array" ref="L141">CHOOSE(GetCSVIndex(A2,177+1134)+1,"","Station","Block","","Delay")</f>
        <v/>
      </c>
      <c r="M141" s="29" t="str" cm="1">
        <f t="array" ref="M141">GetCSVIndex(A2,178+1134)</f>
        <v>0</v>
      </c>
      <c r="N141" s="27" t="str" cm="1">
        <f t="array" ref="N141">GetCSVIndex(A2,298+1134)</f>
        <v>00:00:00</v>
      </c>
      <c r="O141" s="43" t="str" cm="1">
        <f t="array" ref="O141">GetCSVIndex(A2,361+1134)</f>
        <v>00:00:00</v>
      </c>
    </row>
    <row r="142" spans="1:15" ht="21" customHeight="1" x14ac:dyDescent="0.25">
      <c r="A142" s="42"/>
      <c r="B142" s="25"/>
      <c r="C142" s="25"/>
      <c r="D142" s="26"/>
      <c r="E142" s="45">
        <v>17</v>
      </c>
      <c r="F142" s="29" t="str" cm="1">
        <f t="array" ref="F142">CHOOSE(GetCSVIndex(A2,84+1134)+1,"","Station","Block","","Delay")</f>
        <v/>
      </c>
      <c r="G142" s="29" t="str" cm="1">
        <f t="array" ref="G142">GetCSVIndex(A2,85+1134)</f>
        <v>0</v>
      </c>
      <c r="H142" s="45" t="str" cm="1">
        <f t="array" ref="H142">GetCSVIndex(A2,267+1134)</f>
        <v>00:00:00</v>
      </c>
      <c r="I142" s="29" t="str" cm="1">
        <f t="array" ref="I142">GetCSVIndex(A2,330+1134)</f>
        <v>00:00:00</v>
      </c>
      <c r="J142" s="26"/>
      <c r="K142" s="45">
        <v>49</v>
      </c>
      <c r="L142" s="29" t="str" cm="1">
        <f t="array" ref="L142">CHOOSE(GetCSVIndex(A2,180+1134)+1,"","Station","Block","","Delay")</f>
        <v/>
      </c>
      <c r="M142" s="29" t="str" cm="1">
        <f t="array" ref="M142">GetCSVIndex(A2,181+1134)</f>
        <v>0</v>
      </c>
      <c r="N142" s="27" t="str" cm="1">
        <f t="array" ref="N142">GetCSVIndex(A2,299+1134)</f>
        <v>00:00:00</v>
      </c>
      <c r="O142" s="43" t="str" cm="1">
        <f t="array" ref="O142">GetCSVIndex(A2,362+1134)</f>
        <v>00:00:00</v>
      </c>
    </row>
    <row r="143" spans="1:15" ht="21" customHeight="1" x14ac:dyDescent="0.25">
      <c r="A143" s="42"/>
      <c r="B143" s="25"/>
      <c r="C143" s="25"/>
      <c r="D143" s="26"/>
      <c r="E143" s="45">
        <v>18</v>
      </c>
      <c r="F143" s="29" t="str" cm="1">
        <f t="array" ref="F143">CHOOSE(GetCSVIndex(A2,87+1134)+1,"","Station","Block","","Delay")</f>
        <v/>
      </c>
      <c r="G143" s="29" t="str" cm="1">
        <f t="array" ref="G143">GetCSVIndex(A2,88+1134)</f>
        <v>0</v>
      </c>
      <c r="H143" s="45" t="str" cm="1">
        <f t="array" ref="H143">GetCSVIndex(A2,268+1134)</f>
        <v>00:00:00</v>
      </c>
      <c r="I143" s="29" t="str" cm="1">
        <f t="array" ref="I143">GetCSVIndex(A2,331+1134)</f>
        <v>00:00:00</v>
      </c>
      <c r="J143" s="26"/>
      <c r="K143" s="45">
        <v>50</v>
      </c>
      <c r="L143" s="29" t="str" cm="1">
        <f t="array" ref="L143">CHOOSE(GetCSVIndex(A2,183+1134)+1,"","Station","Block","","Delay")</f>
        <v/>
      </c>
      <c r="M143" s="29" t="str" cm="1">
        <f t="array" ref="M143">GetCSVIndex(A2,184+1134)</f>
        <v>0</v>
      </c>
      <c r="N143" s="27" t="str" cm="1">
        <f t="array" ref="N143">GetCSVIndex(A2,300+1134)</f>
        <v>00:00:00</v>
      </c>
      <c r="O143" s="43" t="str" cm="1">
        <f t="array" ref="O143">GetCSVIndex(A2,363+1134)</f>
        <v>00:00:00</v>
      </c>
    </row>
    <row r="144" spans="1:15" ht="21" customHeight="1" x14ac:dyDescent="0.25">
      <c r="A144" s="42"/>
      <c r="B144" s="25"/>
      <c r="C144" s="25"/>
      <c r="D144" s="26"/>
      <c r="E144" s="45">
        <v>19</v>
      </c>
      <c r="F144" s="29" t="str" cm="1">
        <f t="array" ref="F144">CHOOSE(GetCSVIndex(A2,90+1134)+1,"","Station","Block","","Delay")</f>
        <v/>
      </c>
      <c r="G144" s="29" t="str" cm="1">
        <f t="array" ref="G144">GetCSVIndex(A2,91+1134)</f>
        <v>0</v>
      </c>
      <c r="H144" s="45" t="str" cm="1">
        <f t="array" ref="H144">GetCSVIndex(A2,269+1134)</f>
        <v>00:00:00</v>
      </c>
      <c r="I144" s="29" t="str" cm="1">
        <f t="array" ref="I144">GetCSVIndex(A2,332+1134)</f>
        <v>00:00:00</v>
      </c>
      <c r="J144" s="26"/>
      <c r="K144" s="45">
        <v>51</v>
      </c>
      <c r="L144" s="29" t="str" cm="1">
        <f t="array" ref="L144">CHOOSE(GetCSVIndex(A2,186+1134)+1,"","Station","Block","","Delay")</f>
        <v/>
      </c>
      <c r="M144" s="29" t="str" cm="1">
        <f t="array" ref="M144">GetCSVIndex(A2,187+1134)</f>
        <v>0</v>
      </c>
      <c r="N144" s="27" t="str" cm="1">
        <f t="array" ref="N144">GetCSVIndex(A2,301+1134)</f>
        <v>00:00:00</v>
      </c>
      <c r="O144" s="43" t="str" cm="1">
        <f t="array" ref="O144">GetCSVIndex(A2,364+1134)</f>
        <v>00:00:00</v>
      </c>
    </row>
    <row r="145" spans="1:15" ht="21" customHeight="1" x14ac:dyDescent="0.25">
      <c r="A145" s="42"/>
      <c r="B145" s="25"/>
      <c r="C145" s="25"/>
      <c r="D145" s="26"/>
      <c r="E145" s="45">
        <v>20</v>
      </c>
      <c r="F145" s="29" t="str" cm="1">
        <f t="array" ref="F145">CHOOSE(GetCSVIndex(A2,93+1134)+1,"","Station","Block","","Delay")</f>
        <v/>
      </c>
      <c r="G145" s="29" t="str" cm="1">
        <f t="array" ref="G145">GetCSVIndex(A2,94+1134)</f>
        <v>0</v>
      </c>
      <c r="H145" s="45" t="str" cm="1">
        <f t="array" ref="H145">GetCSVIndex(A2,270+1134)</f>
        <v>00:00:00</v>
      </c>
      <c r="I145" s="29" t="str" cm="1">
        <f t="array" ref="I145">GetCSVIndex(A2,333+1134)</f>
        <v>00:00:00</v>
      </c>
      <c r="J145" s="26"/>
      <c r="K145" s="45">
        <v>52</v>
      </c>
      <c r="L145" s="29" t="str" cm="1">
        <f t="array" ref="L145">CHOOSE(GetCSVIndex(A2,189+1134)+1,"","Station","Block","","Delay")</f>
        <v/>
      </c>
      <c r="M145" s="29" t="str" cm="1">
        <f t="array" ref="M145">GetCSVIndex(A2,190+1134)</f>
        <v>0</v>
      </c>
      <c r="N145" s="27" t="str" cm="1">
        <f t="array" ref="N145">GetCSVIndex(A2,302+1134)</f>
        <v>00:00:00</v>
      </c>
      <c r="O145" s="43" t="str" cm="1">
        <f t="array" ref="O145">GetCSVIndex(A2,365+1134)</f>
        <v>00:00:00</v>
      </c>
    </row>
    <row r="146" spans="1:15" ht="21" customHeight="1" x14ac:dyDescent="0.25">
      <c r="A146" s="42"/>
      <c r="B146" s="25"/>
      <c r="C146" s="25"/>
      <c r="D146" s="26"/>
      <c r="E146" s="45">
        <v>21</v>
      </c>
      <c r="F146" s="29" t="str" cm="1">
        <f t="array" ref="F146">CHOOSE(GetCSVIndex(A2,96+1134)+1,"","Station","Block","","Delay")</f>
        <v/>
      </c>
      <c r="G146" s="29" t="str" cm="1">
        <f t="array" ref="G146">GetCSVIndex(A2,97+1134)</f>
        <v>0</v>
      </c>
      <c r="H146" s="45" t="str" cm="1">
        <f t="array" ref="H146">GetCSVIndex(A2,271+1134)</f>
        <v>00:00:00</v>
      </c>
      <c r="I146" s="29" t="str" cm="1">
        <f t="array" ref="I146">GetCSVIndex(A2,334+1134)</f>
        <v>00:00:00</v>
      </c>
      <c r="J146" s="26"/>
      <c r="K146" s="45">
        <v>53</v>
      </c>
      <c r="L146" s="29" t="str" cm="1">
        <f t="array" ref="L146">CHOOSE(GetCSVIndex(A2,192+1134)+1,"","Station","Block","","Delay")</f>
        <v/>
      </c>
      <c r="M146" s="29" t="str" cm="1">
        <f t="array" ref="M146">GetCSVIndex(A2,193+1134)</f>
        <v>0</v>
      </c>
      <c r="N146" s="27" t="str" cm="1">
        <f t="array" ref="N146">GetCSVIndex(A2,303+1134)</f>
        <v>00:00:00</v>
      </c>
      <c r="O146" s="43" t="str" cm="1">
        <f t="array" ref="O146">GetCSVIndex(A2,366+1134)</f>
        <v>00:00:00</v>
      </c>
    </row>
    <row r="147" spans="1:15" ht="21" customHeight="1" x14ac:dyDescent="0.25">
      <c r="A147" s="42"/>
      <c r="B147" s="25"/>
      <c r="C147" s="25"/>
      <c r="D147" s="26"/>
      <c r="E147" s="45">
        <v>22</v>
      </c>
      <c r="F147" s="29" t="str" cm="1">
        <f t="array" ref="F147">CHOOSE(GetCSVIndex(A2,99+1134)+1,"","Station","Block","","Delay")</f>
        <v/>
      </c>
      <c r="G147" s="29" t="str" cm="1">
        <f t="array" ref="G147">GetCSVIndex(A2,100+1134)</f>
        <v>0</v>
      </c>
      <c r="H147" s="45" t="str" cm="1">
        <f t="array" ref="H147">GetCSVIndex(A2,272+1134)</f>
        <v>00:00:00</v>
      </c>
      <c r="I147" s="29" t="str" cm="1">
        <f t="array" ref="I147">GetCSVIndex(A2,335+1134)</f>
        <v>00:00:00</v>
      </c>
      <c r="J147" s="26"/>
      <c r="K147" s="45">
        <v>54</v>
      </c>
      <c r="L147" s="29" t="str" cm="1">
        <f t="array" ref="L147">CHOOSE(GetCSVIndex(A2,195+1134)+1,"","Station","Block","","Delay")</f>
        <v/>
      </c>
      <c r="M147" s="29" t="str" cm="1">
        <f t="array" ref="M147">GetCSVIndex(A2,196+1134)</f>
        <v>0</v>
      </c>
      <c r="N147" s="27" t="str" cm="1">
        <f t="array" ref="N147">GetCSVIndex(A2,304+1134)</f>
        <v>00:00:00</v>
      </c>
      <c r="O147" s="43" t="str" cm="1">
        <f t="array" ref="O147">GetCSVIndex(A2,367+1134)</f>
        <v>00:00:00</v>
      </c>
    </row>
    <row r="148" spans="1:15" ht="21" customHeight="1" x14ac:dyDescent="0.25">
      <c r="A148" s="42"/>
      <c r="B148" s="25"/>
      <c r="C148" s="25"/>
      <c r="D148" s="26"/>
      <c r="E148" s="45">
        <v>23</v>
      </c>
      <c r="F148" s="29" t="str" cm="1">
        <f t="array" ref="F148">CHOOSE(GetCSVIndex(A2,102+1134)+1,"","Station","Block","","Delay")</f>
        <v/>
      </c>
      <c r="G148" s="29" t="str" cm="1">
        <f t="array" ref="G148">GetCSVIndex(A2,103+1134)</f>
        <v>0</v>
      </c>
      <c r="H148" s="45" t="str" cm="1">
        <f t="array" ref="H148">GetCSVIndex(A2,273+1134)</f>
        <v>00:00:00</v>
      </c>
      <c r="I148" s="29" t="str" cm="1">
        <f t="array" ref="I148">GetCSVIndex(A2,336+1134)</f>
        <v>00:00:00</v>
      </c>
      <c r="J148" s="26"/>
      <c r="K148" s="45">
        <v>55</v>
      </c>
      <c r="L148" s="29" t="str" cm="1">
        <f t="array" ref="L148">CHOOSE(GetCSVIndex(A2,198+1134)+1,"","Station","Block","","Delay")</f>
        <v/>
      </c>
      <c r="M148" s="29" t="str" cm="1">
        <f t="array" ref="M148">GetCSVIndex(A2,199+1134)</f>
        <v>0</v>
      </c>
      <c r="N148" s="27" t="str" cm="1">
        <f t="array" ref="N148">GetCSVIndex(A2,305+1134)</f>
        <v>00:00:00</v>
      </c>
      <c r="O148" s="43" t="str" cm="1">
        <f t="array" ref="O148">GetCSVIndex(A2,368+1134)</f>
        <v>00:00:00</v>
      </c>
    </row>
    <row r="149" spans="1:15" ht="21" customHeight="1" x14ac:dyDescent="0.25">
      <c r="A149" s="42"/>
      <c r="B149" s="25"/>
      <c r="C149" s="25"/>
      <c r="D149" s="26"/>
      <c r="E149" s="45">
        <v>24</v>
      </c>
      <c r="F149" s="29" t="str" cm="1">
        <f t="array" ref="F149">CHOOSE(GetCSVIndex(A2,105+1134)+1,"","Station","Block","","Delay")</f>
        <v/>
      </c>
      <c r="G149" s="29" t="str" cm="1">
        <f t="array" ref="G149">GetCSVIndex(A2,106+1134)</f>
        <v>0</v>
      </c>
      <c r="H149" s="45" t="str" cm="1">
        <f t="array" ref="H149">GetCSVIndex(A2,274+1134)</f>
        <v>00:00:00</v>
      </c>
      <c r="I149" s="29" t="str" cm="1">
        <f t="array" ref="I149">GetCSVIndex(A2,337+1134)</f>
        <v>00:00:00</v>
      </c>
      <c r="J149" s="26"/>
      <c r="K149" s="45">
        <v>56</v>
      </c>
      <c r="L149" s="29" t="str" cm="1">
        <f t="array" ref="L149">CHOOSE(GetCSVIndex(A2,201+1134)+1,"","Station","Block","","Delay")</f>
        <v/>
      </c>
      <c r="M149" s="29" t="str" cm="1">
        <f t="array" ref="M149">GetCSVIndex(A2,202+1134)</f>
        <v>0</v>
      </c>
      <c r="N149" s="27" t="str" cm="1">
        <f t="array" ref="N149">GetCSVIndex(A2,306+1134)</f>
        <v>00:00:00</v>
      </c>
      <c r="O149" s="43" t="str" cm="1">
        <f t="array" ref="O149">GetCSVIndex(A2,369+1134)</f>
        <v>00:00:00</v>
      </c>
    </row>
    <row r="150" spans="1:15" ht="21" customHeight="1" x14ac:dyDescent="0.25">
      <c r="A150" s="42"/>
      <c r="B150" s="25"/>
      <c r="C150" s="25"/>
      <c r="D150" s="26"/>
      <c r="E150" s="45">
        <v>25</v>
      </c>
      <c r="F150" s="29" t="str" cm="1">
        <f t="array" ref="F150">CHOOSE(GetCSVIndex(A2,108+1134)+1,"","Station","Block","","Delay")</f>
        <v/>
      </c>
      <c r="G150" s="29" t="str" cm="1">
        <f t="array" ref="G150">GetCSVIndex(A2,109+1134)</f>
        <v>0</v>
      </c>
      <c r="H150" s="45" t="str" cm="1">
        <f t="array" ref="H150">GetCSVIndex(A2,275+1134)</f>
        <v>00:00:00</v>
      </c>
      <c r="I150" s="29" t="str" cm="1">
        <f t="array" ref="I150">GetCSVIndex(A2,338+1134)</f>
        <v>00:00:00</v>
      </c>
      <c r="J150" s="26"/>
      <c r="K150" s="45">
        <v>57</v>
      </c>
      <c r="L150" s="29" t="str" cm="1">
        <f t="array" ref="L150">CHOOSE(GetCSVIndex(A2,204+1134)+1,"","Station","Block","","Delay")</f>
        <v/>
      </c>
      <c r="M150" s="29" t="str" cm="1">
        <f t="array" ref="M150">GetCSVIndex(A2,205+1134)</f>
        <v>0</v>
      </c>
      <c r="N150" s="27" t="str" cm="1">
        <f t="array" ref="N150">GetCSVIndex(A2,307+1134)</f>
        <v>00:00:00</v>
      </c>
      <c r="O150" s="43" t="str" cm="1">
        <f t="array" ref="O150">GetCSVIndex(A2,370+1134)</f>
        <v>00:00:00</v>
      </c>
    </row>
    <row r="151" spans="1:15" ht="21" customHeight="1" x14ac:dyDescent="0.25">
      <c r="A151" s="42"/>
      <c r="B151" s="25"/>
      <c r="C151" s="25"/>
      <c r="D151" s="26"/>
      <c r="E151" s="45">
        <v>26</v>
      </c>
      <c r="F151" s="29" t="str" cm="1">
        <f t="array" ref="F151">CHOOSE(GetCSVIndex(A2,111+1134)+1,"","Station","Block","","Delay")</f>
        <v/>
      </c>
      <c r="G151" s="29" t="str" cm="1">
        <f t="array" ref="G151">GetCSVIndex(A2,112+1134)</f>
        <v>0</v>
      </c>
      <c r="H151" s="45" t="str" cm="1">
        <f t="array" ref="H151">GetCSVIndex(A2,276+1134)</f>
        <v>00:00:00</v>
      </c>
      <c r="I151" s="29" t="str" cm="1">
        <f t="array" ref="I151">GetCSVIndex(A2,339+1134)</f>
        <v>00:00:00</v>
      </c>
      <c r="J151" s="26"/>
      <c r="K151" s="45">
        <v>58</v>
      </c>
      <c r="L151" s="29" t="str" cm="1">
        <f t="array" ref="L151">CHOOSE(GetCSVIndex(A2,207+1134)+1,"","Station","Block","","Delay")</f>
        <v/>
      </c>
      <c r="M151" s="29" t="str" cm="1">
        <f t="array" ref="M151">GetCSVIndex(A2,208+1134)</f>
        <v>0</v>
      </c>
      <c r="N151" s="27" t="str" cm="1">
        <f t="array" ref="N151">GetCSVIndex(A2,308+1134)</f>
        <v>00:00:00</v>
      </c>
      <c r="O151" s="43" t="str" cm="1">
        <f t="array" ref="O151">GetCSVIndex(A2,371+1134)</f>
        <v>00:00:00</v>
      </c>
    </row>
    <row r="152" spans="1:15" ht="21" customHeight="1" x14ac:dyDescent="0.25">
      <c r="A152" s="42"/>
      <c r="B152" s="25"/>
      <c r="C152" s="25"/>
      <c r="D152" s="26"/>
      <c r="E152" s="45">
        <v>27</v>
      </c>
      <c r="F152" s="29" t="str" cm="1">
        <f t="array" ref="F152">CHOOSE(GetCSVIndex(A2,114+1134)+1,"","Station","Block","","Delay")</f>
        <v/>
      </c>
      <c r="G152" s="29" t="str" cm="1">
        <f t="array" ref="G152">GetCSVIndex(A2,115+1134)</f>
        <v>0</v>
      </c>
      <c r="H152" s="45" t="str" cm="1">
        <f t="array" ref="H152">GetCSVIndex(A2,277+1134)</f>
        <v>00:00:00</v>
      </c>
      <c r="I152" s="29" t="str" cm="1">
        <f t="array" ref="I152">GetCSVIndex(A2,340+1134)</f>
        <v>00:00:00</v>
      </c>
      <c r="J152" s="26"/>
      <c r="K152" s="45">
        <v>59</v>
      </c>
      <c r="L152" s="29" t="str" cm="1">
        <f t="array" ref="L152">CHOOSE(GetCSVIndex(A2,210+1134)+1,"","Station","Block","","Delay")</f>
        <v/>
      </c>
      <c r="M152" s="29" t="str" cm="1">
        <f t="array" ref="M152">GetCSVIndex(A2,211+1134)</f>
        <v>0</v>
      </c>
      <c r="N152" s="27" t="str" cm="1">
        <f t="array" ref="N152">GetCSVIndex(A2,309+1134)</f>
        <v>00:00:00</v>
      </c>
      <c r="O152" s="43" t="str" cm="1">
        <f t="array" ref="O152">GetCSVIndex(A2,372+1134)</f>
        <v>00:00:00</v>
      </c>
    </row>
    <row r="153" spans="1:15" ht="21" customHeight="1" x14ac:dyDescent="0.25">
      <c r="A153" s="42"/>
      <c r="B153" s="25"/>
      <c r="C153" s="25"/>
      <c r="D153" s="26"/>
      <c r="E153" s="45">
        <v>28</v>
      </c>
      <c r="F153" s="29" t="str" cm="1">
        <f t="array" ref="F153">CHOOSE(GetCSVIndex(A2,117+1134)+1,"","Station","Block","","Delay")</f>
        <v/>
      </c>
      <c r="G153" s="29" t="str" cm="1">
        <f t="array" ref="G153">GetCSVIndex(A2,118+1134)</f>
        <v>0</v>
      </c>
      <c r="H153" s="45" t="str" cm="1">
        <f t="array" ref="H153">GetCSVIndex(A2,278+1134)</f>
        <v>00:00:00</v>
      </c>
      <c r="I153" s="29" t="str" cm="1">
        <f t="array" ref="I153">GetCSVIndex(A2,341+1134)</f>
        <v>00:00:00</v>
      </c>
      <c r="J153" s="26"/>
      <c r="K153" s="45">
        <v>60</v>
      </c>
      <c r="L153" s="29" t="str" cm="1">
        <f t="array" ref="L153">CHOOSE(GetCSVIndex(A2,213+1134)+1,"","Station","Block","","Delay")</f>
        <v/>
      </c>
      <c r="M153" s="29" t="str" cm="1">
        <f t="array" ref="M153">GetCSVIndex(A2,214+1134)</f>
        <v>0</v>
      </c>
      <c r="N153" s="27" t="str" cm="1">
        <f t="array" ref="N153">GetCSVIndex(A2,310+1134)</f>
        <v>00:00:00</v>
      </c>
      <c r="O153" s="43" t="str" cm="1">
        <f t="array" ref="O153">GetCSVIndex(A2,373+1134)</f>
        <v>00:00:00</v>
      </c>
    </row>
    <row r="154" spans="1:15" ht="21" customHeight="1" x14ac:dyDescent="0.25">
      <c r="A154" s="42"/>
      <c r="B154" s="25"/>
      <c r="C154" s="25"/>
      <c r="D154" s="26"/>
      <c r="E154" s="45">
        <v>29</v>
      </c>
      <c r="F154" s="29" t="str" cm="1">
        <f t="array" ref="F154">CHOOSE(GetCSVIndex(A2,120+1134)+1,"","Station","Block","","Delay")</f>
        <v/>
      </c>
      <c r="G154" s="29" t="str" cm="1">
        <f t="array" ref="G154">GetCSVIndex(A2,121+1134)</f>
        <v>0</v>
      </c>
      <c r="H154" s="45" t="str" cm="1">
        <f t="array" ref="H154">GetCSVIndex(A2,279+1134)</f>
        <v>00:00:00</v>
      </c>
      <c r="I154" s="29" t="str" cm="1">
        <f t="array" ref="I154">GetCSVIndex(A2,342+1134)</f>
        <v>00:00:00</v>
      </c>
      <c r="J154" s="26"/>
      <c r="K154" s="45">
        <v>61</v>
      </c>
      <c r="L154" s="29" t="str" cm="1">
        <f t="array" ref="L154">CHOOSE(GetCSVIndex(A2,216+1134)+1,"","Station","Block","","Delay")</f>
        <v/>
      </c>
      <c r="M154" s="29" t="str" cm="1">
        <f t="array" ref="M154">GetCSVIndex(A2,217+1134)</f>
        <v>0</v>
      </c>
      <c r="N154" s="27" t="str" cm="1">
        <f t="array" ref="N154">GetCSVIndex(A2,311+1134)</f>
        <v>00:00:00</v>
      </c>
      <c r="O154" s="43" t="str" cm="1">
        <f t="array" ref="O154">GetCSVIndex(A2,374+1134)</f>
        <v>00:00:00</v>
      </c>
    </row>
    <row r="155" spans="1:15" ht="21" customHeight="1" x14ac:dyDescent="0.25">
      <c r="A155" s="42"/>
      <c r="B155" s="25"/>
      <c r="C155" s="25"/>
      <c r="D155" s="26"/>
      <c r="E155" s="45">
        <v>30</v>
      </c>
      <c r="F155" s="29" t="str" cm="1">
        <f t="array" ref="F155">CHOOSE(GetCSVIndex(A2,123+1134)+1,"","Station","Block","","Delay")</f>
        <v/>
      </c>
      <c r="G155" s="29" t="str" cm="1">
        <f t="array" ref="G155">GetCSVIndex(A2,124+1134)</f>
        <v>0</v>
      </c>
      <c r="H155" s="45" t="str" cm="1">
        <f t="array" ref="H155">GetCSVIndex(A2,280+1134)</f>
        <v>00:00:00</v>
      </c>
      <c r="I155" s="29" t="str" cm="1">
        <f t="array" ref="I155">GetCSVIndex(A2,343+1134)</f>
        <v>00:00:00</v>
      </c>
      <c r="J155" s="26"/>
      <c r="K155" s="45">
        <v>62</v>
      </c>
      <c r="L155" s="29" t="str" cm="1">
        <f t="array" ref="L155">CHOOSE(GetCSVIndex(A2,219+1134)+1,"","Station","Block","","Delay")</f>
        <v/>
      </c>
      <c r="M155" s="29" t="str" cm="1">
        <f t="array" ref="M155">GetCSVIndex(A2,220+1134)</f>
        <v>0</v>
      </c>
      <c r="N155" s="27" t="str" cm="1">
        <f t="array" ref="N155">GetCSVIndex(A2,312+1134)</f>
        <v>00:00:00</v>
      </c>
      <c r="O155" s="43" t="str" cm="1">
        <f t="array" ref="O155">GetCSVIndex(A2,375+1134)</f>
        <v>00:00:00</v>
      </c>
    </row>
    <row r="156" spans="1:15" ht="21" customHeight="1" x14ac:dyDescent="0.25">
      <c r="A156" s="42"/>
      <c r="B156" s="25"/>
      <c r="C156" s="25"/>
      <c r="D156" s="26"/>
      <c r="E156" s="45">
        <v>31</v>
      </c>
      <c r="F156" s="29" t="str" cm="1">
        <f t="array" ref="F156">CHOOSE(GetCSVIndex(A2,126+1134)+1,"","Station","Block","","Delay")</f>
        <v/>
      </c>
      <c r="G156" s="29" t="str" cm="1">
        <f t="array" ref="G156">GetCSVIndex(A2,127+1134)</f>
        <v>0</v>
      </c>
      <c r="H156" s="45" t="str" cm="1">
        <f t="array" ref="H156">GetCSVIndex(A2,281+1134)</f>
        <v>00:00:00</v>
      </c>
      <c r="I156" s="29" t="str" cm="1">
        <f t="array" ref="I156">GetCSVIndex(A2,344+1134)</f>
        <v>00:00:00</v>
      </c>
      <c r="J156" s="26"/>
      <c r="K156" s="45">
        <v>63</v>
      </c>
      <c r="L156" s="29" t="str" cm="1">
        <f t="array" ref="L156">CHOOSE(GetCSVIndex(A2,222+1134)+1,"","Station","Block","","Delay")</f>
        <v/>
      </c>
      <c r="M156" s="29" t="str" cm="1">
        <f t="array" ref="M156">GetCSVIndex(A2,223+1134)</f>
        <v>0</v>
      </c>
      <c r="N156" s="27" t="str" cm="1">
        <f t="array" ref="N156">GetCSVIndex(A2,313+1134)</f>
        <v>00:00:00</v>
      </c>
      <c r="O156" s="43" t="str" cm="1">
        <f t="array" ref="O156">GetCSVIndex(A2,376+1134)</f>
        <v>00:00:00</v>
      </c>
    </row>
    <row r="157" spans="1:15" ht="21" customHeight="1" x14ac:dyDescent="0.25">
      <c r="A157" s="37"/>
      <c r="B157" s="28"/>
      <c r="C157" s="29"/>
      <c r="D157" s="29"/>
      <c r="E157" s="45">
        <v>32</v>
      </c>
      <c r="F157" s="29" t="str" cm="1">
        <f t="array" ref="F157">CHOOSE(GetCSVIndex(A2,129+1134)+1,"","Station","Block","","Delay")</f>
        <v/>
      </c>
      <c r="G157" s="29" t="str" cm="1">
        <f t="array" ref="G157">GetCSVIndex(A2,130+1134)</f>
        <v>0</v>
      </c>
      <c r="H157" s="45" t="str" cm="1">
        <f t="array" ref="H157">GetCSVIndex(A2,282+1134)</f>
        <v>00:00:00</v>
      </c>
      <c r="I157" s="29" t="str" cm="1">
        <f t="array" ref="I157">GetCSVIndex(A2,345+1134)</f>
        <v>00:00:00</v>
      </c>
      <c r="J157" s="29"/>
      <c r="K157" s="45">
        <v>64</v>
      </c>
      <c r="L157" s="29" t="str" cm="1">
        <f t="array" ref="L157">CHOOSE(GetCSVIndex(A2,225+1134)+1,"","Station","Block","","Delay")</f>
        <v/>
      </c>
      <c r="M157" s="29" t="str" cm="1">
        <f t="array" ref="M157">GetCSVIndex(A2,226+1134)</f>
        <v>0</v>
      </c>
      <c r="N157" s="27" t="str" cm="1">
        <f t="array" ref="N157">GetCSVIndex(A2,314+1134)</f>
        <v>00:00:00</v>
      </c>
      <c r="O157" s="43" t="str" cm="1">
        <f t="array" ref="O157">GetCSVIndex(A2,377+1134)</f>
        <v>00:00:00</v>
      </c>
    </row>
    <row r="158" spans="1:15" ht="23.25" customHeight="1" x14ac:dyDescent="0.25">
      <c r="A158" s="51" t="str" cm="1">
        <f t="array" ref="A158">CONCATENATE("Schedule  Program Number : ", GetCSVIndex(A2,5+1512))</f>
        <v xml:space="preserve">Schedule  Program Number : </v>
      </c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3"/>
    </row>
    <row r="159" spans="1:15" ht="21" customHeight="1" x14ac:dyDescent="0.25">
      <c r="A159" s="20" t="s">
        <v>44</v>
      </c>
      <c r="B159" s="22" t="str" cm="1">
        <f t="array" ref="B159">GetCSVIndex(A2,5+1512)</f>
        <v/>
      </c>
      <c r="C159" s="18"/>
      <c r="D159" s="18"/>
      <c r="E159" s="18"/>
      <c r="F159" s="18"/>
      <c r="G159" s="18" t="s">
        <v>19</v>
      </c>
      <c r="H159" s="18" t="e" cm="1">
        <f t="array" ref="H159">CHOOSE(GetCSVIndex(A2,7+1512)+1, "Days of Week", "Odd/Even", "Interval","Manual")</f>
        <v>#VALUE!</v>
      </c>
      <c r="I159" s="18"/>
      <c r="J159" s="15"/>
      <c r="K159" s="15"/>
      <c r="L159" s="15"/>
      <c r="M159" s="15"/>
      <c r="N159" s="15"/>
      <c r="O159" s="16"/>
    </row>
    <row r="160" spans="1:15" ht="18" customHeight="1" x14ac:dyDescent="0.25">
      <c r="A160" s="21" t="s">
        <v>20</v>
      </c>
      <c r="B160" s="19" t="e" cm="1">
        <f t="array" ref="B160">CHOOSE(GetCSVIndex(A2,24+1512)+1, "Program", "Global", "Monthly","Solar Sync")</f>
        <v>#VALUE!</v>
      </c>
      <c r="C160" s="19"/>
      <c r="D160" s="19"/>
      <c r="E160" s="19"/>
      <c r="F160" s="19" t="s">
        <v>21</v>
      </c>
      <c r="G160" s="19" t="e" cm="1">
        <f t="array" ref="G160">IF(CHOOSE(GetCSVIndex(A2,7+1512)+1,IF(_xlfn.BITAND(GetCSVIndex(A2,8+1512), 2^0)=0, 0, 1),IF(_xlfn.BITAND(GetCSVIndex(A2,9+1512), 2^0)=0, 0, 1),IF(_xlfn.BITAND(GetCSVIndex(A2,10+1512), 2^0)=0, 0, 1)) =1,"Mon","")</f>
        <v>#VALUE!</v>
      </c>
      <c r="H160" s="19" t="e" cm="1">
        <f t="array" ref="H160">CONCATENATE(IF(CHOOSE(GetCSVIndex(A2,7+1512)+1,IF(_xlfn.BITAND(GetCSVIndex(A2,8+1512), 2^1)=0, 0, 1),IF(_xlfn.BITAND(GetCSVIndex(A2,9+1512), 2^1)=0, 0, 1),IF(_xlfn.BITAND(GetCSVIndex(A2,10+1512), 2^1)=0, 0, 1)) =1,"Tue       ","       "),IF(CHOOSE(GetCSVIndex(A2,7+1512)+1,IF(_xlfn.BITAND(GetCSVIndex(A2,8+1512), 2^2)=0, 0, 1),IF(_xlfn.BITAND(GetCSVIndex(A2,9+1512), 2^2)=0, 0, 1),IF(_xlfn.BITAND(GetCSVIndex(A2,10+1512), 2^2)=0, 0, 1)) =1,"Wed",""),IF(CHOOSE(GetCSVIndex(A2,7+1512)+1,IF(_xlfn.BITAND(GetCSVIndex(A2,8+1512), 2^3)=0, 0, 1),IF(_xlfn.BITAND(GetCSVIndex(A2,9+1512), 2^3)=0, 0, 1),IF(_xlfn.BITAND(GetCSVIndex(A2,10+1512), 2^3)=0, 0, 1)) =1,"       Thu","       "))</f>
        <v>#VALUE!</v>
      </c>
      <c r="I160" s="32" t="e" cm="1">
        <f t="array" ref="I160">CONCATENATE(IF(CHOOSE(GetCSVIndex(A2,7+1512)+1,IF(_xlfn.BITAND(GetCSVIndex(A2,8+1512), 2^4)=0, 0, 1),IF(_xlfn.BITAND(GetCSVIndex(A2,9+1512), 2^4)=0, 0, 1),IF(_xlfn.BITAND(GetCSVIndex(A2,10+1512), 2^4)=0, 0, 1)) =1,"Fri       ","       "),IF(CHOOSE(GetCSVIndex(A2,7+1512)+1,IF(_xlfn.BITAND(GetCSVIndex(A2,8+1512), 2^5)=0, 0, 1),IF(_xlfn.BITAND(GetCSVIndex(A2,9+1512), 2^5)=0, 0, 1),IF(_xlfn.BITAND(GetCSVIndex(A2,10+1512), 2^5)=0, 0, 1)) =1,"Sat",""),IF(CHOOSE(GetCSVIndex(A2,7+1512)+1,IF(_xlfn.BITAND(GetCSVIndex(A2,8+1512), 2^6)=0, 0, 1),IF(_xlfn.BITAND(GetCSVIndex(A2,9+1512), 2^6)=0, 0, 1),IF(_xlfn.BITAND(GetCSVIndex(A2,10+1512), 2^6)=0, 0, 1)) =1,"       Sun","       "))</f>
        <v>#VALUE!</v>
      </c>
      <c r="J160" s="19"/>
      <c r="K160" s="19"/>
      <c r="L160" s="32" t="s">
        <v>22</v>
      </c>
      <c r="M160" s="19"/>
      <c r="N160" s="19" t="str" cm="1">
        <f t="array" ref="N160">IF(GetCSVIndex(A2,26+1512)="1","Enable","Disable")</f>
        <v>Disable</v>
      </c>
      <c r="O160" s="24"/>
    </row>
    <row r="161" spans="1:15" ht="18" customHeight="1" x14ac:dyDescent="0.25">
      <c r="A161" s="21" t="str" cm="1">
        <f t="array" ref="A161">CONCATENATE("Program ", GetCSVIndex(A2,5+1512))</f>
        <v xml:space="preserve">Program </v>
      </c>
      <c r="B161" s="23" t="str" cm="1">
        <f t="array" ref="B161">CONCATENATE(GetCSVIndex(A2,25+1512)," %")</f>
        <v xml:space="preserve"> %</v>
      </c>
      <c r="C161" s="19"/>
      <c r="D161" s="19"/>
      <c r="E161" s="19"/>
      <c r="F161" s="19" t="str" cm="1">
        <f t="array" ref="F161">IF(GetCSVIndex(A2,7)="2","Water Every"," ")</f>
        <v xml:space="preserve"> </v>
      </c>
      <c r="G161" s="47" t="str" cm="1">
        <f t="array" ref="G161">IF(GetCSVIndex(A2,7+1512)="2",GetCSVIndex(A2,11+1512)," ")</f>
        <v xml:space="preserve"> </v>
      </c>
      <c r="H161" s="19" t="str" cm="1">
        <f t="array" ref="H161">IF(GetCSVIndex(A2,7+1512)="2","Days"," ")</f>
        <v xml:space="preserve"> </v>
      </c>
      <c r="I161" s="32" t="str" cm="1">
        <f t="array" ref="I161">IF(GetCSVIndex(A2,7+1512)="2","Water After"," ")</f>
        <v xml:space="preserve"> </v>
      </c>
      <c r="J161" s="19"/>
      <c r="K161" s="19" t="str" cm="1">
        <f t="array" ref="K161">IF(GetCSVIndex(A2,7+1512)="2",GetCSVIndex(A2,12+1512)," ")</f>
        <v xml:space="preserve"> </v>
      </c>
      <c r="L161" s="47" t="str" cm="1">
        <f t="array" ref="L161">IF(GetCSVIndex(A2,7+1512)="2","Days"," ")</f>
        <v xml:space="preserve"> </v>
      </c>
      <c r="M161" s="32"/>
      <c r="N161" s="32"/>
      <c r="O161" s="24"/>
    </row>
    <row r="162" spans="1:15" ht="21" customHeight="1" x14ac:dyDescent="0.25">
      <c r="A162" s="20" t="s">
        <v>23</v>
      </c>
      <c r="B162" s="18" t="s">
        <v>24</v>
      </c>
      <c r="C162" s="18" t="str" cm="1">
        <f t="array" ref="C162">CHOOSE(GetCSVIndex(A2,13)+1, "Auto", "Start to End","Manual")</f>
        <v>Start to End</v>
      </c>
      <c r="D162" s="31"/>
      <c r="E162" s="17" t="s">
        <v>38</v>
      </c>
      <c r="F162" s="18" t="s">
        <v>39</v>
      </c>
      <c r="G162" s="18" t="s">
        <v>40</v>
      </c>
      <c r="H162" s="18" t="s">
        <v>41</v>
      </c>
      <c r="I162" s="18" t="s">
        <v>43</v>
      </c>
      <c r="J162" s="31"/>
      <c r="K162" s="17" t="s">
        <v>38</v>
      </c>
      <c r="L162" s="18" t="s">
        <v>39</v>
      </c>
      <c r="M162" s="18" t="s">
        <v>40</v>
      </c>
      <c r="N162" s="22" t="s">
        <v>41</v>
      </c>
      <c r="O162" s="44" t="s">
        <v>42</v>
      </c>
    </row>
    <row r="163" spans="1:15" ht="21" customHeight="1" x14ac:dyDescent="0.25">
      <c r="A163" s="36" t="s">
        <v>25</v>
      </c>
      <c r="B163" s="46" t="str" cm="1">
        <f t="array" ref="B163">IF(GetCSVIndex(A2,6+1512)="1","Over","Stack")</f>
        <v>Stack</v>
      </c>
      <c r="C163" s="26" t="str" cm="1">
        <f t="array" ref="C163">GetCSVIndex(A2,29+1512)</f>
        <v/>
      </c>
      <c r="D163" s="25"/>
      <c r="E163" s="45">
        <v>1</v>
      </c>
      <c r="F163" s="29" t="e" cm="1">
        <f t="array" ref="F163">CHOOSE(GetCSVIndex(A2,36+1512)+1,"","Station","Block","","Delay")</f>
        <v>#VALUE!</v>
      </c>
      <c r="G163" s="29" t="str" cm="1">
        <f t="array" ref="G163">GetCSVIndex(A2,37+1512)</f>
        <v/>
      </c>
      <c r="H163" s="45" t="str" cm="1">
        <f t="array" ref="H163">GetCSVIndex(A2,3+1512)</f>
        <v/>
      </c>
      <c r="I163" s="29" t="str" cm="1">
        <f t="array" ref="I163">GetCSVIndex(A2,1+1512)</f>
        <v/>
      </c>
      <c r="J163" s="25"/>
      <c r="K163" s="45">
        <v>33</v>
      </c>
      <c r="L163" s="29" t="e" cm="1">
        <f t="array" ref="L163">CHOOSE(GetCSVIndex(A2,132+1512)+1,"","Station","Block","","Delay")</f>
        <v>#VALUE!</v>
      </c>
      <c r="M163" s="29" t="str" cm="1">
        <f t="array" ref="M163">GetCSVIndex(A2,133+1512)</f>
        <v/>
      </c>
      <c r="N163" s="27" t="str" cm="1">
        <f t="array" ref="N163">GetCSVIndex(A2,283+1512)</f>
        <v/>
      </c>
      <c r="O163" s="43" t="str" cm="1">
        <f t="array" ref="O163">GetCSVIndex(A2,346+1512)</f>
        <v/>
      </c>
    </row>
    <row r="164" spans="1:15" ht="21" customHeight="1" x14ac:dyDescent="0.25">
      <c r="A164" s="36" t="s">
        <v>26</v>
      </c>
      <c r="B164" s="25" t="str" cm="1">
        <f t="array" ref="B164">IF(GetCSVIndex(A2,2+1512)="1092:15","Not Set",CONCATENATE("From     ",GetCSVIndex(A2,2+1512)))</f>
        <v xml:space="preserve">From     </v>
      </c>
      <c r="C164" s="26" t="str" cm="1">
        <f t="array" ref="C164">IF(GetCSVIndex(C4,1+8)="1092:15","Not Set",CONCATENATE("To     ",GetCSVIndex(C4,1+8)))</f>
        <v xml:space="preserve">To     </v>
      </c>
      <c r="D164" s="25"/>
      <c r="E164" s="45">
        <v>2</v>
      </c>
      <c r="F164" s="29" t="e" cm="1">
        <f t="array" ref="F164">CHOOSE(GetCSVIndex(A2,39+1512)+1,"","Station","Block","","Delay")</f>
        <v>#VALUE!</v>
      </c>
      <c r="G164" s="29" t="str" cm="1">
        <f t="array" ref="G164">GetCSVIndex(A2,40+1512)</f>
        <v/>
      </c>
      <c r="H164" s="45" t="str" cm="1">
        <f t="array" ref="H164">GetCSVIndex(A2,252+1512)</f>
        <v/>
      </c>
      <c r="I164" s="29" t="str" cm="1">
        <f t="array" ref="I164">GetCSVIndex(A2,315+1512)</f>
        <v/>
      </c>
      <c r="J164" s="25"/>
      <c r="K164" s="45">
        <v>34</v>
      </c>
      <c r="L164" s="29" t="e" cm="1">
        <f t="array" ref="L164">CHOOSE(GetCSVIndex(A2,135+1512)+1,"","Station","Block","","Delay")</f>
        <v>#VALUE!</v>
      </c>
      <c r="M164" s="29" t="str" cm="1">
        <f t="array" ref="M164">GetCSVIndex(A2,136+1512)</f>
        <v/>
      </c>
      <c r="N164" s="27" t="str" cm="1">
        <f t="array" ref="N164">GetCSVIndex(A2,284+1512)</f>
        <v/>
      </c>
      <c r="O164" s="43" t="str" cm="1">
        <f t="array" ref="O164">GetCSVIndex(A2,347+1512)</f>
        <v/>
      </c>
    </row>
    <row r="165" spans="1:15" ht="21" customHeight="1" x14ac:dyDescent="0.25">
      <c r="A165" s="36" t="s">
        <v>27</v>
      </c>
      <c r="B165" s="25"/>
      <c r="C165" s="26" t="str" cm="1">
        <f t="array" ref="C165">CONCATENATE(GetCSVIndex(A2,249+1512),":", GetCSVIndex(A2,250+1512),":", GetCSVIndex(A2,251+1512))</f>
        <v>::</v>
      </c>
      <c r="D165" s="26"/>
      <c r="E165" s="45">
        <v>3</v>
      </c>
      <c r="F165" s="29" t="e" cm="1">
        <f t="array" ref="F165">CHOOSE(GetCSVIndex(A2,42+1512)+1,"","Station","Block","","Delay")</f>
        <v>#VALUE!</v>
      </c>
      <c r="G165" s="29" t="str" cm="1">
        <f t="array" ref="G165">GetCSVIndex(A2,43+1512)</f>
        <v/>
      </c>
      <c r="H165" s="45" t="str" cm="1">
        <f t="array" ref="H165">GetCSVIndex(A2,253+1512)</f>
        <v/>
      </c>
      <c r="I165" s="29" t="str" cm="1">
        <f t="array" ref="I165">GetCSVIndex(A2,316+1512)</f>
        <v/>
      </c>
      <c r="J165" s="25"/>
      <c r="K165" s="45">
        <v>35</v>
      </c>
      <c r="L165" s="29" t="e" cm="1">
        <f t="array" ref="L165">CHOOSE(GetCSVIndex(A2,138+1512)+1,"","Station","Block","","Delay")</f>
        <v>#VALUE!</v>
      </c>
      <c r="M165" s="29" t="str" cm="1">
        <f t="array" ref="M165">GetCSVIndex(A2,139+1512)</f>
        <v/>
      </c>
      <c r="N165" s="27" t="str" cm="1">
        <f t="array" ref="N165">GetCSVIndex(A2,285+1512)</f>
        <v/>
      </c>
      <c r="O165" s="43" t="str" cm="1">
        <f t="array" ref="O165">GetCSVIndex(A2,348+1512)</f>
        <v/>
      </c>
    </row>
    <row r="166" spans="1:15" ht="21" customHeight="1" x14ac:dyDescent="0.25">
      <c r="A166" s="36"/>
      <c r="B166" s="25"/>
      <c r="C166" s="25"/>
      <c r="D166" s="25"/>
      <c r="E166" s="45">
        <v>4</v>
      </c>
      <c r="F166" s="29" t="e" cm="1">
        <f t="array" ref="F166">CHOOSE(GetCSVIndex(A2,45+1512)+1,"","Station","Block","","Delay")</f>
        <v>#VALUE!</v>
      </c>
      <c r="G166" s="29" t="str" cm="1">
        <f t="array" ref="G166">GetCSVIndex(A2,46+1512)</f>
        <v/>
      </c>
      <c r="H166" s="45" t="str" cm="1">
        <f t="array" ref="H166">GetCSVIndex(A2,254+1512)</f>
        <v/>
      </c>
      <c r="I166" s="29" t="str" cm="1">
        <f t="array" ref="I166">GetCSVIndex(A2,317+1512)</f>
        <v/>
      </c>
      <c r="J166" s="25"/>
      <c r="K166" s="45">
        <v>36</v>
      </c>
      <c r="L166" s="29" t="e" cm="1">
        <f t="array" ref="L166">CHOOSE(GetCSVIndex(A2,141+1512)+1,"","Station","Block","","Delay")</f>
        <v>#VALUE!</v>
      </c>
      <c r="M166" s="29" t="str" cm="1">
        <f t="array" ref="M166">GetCSVIndex(A2,142+1512)</f>
        <v/>
      </c>
      <c r="N166" s="27" t="str" cm="1">
        <f t="array" ref="N166">GetCSVIndex(A2,286+1512)</f>
        <v/>
      </c>
      <c r="O166" s="43" t="str" cm="1">
        <f t="array" ref="O166">GetCSVIndex(A2,349+1512)</f>
        <v/>
      </c>
    </row>
    <row r="167" spans="1:15" ht="21" customHeight="1" x14ac:dyDescent="0.25">
      <c r="A167" s="37" t="s">
        <v>28</v>
      </c>
      <c r="B167" s="28"/>
      <c r="C167" s="29" t="str" cm="1">
        <f t="array" ref="C167">IF(GetCSVIndex(A2,14+1512)&lt;&gt;"65535",CONCATENATE(GetCSVIndex(A2,229+1512),":", GetCSVIndex(A2,239+1512)),"OFF")</f>
        <v>:</v>
      </c>
      <c r="D167" s="25"/>
      <c r="E167" s="45">
        <v>5</v>
      </c>
      <c r="F167" s="29" t="e" cm="1">
        <f t="array" ref="F167">CHOOSE(GetCSVIndex(A2,48+1512)+1,"","Station","Block","","Delay")</f>
        <v>#VALUE!</v>
      </c>
      <c r="G167" s="29" t="str" cm="1">
        <f t="array" ref="G167">GetCSVIndex(A2,49+1512)</f>
        <v/>
      </c>
      <c r="H167" s="45" t="str" cm="1">
        <f t="array" ref="H167">GetCSVIndex(A2,255+1512)</f>
        <v/>
      </c>
      <c r="I167" s="29" t="str" cm="1">
        <f t="array" ref="I167">GetCSVIndex(A2,318+1512)</f>
        <v/>
      </c>
      <c r="J167" s="25"/>
      <c r="K167" s="45">
        <v>37</v>
      </c>
      <c r="L167" s="29" t="e" cm="1">
        <f t="array" ref="L167">CHOOSE(GetCSVIndex(A2,144+1512)+1,"","Station","Block","","Delay")</f>
        <v>#VALUE!</v>
      </c>
      <c r="M167" s="29" t="str" cm="1">
        <f t="array" ref="M167">GetCSVIndex(A2,145+1512)</f>
        <v/>
      </c>
      <c r="N167" s="27" t="str" cm="1">
        <f t="array" ref="N167">GetCSVIndex(A2,287+1512)</f>
        <v/>
      </c>
      <c r="O167" s="43" t="str" cm="1">
        <f t="array" ref="O167">GetCSVIndex(A2,350+1512)</f>
        <v/>
      </c>
    </row>
    <row r="168" spans="1:15" ht="21" customHeight="1" x14ac:dyDescent="0.25">
      <c r="A168" s="38" t="s">
        <v>29</v>
      </c>
      <c r="B168" s="30"/>
      <c r="C168" s="29" t="str" cm="1">
        <f t="array" ref="C168">IF(GetCSVIndex(A2,15+1512)&lt;&gt;"65535",CONCATENATE(GetCSVIndex(A2,231+1512),":", GetCSVIndex(A2,241+1512)),"OFF")</f>
        <v>:</v>
      </c>
      <c r="D168" s="25"/>
      <c r="E168" s="45">
        <v>6</v>
      </c>
      <c r="F168" s="29" t="e" cm="1">
        <f t="array" ref="F168">CHOOSE(GetCSVIndex(A2,51+1512)+1,"","Station","Block","","Delay")</f>
        <v>#VALUE!</v>
      </c>
      <c r="G168" s="29" t="str" cm="1">
        <f t="array" ref="G168">GetCSVIndex(A2,52+1512)</f>
        <v/>
      </c>
      <c r="H168" s="45" t="str" cm="1">
        <f t="array" ref="H168">GetCSVIndex(A2,256+1512)</f>
        <v/>
      </c>
      <c r="I168" s="29" t="str" cm="1">
        <f t="array" ref="I168">GetCSVIndex(A2,319+1512)</f>
        <v/>
      </c>
      <c r="J168" s="25"/>
      <c r="K168" s="45">
        <v>38</v>
      </c>
      <c r="L168" s="29" t="e" cm="1">
        <f t="array" ref="L168">CHOOSE(GetCSVIndex(A2,147+1512)+1,"","Station","Block","","Delay")</f>
        <v>#VALUE!</v>
      </c>
      <c r="M168" s="29" t="str" cm="1">
        <f t="array" ref="M168">GetCSVIndex(A2,148+1512)</f>
        <v/>
      </c>
      <c r="N168" s="27" t="str" cm="1">
        <f t="array" ref="N168">GetCSVIndex(A2,288+1512)</f>
        <v/>
      </c>
      <c r="O168" s="43" t="str" cm="1">
        <f t="array" ref="O168">GetCSVIndex(A2,351+1512)</f>
        <v/>
      </c>
    </row>
    <row r="169" spans="1:15" ht="21" customHeight="1" x14ac:dyDescent="0.25">
      <c r="A169" s="38" t="s">
        <v>30</v>
      </c>
      <c r="B169" s="30"/>
      <c r="C169" s="29" t="str" cm="1">
        <f t="array" ref="C169">IF(GetCSVIndex(A2,16+1512)&lt;&gt;"65535",CONCATENATE(GetCSVIndex(A2,232+1512),":", GetCSVIndex(A2,242+1512)),"OFF")</f>
        <v>:</v>
      </c>
      <c r="D169" s="25"/>
      <c r="E169" s="45">
        <v>7</v>
      </c>
      <c r="F169" s="29" t="e" cm="1">
        <f t="array" ref="F169">CHOOSE(GetCSVIndex(A2,54+1512)+1,"","Station","Block","","Delay")</f>
        <v>#VALUE!</v>
      </c>
      <c r="G169" s="29" t="str" cm="1">
        <f t="array" ref="G169">GetCSVIndex(A2,55+1512)</f>
        <v/>
      </c>
      <c r="H169" s="45" t="str" cm="1">
        <f t="array" ref="H169">GetCSVIndex(A2,257+1512)</f>
        <v/>
      </c>
      <c r="I169" s="29" t="str" cm="1">
        <f t="array" ref="I169">GetCSVIndex(A2,320+1512)</f>
        <v/>
      </c>
      <c r="J169" s="25"/>
      <c r="K169" s="45">
        <v>39</v>
      </c>
      <c r="L169" s="29" t="e" cm="1">
        <f t="array" ref="L169">CHOOSE(GetCSVIndex(A2,150+1512)+1,"","Station","Block","","Delay")</f>
        <v>#VALUE!</v>
      </c>
      <c r="M169" s="29" t="str" cm="1">
        <f t="array" ref="M169">GetCSVIndex(A2,151+1512)</f>
        <v/>
      </c>
      <c r="N169" s="27" t="str" cm="1">
        <f t="array" ref="N169">GetCSVIndex(A2,289+1512)</f>
        <v/>
      </c>
      <c r="O169" s="43" t="str" cm="1">
        <f t="array" ref="O169">GetCSVIndex(A2,352+1512)</f>
        <v/>
      </c>
    </row>
    <row r="170" spans="1:15" ht="21" customHeight="1" x14ac:dyDescent="0.25">
      <c r="A170" s="38" t="s">
        <v>31</v>
      </c>
      <c r="B170" s="30"/>
      <c r="C170" s="29" t="str" cm="1">
        <f t="array" ref="C170">IF(GetCSVIndex(A2,17+1512)&lt;&gt;"65535",CONCATENATE(GetCSVIndex(A2,233+1512),":", GetCSVIndex(A2,243+1512)),"OFF")</f>
        <v>:</v>
      </c>
      <c r="D170" s="25"/>
      <c r="E170" s="45">
        <v>8</v>
      </c>
      <c r="F170" s="29" t="e" cm="1">
        <f t="array" ref="F170">CHOOSE(GetCSVIndex(A2,57+1512)+1,"","Station","Block","","Delay")</f>
        <v>#VALUE!</v>
      </c>
      <c r="G170" s="29" t="str" cm="1">
        <f t="array" ref="G170">GetCSVIndex(A2,58+1512)</f>
        <v/>
      </c>
      <c r="H170" s="45" t="str" cm="1">
        <f t="array" ref="H170">GetCSVIndex(A2,258+1512)</f>
        <v/>
      </c>
      <c r="I170" s="29" t="str" cm="1">
        <f t="array" ref="I170">GetCSVIndex(A2,321+1512)</f>
        <v/>
      </c>
      <c r="J170" s="25"/>
      <c r="K170" s="45">
        <v>40</v>
      </c>
      <c r="L170" s="29" t="e" cm="1">
        <f t="array" ref="L170">CHOOSE(GetCSVIndex(A2,153+1512)+1,"","Station","Block","","Delay")</f>
        <v>#VALUE!</v>
      </c>
      <c r="M170" s="29" t="str" cm="1">
        <f t="array" ref="M170">GetCSVIndex(A2,154+1512)</f>
        <v/>
      </c>
      <c r="N170" s="27" t="str" cm="1">
        <f t="array" ref="N170">GetCSVIndex(A2,290+1512)</f>
        <v/>
      </c>
      <c r="O170" s="43" t="str" cm="1">
        <f t="array" ref="O170">GetCSVIndex(A2,353+1512)</f>
        <v/>
      </c>
    </row>
    <row r="171" spans="1:15" ht="21" customHeight="1" x14ac:dyDescent="0.25">
      <c r="A171" s="38" t="s">
        <v>32</v>
      </c>
      <c r="B171" s="30"/>
      <c r="C171" s="29" t="str" cm="1">
        <f t="array" ref="C171">IF(GetCSVIndex(A2,18+1512)&lt;&gt;"65535",CONCATENATE(GetCSVIndex(A2,234+1512),":", GetCSVIndex(A2,244+1512)),"OFF")</f>
        <v>:</v>
      </c>
      <c r="D171" s="25"/>
      <c r="E171" s="45">
        <v>9</v>
      </c>
      <c r="F171" s="29" t="e" cm="1">
        <f t="array" ref="F171">CHOOSE(GetCSVIndex(A2,60+1512)+1,"","Station","Block","","Delay")</f>
        <v>#VALUE!</v>
      </c>
      <c r="G171" s="29" t="str" cm="1">
        <f t="array" ref="G171">GetCSVIndex(A2,61+1512)</f>
        <v/>
      </c>
      <c r="H171" s="45" t="str" cm="1">
        <f t="array" ref="H171">GetCSVIndex(A2,259+1512)</f>
        <v/>
      </c>
      <c r="I171" s="29" t="str" cm="1">
        <f t="array" ref="I171">GetCSVIndex(A2,322+1512)</f>
        <v/>
      </c>
      <c r="J171" s="25"/>
      <c r="K171" s="45">
        <v>41</v>
      </c>
      <c r="L171" s="29" t="e" cm="1">
        <f t="array" ref="L171">CHOOSE(GetCSVIndex(A2,156+1512)+1,"","Station","Block","","Delay")</f>
        <v>#VALUE!</v>
      </c>
      <c r="M171" s="29" t="str" cm="1">
        <f t="array" ref="M171">GetCSVIndex(A2,157+1512)</f>
        <v/>
      </c>
      <c r="N171" s="27" t="str" cm="1">
        <f t="array" ref="N171">GetCSVIndex(A2,291+1512)</f>
        <v/>
      </c>
      <c r="O171" s="43" t="str" cm="1">
        <f t="array" ref="O171">GetCSVIndex(A2,354+1512)</f>
        <v/>
      </c>
    </row>
    <row r="172" spans="1:15" ht="21" customHeight="1" x14ac:dyDescent="0.25">
      <c r="A172" s="38" t="s">
        <v>33</v>
      </c>
      <c r="B172" s="30"/>
      <c r="C172" s="29" t="str" cm="1">
        <f t="array" ref="C172">IF(GetCSVIndex(A2,19+1512)&lt;&gt;"65535",CONCATENATE(GetCSVIndex(A2,235+1512),":", GetCSVIndex(A2,245+1512)),"OFF")</f>
        <v>:</v>
      </c>
      <c r="D172" s="25"/>
      <c r="E172" s="45">
        <v>10</v>
      </c>
      <c r="F172" s="29" t="e" cm="1">
        <f t="array" ref="F172">CHOOSE(GetCSVIndex(A2,63+1512)+1,"","Station","Block","","Delay")</f>
        <v>#VALUE!</v>
      </c>
      <c r="G172" s="29" t="str" cm="1">
        <f t="array" ref="G172">GetCSVIndex(A2,64+1512)</f>
        <v/>
      </c>
      <c r="H172" s="45" t="str" cm="1">
        <f t="array" ref="H172">GetCSVIndex(A2,260+1512)</f>
        <v/>
      </c>
      <c r="I172" s="29" t="str" cm="1">
        <f t="array" ref="I172">GetCSVIndex(A2,323+1512)</f>
        <v/>
      </c>
      <c r="J172" s="25"/>
      <c r="K172" s="45">
        <v>42</v>
      </c>
      <c r="L172" s="29" t="e" cm="1">
        <f t="array" ref="L172">CHOOSE(GetCSVIndex(A2,159+1512)+1,"","Station","Block","","Delay")</f>
        <v>#VALUE!</v>
      </c>
      <c r="M172" s="29" t="str" cm="1">
        <f t="array" ref="M172">GetCSVIndex(A2,160+1512)</f>
        <v/>
      </c>
      <c r="N172" s="27" t="str" cm="1">
        <f t="array" ref="N172">GetCSVIndex(A2,292+1512)</f>
        <v/>
      </c>
      <c r="O172" s="43" t="str" cm="1">
        <f t="array" ref="O172">GetCSVIndex(A2,355+1512)</f>
        <v/>
      </c>
    </row>
    <row r="173" spans="1:15" ht="21" customHeight="1" x14ac:dyDescent="0.25">
      <c r="A173" s="38" t="s">
        <v>34</v>
      </c>
      <c r="B173" s="30"/>
      <c r="C173" s="29" t="str" cm="1">
        <f t="array" ref="C173">IF(GetCSVIndex(A2,20+1512)&lt;&gt;"65535",CONCATENATE(GetCSVIndex(A2,236+1512),":", GetCSVIndex(A2,246+1512)),"OFF")</f>
        <v>:</v>
      </c>
      <c r="D173" s="25"/>
      <c r="E173" s="45">
        <v>11</v>
      </c>
      <c r="F173" s="29" t="e" cm="1">
        <f t="array" ref="F173">CHOOSE(GetCSVIndex(A2,66+1512)+1,"","Station","Block","","Delay")</f>
        <v>#VALUE!</v>
      </c>
      <c r="G173" s="29" t="str" cm="1">
        <f t="array" ref="G173">GetCSVIndex(A2,67+1512)</f>
        <v/>
      </c>
      <c r="H173" s="45" t="str" cm="1">
        <f t="array" ref="H173">GetCSVIndex(A2,261+1512)</f>
        <v/>
      </c>
      <c r="I173" s="29" t="str" cm="1">
        <f t="array" ref="I173">GetCSVIndex(A2,324+1512)</f>
        <v/>
      </c>
      <c r="J173" s="25"/>
      <c r="K173" s="45">
        <v>43</v>
      </c>
      <c r="L173" s="29" t="e" cm="1">
        <f t="array" ref="L173">CHOOSE(GetCSVIndex(A2,162+1512)+1,"","Station","Block","","Delay")</f>
        <v>#VALUE!</v>
      </c>
      <c r="M173" s="29" t="str" cm="1">
        <f t="array" ref="M173">GetCSVIndex(A2,163+1512)</f>
        <v/>
      </c>
      <c r="N173" s="27" t="str" cm="1">
        <f t="array" ref="N173">GetCSVIndex(A2,293+1512)</f>
        <v/>
      </c>
      <c r="O173" s="43" t="str" cm="1">
        <f t="array" ref="O173">GetCSVIndex(A2,356+1512)</f>
        <v/>
      </c>
    </row>
    <row r="174" spans="1:15" ht="21" customHeight="1" x14ac:dyDescent="0.25">
      <c r="A174" s="38" t="s">
        <v>35</v>
      </c>
      <c r="B174" s="30"/>
      <c r="C174" s="29" t="str" cm="1">
        <f t="array" ref="C174">IF(GetCSVIndex(A2,21+1512)&lt;&gt;"65535",CONCATENATE(GetCSVIndex(A2,237+1512),":", GetCSVIndex(A2,247+1512)),"OFF")</f>
        <v>:</v>
      </c>
      <c r="D174" s="25"/>
      <c r="E174" s="45">
        <v>12</v>
      </c>
      <c r="F174" s="29" t="e" cm="1">
        <f t="array" ref="F174">CHOOSE(GetCSVIndex(A2,69+1512)+1,"","Station","Block","","Delay")</f>
        <v>#VALUE!</v>
      </c>
      <c r="G174" s="29" t="str" cm="1">
        <f t="array" ref="G174">GetCSVIndex(A2,70+1512)</f>
        <v/>
      </c>
      <c r="H174" s="45" t="str" cm="1">
        <f t="array" ref="H174">GetCSVIndex(A2,262+1512)</f>
        <v/>
      </c>
      <c r="I174" s="29" t="str" cm="1">
        <f t="array" ref="I174">GetCSVIndex(A2,325+1512)</f>
        <v/>
      </c>
      <c r="J174" s="25"/>
      <c r="K174" s="45">
        <v>44</v>
      </c>
      <c r="L174" s="29" t="e" cm="1">
        <f t="array" ref="L174">CHOOSE(GetCSVIndex(A2,165+1512)+1,"","Station","Block","","Delay")</f>
        <v>#VALUE!</v>
      </c>
      <c r="M174" s="29" t="str" cm="1">
        <f t="array" ref="M174">GetCSVIndex(A2,166+1512)</f>
        <v/>
      </c>
      <c r="N174" s="27" t="str" cm="1">
        <f t="array" ref="N174">GetCSVIndex(A2,294+1512)</f>
        <v/>
      </c>
      <c r="O174" s="43" t="str" cm="1">
        <f t="array" ref="O174">GetCSVIndex(A2,357+1512)</f>
        <v/>
      </c>
    </row>
    <row r="175" spans="1:15" ht="21" customHeight="1" x14ac:dyDescent="0.25">
      <c r="A175" s="38" t="s">
        <v>36</v>
      </c>
      <c r="B175" s="30"/>
      <c r="C175" s="29" t="str" cm="1">
        <f t="array" ref="C175">IF(GetCSVIndex(A2,22+1512)&lt;&gt;"65535",CONCATENATE(GetCSVIndex(A2,238+1512),":", GetCSVIndex(A2,248+1512)),"OFF")</f>
        <v>:</v>
      </c>
      <c r="D175" s="25"/>
      <c r="E175" s="45">
        <v>13</v>
      </c>
      <c r="F175" s="29" t="e" cm="1">
        <f t="array" ref="F175">CHOOSE(GetCSVIndex(A2,72+1512)+1,"","Station","Block","","Delay")</f>
        <v>#VALUE!</v>
      </c>
      <c r="G175" s="29" t="str" cm="1">
        <f t="array" ref="G175">GetCSVIndex(A2,73+1512)</f>
        <v/>
      </c>
      <c r="H175" s="45" t="str" cm="1">
        <f t="array" ref="H175">GetCSVIndex(A2,263+1512)</f>
        <v/>
      </c>
      <c r="I175" s="29" t="str" cm="1">
        <f t="array" ref="I175">GetCSVIndex(A2,326+1512)</f>
        <v/>
      </c>
      <c r="J175" s="25"/>
      <c r="K175" s="45">
        <v>45</v>
      </c>
      <c r="L175" s="29" t="e" cm="1">
        <f t="array" ref="L175">CHOOSE(GetCSVIndex(A2,168+1512)+1,"","Station","Block","","Delay")</f>
        <v>#VALUE!</v>
      </c>
      <c r="M175" s="29" t="str" cm="1">
        <f t="array" ref="M175">GetCSVIndex(A2,169+1512)</f>
        <v/>
      </c>
      <c r="N175" s="27" t="str" cm="1">
        <f t="array" ref="N175">GetCSVIndex(A2,295+1512)</f>
        <v/>
      </c>
      <c r="O175" s="43" t="str" cm="1">
        <f t="array" ref="O175">GetCSVIndex(A2,358+1512)</f>
        <v/>
      </c>
    </row>
    <row r="176" spans="1:15" ht="21" customHeight="1" x14ac:dyDescent="0.25">
      <c r="A176" s="36" t="s">
        <v>37</v>
      </c>
      <c r="B176" s="25"/>
      <c r="C176" s="29" t="str" cm="1">
        <f t="array" ref="C176">IF(GetCSVIndex(A2,23+1512)&lt;&gt;"65535",CONCATENATE(GetCSVIndex(A2,230+1512),":", GetCSVIndex(A2,240+1512)),"OFF")</f>
        <v>:</v>
      </c>
      <c r="D176" s="25"/>
      <c r="E176" s="45">
        <v>14</v>
      </c>
      <c r="F176" s="29" t="e" cm="1">
        <f t="array" ref="F176">CHOOSE(GetCSVIndex(A2,75+1512)+1,"","Station","Block","","Delay")</f>
        <v>#VALUE!</v>
      </c>
      <c r="G176" s="29" t="str" cm="1">
        <f t="array" ref="G176">GetCSVIndex(A2,76+1512)</f>
        <v/>
      </c>
      <c r="H176" s="45" t="str" cm="1">
        <f t="array" ref="H176">GetCSVIndex(A2,264+1512)</f>
        <v/>
      </c>
      <c r="I176" s="29" t="str" cm="1">
        <f t="array" ref="I176">GetCSVIndex(A2,327+1512)</f>
        <v/>
      </c>
      <c r="J176" s="25"/>
      <c r="K176" s="45">
        <v>46</v>
      </c>
      <c r="L176" s="29" t="e" cm="1">
        <f t="array" ref="L176">CHOOSE(GetCSVIndex(A2,171+1512)+1,"","Station","Block","","Delay")</f>
        <v>#VALUE!</v>
      </c>
      <c r="M176" s="29" t="str" cm="1">
        <f t="array" ref="M176">GetCSVIndex(A2,172+1512)</f>
        <v/>
      </c>
      <c r="N176" s="27" t="str" cm="1">
        <f t="array" ref="N176">GetCSVIndex(A2,296+1512)</f>
        <v/>
      </c>
      <c r="O176" s="43" t="str" cm="1">
        <f t="array" ref="O176">GetCSVIndex(A2,359+1512)</f>
        <v/>
      </c>
    </row>
    <row r="177" spans="1:15" ht="21" customHeight="1" x14ac:dyDescent="0.25">
      <c r="A177" s="39"/>
      <c r="B177" s="40"/>
      <c r="C177" s="41"/>
      <c r="D177" s="26"/>
      <c r="E177" s="45">
        <v>15</v>
      </c>
      <c r="F177" s="29" t="e" cm="1">
        <f t="array" ref="F177">CHOOSE(GetCSVIndex(A2,78+1512)+1,"","Station","Block","","Delay")</f>
        <v>#VALUE!</v>
      </c>
      <c r="G177" s="29" t="str" cm="1">
        <f t="array" ref="G177">GetCSVIndex(A2,79+1512)</f>
        <v/>
      </c>
      <c r="H177" s="45" t="str" cm="1">
        <f t="array" ref="H177">GetCSVIndex(A2,265+1512)</f>
        <v/>
      </c>
      <c r="I177" s="29" t="str" cm="1">
        <f t="array" ref="I177">GetCSVIndex(A2,328+1512)</f>
        <v/>
      </c>
      <c r="J177" s="26"/>
      <c r="K177" s="45">
        <v>47</v>
      </c>
      <c r="L177" s="29" t="e" cm="1">
        <f t="array" ref="L177">CHOOSE(GetCSVIndex(A2,174+1512)+1,"","Station","Block","","Delay")</f>
        <v>#VALUE!</v>
      </c>
      <c r="M177" s="29" t="str" cm="1">
        <f t="array" ref="M177">GetCSVIndex(A2,175+1512)</f>
        <v/>
      </c>
      <c r="N177" s="27" t="str" cm="1">
        <f t="array" ref="N177">GetCSVIndex(A2,297+1512)</f>
        <v/>
      </c>
      <c r="O177" s="43" t="str" cm="1">
        <f t="array" ref="O177">GetCSVIndex(A2,360+1512)</f>
        <v/>
      </c>
    </row>
    <row r="178" spans="1:15" ht="21" customHeight="1" x14ac:dyDescent="0.25">
      <c r="A178" s="42"/>
      <c r="B178" s="25"/>
      <c r="C178" s="25"/>
      <c r="D178" s="26"/>
      <c r="E178" s="45">
        <v>16</v>
      </c>
      <c r="F178" s="29" t="e" cm="1">
        <f t="array" ref="F178">CHOOSE(GetCSVIndex(A2,81+1512)+1,"","Station","Block","","Delay")</f>
        <v>#VALUE!</v>
      </c>
      <c r="G178" s="29" t="str" cm="1">
        <f t="array" ref="G178">GetCSVIndex(A2,82+1512)</f>
        <v/>
      </c>
      <c r="H178" s="45" t="str" cm="1">
        <f t="array" ref="H178">GetCSVIndex(A2,266+1512)</f>
        <v/>
      </c>
      <c r="I178" s="29" t="str" cm="1">
        <f t="array" ref="I178">GetCSVIndex(A2,329+1512)</f>
        <v/>
      </c>
      <c r="J178" s="25"/>
      <c r="K178" s="45">
        <v>48</v>
      </c>
      <c r="L178" s="29" t="e" cm="1">
        <f t="array" ref="L178">CHOOSE(GetCSVIndex(A2,177+1512)+1,"","Station","Block","","Delay")</f>
        <v>#VALUE!</v>
      </c>
      <c r="M178" s="29" t="str" cm="1">
        <f t="array" ref="M178">GetCSVIndex(A2,178+1512)</f>
        <v/>
      </c>
      <c r="N178" s="27" t="str" cm="1">
        <f t="array" ref="N178">GetCSVIndex(A2,298+1512)</f>
        <v/>
      </c>
      <c r="O178" s="43" t="str" cm="1">
        <f t="array" ref="O178">GetCSVIndex(A2,361+1512)</f>
        <v/>
      </c>
    </row>
    <row r="179" spans="1:15" ht="21" customHeight="1" x14ac:dyDescent="0.25">
      <c r="A179" s="42"/>
      <c r="B179" s="25"/>
      <c r="C179" s="25"/>
      <c r="D179" s="26"/>
      <c r="E179" s="45">
        <v>17</v>
      </c>
      <c r="F179" s="29" t="e" cm="1">
        <f t="array" ref="F179">CHOOSE(GetCSVIndex(A2,84+1512)+1,"","Station","Block","","Delay")</f>
        <v>#VALUE!</v>
      </c>
      <c r="G179" s="29" t="str" cm="1">
        <f t="array" ref="G179">GetCSVIndex(A2,85+1512)</f>
        <v/>
      </c>
      <c r="H179" s="45" t="str" cm="1">
        <f t="array" ref="H179">GetCSVIndex(A2,267+1512)</f>
        <v/>
      </c>
      <c r="I179" s="29" t="str" cm="1">
        <f t="array" ref="I179">GetCSVIndex(A2,330+1512)</f>
        <v/>
      </c>
      <c r="J179" s="26"/>
      <c r="K179" s="45">
        <v>49</v>
      </c>
      <c r="L179" s="29" t="e" cm="1">
        <f t="array" ref="L179">CHOOSE(GetCSVIndex(A2,180+1512)+1,"","Station","Block","","Delay")</f>
        <v>#VALUE!</v>
      </c>
      <c r="M179" s="29" t="str" cm="1">
        <f t="array" ref="M179">GetCSVIndex(A2,181+1512)</f>
        <v/>
      </c>
      <c r="N179" s="27" t="str" cm="1">
        <f t="array" ref="N179">GetCSVIndex(A2,299+1512)</f>
        <v/>
      </c>
      <c r="O179" s="43" t="str" cm="1">
        <f t="array" ref="O179">GetCSVIndex(A2,362+1512)</f>
        <v/>
      </c>
    </row>
    <row r="180" spans="1:15" ht="21" customHeight="1" x14ac:dyDescent="0.25">
      <c r="A180" s="42"/>
      <c r="B180" s="25"/>
      <c r="C180" s="25"/>
      <c r="D180" s="26"/>
      <c r="E180" s="45">
        <v>18</v>
      </c>
      <c r="F180" s="29" t="e" cm="1">
        <f t="array" ref="F180">CHOOSE(GetCSVIndex(A2,87+1512)+1,"","Station","Block","","Delay")</f>
        <v>#VALUE!</v>
      </c>
      <c r="G180" s="29" t="str" cm="1">
        <f t="array" ref="G180">GetCSVIndex(A2,88+1512)</f>
        <v/>
      </c>
      <c r="H180" s="45" t="str" cm="1">
        <f t="array" ref="H180">GetCSVIndex(A2,268+1512)</f>
        <v/>
      </c>
      <c r="I180" s="29" t="str" cm="1">
        <f t="array" ref="I180">GetCSVIndex(A2,331+1512)</f>
        <v/>
      </c>
      <c r="J180" s="26"/>
      <c r="K180" s="45">
        <v>50</v>
      </c>
      <c r="L180" s="29" t="e" cm="1">
        <f t="array" ref="L180">CHOOSE(GetCSVIndex(A2,183+1512)+1,"","Station","Block","","Delay")</f>
        <v>#VALUE!</v>
      </c>
      <c r="M180" s="29" t="str" cm="1">
        <f t="array" ref="M180">GetCSVIndex(A2,184+1512)</f>
        <v/>
      </c>
      <c r="N180" s="27" t="str" cm="1">
        <f t="array" ref="N180">GetCSVIndex(A2,300+1512)</f>
        <v/>
      </c>
      <c r="O180" s="43" t="str" cm="1">
        <f t="array" ref="O180">GetCSVIndex(A2,363+1512)</f>
        <v/>
      </c>
    </row>
    <row r="181" spans="1:15" ht="21" customHeight="1" x14ac:dyDescent="0.25">
      <c r="A181" s="42"/>
      <c r="B181" s="25"/>
      <c r="C181" s="25"/>
      <c r="D181" s="26"/>
      <c r="E181" s="45">
        <v>19</v>
      </c>
      <c r="F181" s="29" t="e" cm="1">
        <f t="array" ref="F181">CHOOSE(GetCSVIndex(A2,90+1512)+1,"","Station","Block","","Delay")</f>
        <v>#VALUE!</v>
      </c>
      <c r="G181" s="29" t="str" cm="1">
        <f t="array" ref="G181">GetCSVIndex(A2,91+1512)</f>
        <v/>
      </c>
      <c r="H181" s="45" t="str" cm="1">
        <f t="array" ref="H181">GetCSVIndex(A2,269+1512)</f>
        <v/>
      </c>
      <c r="I181" s="29" t="str" cm="1">
        <f t="array" ref="I181">GetCSVIndex(A2,332+1512)</f>
        <v/>
      </c>
      <c r="J181" s="26"/>
      <c r="K181" s="45">
        <v>51</v>
      </c>
      <c r="L181" s="29" t="e" cm="1">
        <f t="array" ref="L181">CHOOSE(GetCSVIndex(A2,186+1512)+1,"","Station","Block","","Delay")</f>
        <v>#VALUE!</v>
      </c>
      <c r="M181" s="29" t="str" cm="1">
        <f t="array" ref="M181">GetCSVIndex(A2,187+1512)</f>
        <v/>
      </c>
      <c r="N181" s="27" t="str" cm="1">
        <f t="array" ref="N181">GetCSVIndex(A2,301+1512)</f>
        <v/>
      </c>
      <c r="O181" s="43" t="str" cm="1">
        <f t="array" ref="O181">GetCSVIndex(A2,364+1512)</f>
        <v/>
      </c>
    </row>
    <row r="182" spans="1:15" ht="21" customHeight="1" x14ac:dyDescent="0.25">
      <c r="A182" s="42"/>
      <c r="B182" s="25"/>
      <c r="C182" s="25"/>
      <c r="D182" s="26"/>
      <c r="E182" s="45">
        <v>20</v>
      </c>
      <c r="F182" s="29" t="e" cm="1">
        <f t="array" ref="F182">CHOOSE(GetCSVIndex(A2,93+1512)+1,"","Station","Block","","Delay")</f>
        <v>#VALUE!</v>
      </c>
      <c r="G182" s="29" t="str" cm="1">
        <f t="array" ref="G182">GetCSVIndex(A2,94+1512)</f>
        <v/>
      </c>
      <c r="H182" s="45" t="str" cm="1">
        <f t="array" ref="H182">GetCSVIndex(A2,270+1512)</f>
        <v/>
      </c>
      <c r="I182" s="29" t="str" cm="1">
        <f t="array" ref="I182">GetCSVIndex(A2,333+1512)</f>
        <v/>
      </c>
      <c r="J182" s="26"/>
      <c r="K182" s="45">
        <v>52</v>
      </c>
      <c r="L182" s="29" t="e" cm="1">
        <f t="array" ref="L182">CHOOSE(GetCSVIndex(A2,189+1512)+1,"","Station","Block","","Delay")</f>
        <v>#VALUE!</v>
      </c>
      <c r="M182" s="29" t="str" cm="1">
        <f t="array" ref="M182">GetCSVIndex(A2,190+1512)</f>
        <v/>
      </c>
      <c r="N182" s="27" t="str" cm="1">
        <f t="array" ref="N182">GetCSVIndex(A2,302+1512)</f>
        <v/>
      </c>
      <c r="O182" s="43" t="str" cm="1">
        <f t="array" ref="O182">GetCSVIndex(A2,365+1512)</f>
        <v/>
      </c>
    </row>
    <row r="183" spans="1:15" ht="21" customHeight="1" x14ac:dyDescent="0.25">
      <c r="A183" s="42"/>
      <c r="B183" s="25"/>
      <c r="C183" s="25"/>
      <c r="D183" s="26"/>
      <c r="E183" s="45">
        <v>21</v>
      </c>
      <c r="F183" s="29" t="e" cm="1">
        <f t="array" ref="F183">CHOOSE(GetCSVIndex(A2,96+1512)+1,"","Station","Block","","Delay")</f>
        <v>#VALUE!</v>
      </c>
      <c r="G183" s="29" t="str" cm="1">
        <f t="array" ref="G183">GetCSVIndex(A2,97+1512)</f>
        <v/>
      </c>
      <c r="H183" s="45" t="str" cm="1">
        <f t="array" ref="H183">GetCSVIndex(A2,271+1512)</f>
        <v/>
      </c>
      <c r="I183" s="29" t="str" cm="1">
        <f t="array" ref="I183">GetCSVIndex(A2,334+1512)</f>
        <v/>
      </c>
      <c r="J183" s="26"/>
      <c r="K183" s="45">
        <v>53</v>
      </c>
      <c r="L183" s="29" t="e" cm="1">
        <f t="array" ref="L183">CHOOSE(GetCSVIndex(A2,192+1512)+1,"","Station","Block","","Delay")</f>
        <v>#VALUE!</v>
      </c>
      <c r="M183" s="29" t="str" cm="1">
        <f t="array" ref="M183">GetCSVIndex(A2,193+1512)</f>
        <v/>
      </c>
      <c r="N183" s="27" t="str" cm="1">
        <f t="array" ref="N183">GetCSVIndex(A2,303+1512)</f>
        <v/>
      </c>
      <c r="O183" s="43" t="str" cm="1">
        <f t="array" ref="O183">GetCSVIndex(A2,366+1512)</f>
        <v/>
      </c>
    </row>
    <row r="184" spans="1:15" ht="21" customHeight="1" x14ac:dyDescent="0.25">
      <c r="A184" s="42"/>
      <c r="B184" s="25"/>
      <c r="C184" s="25"/>
      <c r="D184" s="26"/>
      <c r="E184" s="45">
        <v>22</v>
      </c>
      <c r="F184" s="29" t="e" cm="1">
        <f t="array" ref="F184">CHOOSE(GetCSVIndex(A2,99+1512)+1,"","Station","Block","","Delay")</f>
        <v>#VALUE!</v>
      </c>
      <c r="G184" s="29" t="str" cm="1">
        <f t="array" ref="G184">GetCSVIndex(A2,100+1512)</f>
        <v/>
      </c>
      <c r="H184" s="45" t="str" cm="1">
        <f t="array" ref="H184">GetCSVIndex(A2,272+1512)</f>
        <v/>
      </c>
      <c r="I184" s="29" t="str" cm="1">
        <f t="array" ref="I184">GetCSVIndex(A2,335+1512)</f>
        <v/>
      </c>
      <c r="J184" s="26"/>
      <c r="K184" s="45">
        <v>54</v>
      </c>
      <c r="L184" s="29" t="e" cm="1">
        <f t="array" ref="L184">CHOOSE(GetCSVIndex(A2,195+1512)+1,"","Station","Block","","Delay")</f>
        <v>#VALUE!</v>
      </c>
      <c r="M184" s="29" t="str" cm="1">
        <f t="array" ref="M184">GetCSVIndex(A2,196+1512)</f>
        <v/>
      </c>
      <c r="N184" s="27" t="str" cm="1">
        <f t="array" ref="N184">GetCSVIndex(A2,304+1512)</f>
        <v/>
      </c>
      <c r="O184" s="43" t="str" cm="1">
        <f t="array" ref="O184">GetCSVIndex(A2,367+1512)</f>
        <v/>
      </c>
    </row>
    <row r="185" spans="1:15" ht="21" customHeight="1" x14ac:dyDescent="0.25">
      <c r="A185" s="42"/>
      <c r="B185" s="25"/>
      <c r="C185" s="25"/>
      <c r="D185" s="26"/>
      <c r="E185" s="45">
        <v>23</v>
      </c>
      <c r="F185" s="29" t="e" cm="1">
        <f t="array" ref="F185">CHOOSE(GetCSVIndex(A2,102+1512)+1,"","Station","Block","","Delay")</f>
        <v>#VALUE!</v>
      </c>
      <c r="G185" s="29" t="str" cm="1">
        <f t="array" ref="G185">GetCSVIndex(A2,103+1512)</f>
        <v/>
      </c>
      <c r="H185" s="45" t="str" cm="1">
        <f t="array" ref="H185">GetCSVIndex(A2,273+1512)</f>
        <v/>
      </c>
      <c r="I185" s="29" t="str" cm="1">
        <f t="array" ref="I185">GetCSVIndex(A2,336+1512)</f>
        <v/>
      </c>
      <c r="J185" s="26"/>
      <c r="K185" s="45">
        <v>55</v>
      </c>
      <c r="L185" s="29" t="e" cm="1">
        <f t="array" ref="L185">CHOOSE(GetCSVIndex(A2,198+1512)+1,"","Station","Block","","Delay")</f>
        <v>#VALUE!</v>
      </c>
      <c r="M185" s="29" t="str" cm="1">
        <f t="array" ref="M185">GetCSVIndex(A2,199+1512)</f>
        <v/>
      </c>
      <c r="N185" s="27" t="str" cm="1">
        <f t="array" ref="N185">GetCSVIndex(A2,305+1512)</f>
        <v/>
      </c>
      <c r="O185" s="43" t="str" cm="1">
        <f t="array" ref="O185">GetCSVIndex(A2,368+1512)</f>
        <v/>
      </c>
    </row>
    <row r="186" spans="1:15" ht="21" customHeight="1" x14ac:dyDescent="0.25">
      <c r="A186" s="42"/>
      <c r="B186" s="25"/>
      <c r="C186" s="25"/>
      <c r="D186" s="26"/>
      <c r="E186" s="45">
        <v>24</v>
      </c>
      <c r="F186" s="29" t="e" cm="1">
        <f t="array" ref="F186">CHOOSE(GetCSVIndex(A2,105+1512)+1,"","Station","Block","","Delay")</f>
        <v>#VALUE!</v>
      </c>
      <c r="G186" s="29" t="str" cm="1">
        <f t="array" ref="G186">GetCSVIndex(A2,106+1512)</f>
        <v/>
      </c>
      <c r="H186" s="45" t="str" cm="1">
        <f t="array" ref="H186">GetCSVIndex(A2,274+1512)</f>
        <v/>
      </c>
      <c r="I186" s="29" t="str" cm="1">
        <f t="array" ref="I186">GetCSVIndex(A2,337+1512)</f>
        <v/>
      </c>
      <c r="J186" s="26"/>
      <c r="K186" s="45">
        <v>56</v>
      </c>
      <c r="L186" s="29" t="e" cm="1">
        <f t="array" ref="L186">CHOOSE(GetCSVIndex(A2,201+1512)+1,"","Station","Block","","Delay")</f>
        <v>#VALUE!</v>
      </c>
      <c r="M186" s="29" t="str" cm="1">
        <f t="array" ref="M186">GetCSVIndex(A2,202+1512)</f>
        <v/>
      </c>
      <c r="N186" s="27" t="str" cm="1">
        <f t="array" ref="N186">GetCSVIndex(A2,306+1512)</f>
        <v/>
      </c>
      <c r="O186" s="43" t="str" cm="1">
        <f t="array" ref="O186">GetCSVIndex(A2,369+1512)</f>
        <v/>
      </c>
    </row>
    <row r="187" spans="1:15" ht="21" customHeight="1" x14ac:dyDescent="0.25">
      <c r="A187" s="42"/>
      <c r="B187" s="25"/>
      <c r="C187" s="25"/>
      <c r="D187" s="26"/>
      <c r="E187" s="45">
        <v>25</v>
      </c>
      <c r="F187" s="29" t="e" cm="1">
        <f t="array" ref="F187">CHOOSE(GetCSVIndex(A2,108+1512)+1,"","Station","Block","","Delay")</f>
        <v>#VALUE!</v>
      </c>
      <c r="G187" s="29" t="str" cm="1">
        <f t="array" ref="G187">GetCSVIndex(A2,109+1512)</f>
        <v/>
      </c>
      <c r="H187" s="45" t="str" cm="1">
        <f t="array" ref="H187">GetCSVIndex(A2,275+1512)</f>
        <v/>
      </c>
      <c r="I187" s="29" t="str" cm="1">
        <f t="array" ref="I187">GetCSVIndex(A2,338+1512)</f>
        <v/>
      </c>
      <c r="J187" s="26"/>
      <c r="K187" s="45">
        <v>57</v>
      </c>
      <c r="L187" s="29" t="e" cm="1">
        <f t="array" ref="L187">CHOOSE(GetCSVIndex(A2,204+1512)+1,"","Station","Block","","Delay")</f>
        <v>#VALUE!</v>
      </c>
      <c r="M187" s="29" t="str" cm="1">
        <f t="array" ref="M187">GetCSVIndex(A2,205+1512)</f>
        <v/>
      </c>
      <c r="N187" s="27" t="str" cm="1">
        <f t="array" ref="N187">GetCSVIndex(A2,307+1512)</f>
        <v/>
      </c>
      <c r="O187" s="43" t="str" cm="1">
        <f t="array" ref="O187">GetCSVIndex(A2,370+1512)</f>
        <v/>
      </c>
    </row>
    <row r="188" spans="1:15" ht="21" customHeight="1" x14ac:dyDescent="0.25">
      <c r="A188" s="42"/>
      <c r="B188" s="25"/>
      <c r="C188" s="25"/>
      <c r="D188" s="26"/>
      <c r="E188" s="45">
        <v>26</v>
      </c>
      <c r="F188" s="29" t="e" cm="1">
        <f t="array" ref="F188">CHOOSE(GetCSVIndex(A2,111+1512)+1,"","Station","Block","","Delay")</f>
        <v>#VALUE!</v>
      </c>
      <c r="G188" s="29" t="str" cm="1">
        <f t="array" ref="G188">GetCSVIndex(A2,112+1512)</f>
        <v/>
      </c>
      <c r="H188" s="45" t="str" cm="1">
        <f t="array" ref="H188">GetCSVIndex(A2,276+1512)</f>
        <v/>
      </c>
      <c r="I188" s="29" t="str" cm="1">
        <f t="array" ref="I188">GetCSVIndex(A2,339+1512)</f>
        <v/>
      </c>
      <c r="J188" s="26"/>
      <c r="K188" s="45">
        <v>58</v>
      </c>
      <c r="L188" s="29" t="e" cm="1">
        <f t="array" ref="L188">CHOOSE(GetCSVIndex(A2,207+1512)+1,"","Station","Block","","Delay")</f>
        <v>#VALUE!</v>
      </c>
      <c r="M188" s="29" t="str" cm="1">
        <f t="array" ref="M188">GetCSVIndex(A2,208+1512)</f>
        <v/>
      </c>
      <c r="N188" s="27" t="str" cm="1">
        <f t="array" ref="N188">GetCSVIndex(A2,308+1512)</f>
        <v/>
      </c>
      <c r="O188" s="43" t="str" cm="1">
        <f t="array" ref="O188">GetCSVIndex(A2,371+1512)</f>
        <v/>
      </c>
    </row>
    <row r="189" spans="1:15" ht="21" customHeight="1" x14ac:dyDescent="0.25">
      <c r="A189" s="42"/>
      <c r="B189" s="25"/>
      <c r="C189" s="25"/>
      <c r="D189" s="26"/>
      <c r="E189" s="45">
        <v>27</v>
      </c>
      <c r="F189" s="29" t="e" cm="1">
        <f t="array" ref="F189">CHOOSE(GetCSVIndex(A2,114+1512)+1,"","Station","Block","","Delay")</f>
        <v>#VALUE!</v>
      </c>
      <c r="G189" s="29" t="str" cm="1">
        <f t="array" ref="G189">GetCSVIndex(A2,115+1512)</f>
        <v/>
      </c>
      <c r="H189" s="45" t="str" cm="1">
        <f t="array" ref="H189">GetCSVIndex(A2,277+1512)</f>
        <v/>
      </c>
      <c r="I189" s="29" t="str" cm="1">
        <f t="array" ref="I189">GetCSVIndex(A2,340+1512)</f>
        <v/>
      </c>
      <c r="J189" s="26"/>
      <c r="K189" s="45">
        <v>59</v>
      </c>
      <c r="L189" s="29" t="e" cm="1">
        <f t="array" ref="L189">CHOOSE(GetCSVIndex(A2,210+1512)+1,"","Station","Block","","Delay")</f>
        <v>#VALUE!</v>
      </c>
      <c r="M189" s="29" t="str" cm="1">
        <f t="array" ref="M189">GetCSVIndex(A2,211+1512)</f>
        <v/>
      </c>
      <c r="N189" s="27" t="str" cm="1">
        <f t="array" ref="N189">GetCSVIndex(A2,309+1512)</f>
        <v/>
      </c>
      <c r="O189" s="43" t="str" cm="1">
        <f t="array" ref="O189">GetCSVIndex(A2,372+1512)</f>
        <v/>
      </c>
    </row>
    <row r="190" spans="1:15" ht="21" customHeight="1" x14ac:dyDescent="0.25">
      <c r="A190" s="42"/>
      <c r="B190" s="25"/>
      <c r="C190" s="25"/>
      <c r="D190" s="26"/>
      <c r="E190" s="45">
        <v>28</v>
      </c>
      <c r="F190" s="29" t="e" cm="1">
        <f t="array" ref="F190">CHOOSE(GetCSVIndex(A2,117+1512)+1,"","Station","Block","","Delay")</f>
        <v>#VALUE!</v>
      </c>
      <c r="G190" s="29" t="str" cm="1">
        <f t="array" ref="G190">GetCSVIndex(A2,118+1512)</f>
        <v/>
      </c>
      <c r="H190" s="45" t="str" cm="1">
        <f t="array" ref="H190">GetCSVIndex(A2,278+1512)</f>
        <v/>
      </c>
      <c r="I190" s="29" t="str" cm="1">
        <f t="array" ref="I190">GetCSVIndex(A2,341+1512)</f>
        <v/>
      </c>
      <c r="J190" s="26"/>
      <c r="K190" s="45">
        <v>60</v>
      </c>
      <c r="L190" s="29" t="e" cm="1">
        <f t="array" ref="L190">CHOOSE(GetCSVIndex(A2,213+1512)+1,"","Station","Block","","Delay")</f>
        <v>#VALUE!</v>
      </c>
      <c r="M190" s="29" t="str" cm="1">
        <f t="array" ref="M190">GetCSVIndex(A2,214+1512)</f>
        <v/>
      </c>
      <c r="N190" s="27" t="str" cm="1">
        <f t="array" ref="N190">GetCSVIndex(A2,310+1512)</f>
        <v/>
      </c>
      <c r="O190" s="43" t="str" cm="1">
        <f t="array" ref="O190">GetCSVIndex(A2,373+1512)</f>
        <v/>
      </c>
    </row>
    <row r="191" spans="1:15" ht="21" customHeight="1" x14ac:dyDescent="0.25">
      <c r="A191" s="42"/>
      <c r="B191" s="25"/>
      <c r="C191" s="25"/>
      <c r="D191" s="26"/>
      <c r="E191" s="45">
        <v>29</v>
      </c>
      <c r="F191" s="29" t="e" cm="1">
        <f t="array" ref="F191">CHOOSE(GetCSVIndex(A2,120+1512)+1,"","Station","Block","","Delay")</f>
        <v>#VALUE!</v>
      </c>
      <c r="G191" s="29" t="str" cm="1">
        <f t="array" ref="G191">GetCSVIndex(A2,121+1512)</f>
        <v/>
      </c>
      <c r="H191" s="45" t="str" cm="1">
        <f t="array" ref="H191">GetCSVIndex(A2,279+1512)</f>
        <v/>
      </c>
      <c r="I191" s="29" t="str" cm="1">
        <f t="array" ref="I191">GetCSVIndex(A2,342+1512)</f>
        <v/>
      </c>
      <c r="J191" s="26"/>
      <c r="K191" s="45">
        <v>61</v>
      </c>
      <c r="L191" s="29" t="e" cm="1">
        <f t="array" ref="L191">CHOOSE(GetCSVIndex(A2,216+1512)+1,"","Station","Block","","Delay")</f>
        <v>#VALUE!</v>
      </c>
      <c r="M191" s="29" t="str" cm="1">
        <f t="array" ref="M191">GetCSVIndex(A2,217+1512)</f>
        <v/>
      </c>
      <c r="N191" s="27" t="str" cm="1">
        <f t="array" ref="N191">GetCSVIndex(A2,311+1512)</f>
        <v/>
      </c>
      <c r="O191" s="43" t="str" cm="1">
        <f t="array" ref="O191">GetCSVIndex(A2,374+1512)</f>
        <v/>
      </c>
    </row>
    <row r="192" spans="1:15" ht="21" customHeight="1" x14ac:dyDescent="0.25">
      <c r="A192" s="42"/>
      <c r="B192" s="25"/>
      <c r="C192" s="25"/>
      <c r="D192" s="26"/>
      <c r="E192" s="45">
        <v>30</v>
      </c>
      <c r="F192" s="29" t="e" cm="1">
        <f t="array" ref="F192">CHOOSE(GetCSVIndex(A2,123+1512)+1,"","Station","Block","","Delay")</f>
        <v>#VALUE!</v>
      </c>
      <c r="G192" s="29" t="str" cm="1">
        <f t="array" ref="G192">GetCSVIndex(A2,124+1512)</f>
        <v/>
      </c>
      <c r="H192" s="45" t="str" cm="1">
        <f t="array" ref="H192">GetCSVIndex(A2,280+1512)</f>
        <v/>
      </c>
      <c r="I192" s="29" t="str" cm="1">
        <f t="array" ref="I192">GetCSVIndex(A2,343+1512)</f>
        <v/>
      </c>
      <c r="J192" s="26"/>
      <c r="K192" s="45">
        <v>62</v>
      </c>
      <c r="L192" s="29" t="e" cm="1">
        <f t="array" ref="L192">CHOOSE(GetCSVIndex(A2,219+1512)+1,"","Station","Block","","Delay")</f>
        <v>#VALUE!</v>
      </c>
      <c r="M192" s="29" t="str" cm="1">
        <f t="array" ref="M192">GetCSVIndex(A2,220+1512)</f>
        <v/>
      </c>
      <c r="N192" s="27" t="str" cm="1">
        <f t="array" ref="N192">GetCSVIndex(A2,312+1512)</f>
        <v/>
      </c>
      <c r="O192" s="43" t="str" cm="1">
        <f t="array" ref="O192">GetCSVIndex(A2,375+1512)</f>
        <v/>
      </c>
    </row>
    <row r="193" spans="1:15" ht="21" customHeight="1" x14ac:dyDescent="0.25">
      <c r="A193" s="42"/>
      <c r="B193" s="25"/>
      <c r="C193" s="25"/>
      <c r="D193" s="26"/>
      <c r="E193" s="45">
        <v>31</v>
      </c>
      <c r="F193" s="29" t="e" cm="1">
        <f t="array" ref="F193">CHOOSE(GetCSVIndex(A2,126+1512)+1,"","Station","Block","","Delay")</f>
        <v>#VALUE!</v>
      </c>
      <c r="G193" s="29" t="str" cm="1">
        <f t="array" ref="G193">GetCSVIndex(A2,127+1512)</f>
        <v/>
      </c>
      <c r="H193" s="45" t="str" cm="1">
        <f t="array" ref="H193">GetCSVIndex(A2,281+1512)</f>
        <v/>
      </c>
      <c r="I193" s="29" t="str" cm="1">
        <f t="array" ref="I193">GetCSVIndex(A2,344+1512)</f>
        <v/>
      </c>
      <c r="J193" s="26"/>
      <c r="K193" s="45">
        <v>63</v>
      </c>
      <c r="L193" s="29" t="e" cm="1">
        <f t="array" ref="L193">CHOOSE(GetCSVIndex(A2,222+1512)+1,"","Station","Block","","Delay")</f>
        <v>#VALUE!</v>
      </c>
      <c r="M193" s="29" t="str" cm="1">
        <f t="array" ref="M193">GetCSVIndex(A2,223+1512)</f>
        <v/>
      </c>
      <c r="N193" s="27" t="str" cm="1">
        <f t="array" ref="N193">GetCSVIndex(A2,313+1512)</f>
        <v/>
      </c>
      <c r="O193" s="43" t="str" cm="1">
        <f t="array" ref="O193">GetCSVIndex(A2,376+1512)</f>
        <v/>
      </c>
    </row>
    <row r="194" spans="1:15" ht="21" customHeight="1" x14ac:dyDescent="0.25">
      <c r="A194" s="37"/>
      <c r="B194" s="28"/>
      <c r="C194" s="29"/>
      <c r="D194" s="29"/>
      <c r="E194" s="45">
        <v>32</v>
      </c>
      <c r="F194" s="29" t="e" cm="1">
        <f t="array" ref="F194">CHOOSE(GetCSVIndex(A2,129+1512)+1,"","Station","Block","","Delay")</f>
        <v>#VALUE!</v>
      </c>
      <c r="G194" s="29" t="str" cm="1">
        <f t="array" ref="G194">GetCSVIndex(A2,130+1512)</f>
        <v/>
      </c>
      <c r="H194" s="45" t="str" cm="1">
        <f t="array" ref="H194">GetCSVIndex(A2,282+1512)</f>
        <v/>
      </c>
      <c r="I194" s="29" t="str" cm="1">
        <f t="array" ref="I194">GetCSVIndex(A2,345+1512)</f>
        <v/>
      </c>
      <c r="J194" s="29"/>
      <c r="K194" s="45">
        <v>64</v>
      </c>
      <c r="L194" s="29" t="e" cm="1">
        <f t="array" ref="L194">CHOOSE(GetCSVIndex(A2,225+1512)+1,"","Station","Block","","Delay")</f>
        <v>#VALUE!</v>
      </c>
      <c r="M194" s="29" t="str" cm="1">
        <f t="array" ref="M194">GetCSVIndex(A2,226+1512)</f>
        <v/>
      </c>
      <c r="N194" s="27" t="str" cm="1">
        <f t="array" ref="N194">GetCSVIndex(A2,314+1512)</f>
        <v/>
      </c>
      <c r="O194" s="43" t="str" cm="1">
        <f t="array" ref="O194">GetCSVIndex(A2,377+1512)</f>
        <v/>
      </c>
    </row>
    <row r="195" spans="1:15" ht="23.25" customHeight="1" x14ac:dyDescent="0.25">
      <c r="A195" s="51" t="str" cm="1">
        <f t="array" ref="A195">CONCATENATE("Schedule  Program Number : ", GetCSVIndex(A2,5+1890))</f>
        <v xml:space="preserve">Schedule  Program Number : </v>
      </c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3"/>
    </row>
    <row r="196" spans="1:15" ht="21" customHeight="1" x14ac:dyDescent="0.25">
      <c r="A196" s="20" t="s">
        <v>44</v>
      </c>
      <c r="B196" s="22" t="str" cm="1">
        <f t="array" ref="B196">GetCSVIndex(A2,5+1890)</f>
        <v/>
      </c>
      <c r="C196" s="18"/>
      <c r="D196" s="18"/>
      <c r="E196" s="18"/>
      <c r="F196" s="18"/>
      <c r="G196" s="18" t="s">
        <v>19</v>
      </c>
      <c r="H196" s="18" t="e" cm="1">
        <f t="array" ref="H196">CHOOSE(GetCSVIndex(A2,7+1890)+1, "Days of Week", "Odd/Even", "Interval","Manual")</f>
        <v>#VALUE!</v>
      </c>
      <c r="I196" s="18"/>
      <c r="J196" s="15"/>
      <c r="K196" s="15"/>
      <c r="L196" s="15"/>
      <c r="M196" s="15"/>
      <c r="N196" s="15"/>
      <c r="O196" s="16"/>
    </row>
    <row r="197" spans="1:15" ht="18" customHeight="1" x14ac:dyDescent="0.25">
      <c r="A197" s="21" t="s">
        <v>20</v>
      </c>
      <c r="B197" s="19" t="e" cm="1">
        <f t="array" ref="B197">CHOOSE(GetCSVIndex(A2,24+1890)+1, "Program", "Global", "Monthly","Solar Sync")</f>
        <v>#VALUE!</v>
      </c>
      <c r="C197" s="19"/>
      <c r="D197" s="19"/>
      <c r="E197" s="19"/>
      <c r="F197" s="19" t="s">
        <v>21</v>
      </c>
      <c r="G197" s="19" t="e" cm="1">
        <f t="array" ref="G197">IF(CHOOSE(GetCSVIndex(A2,7+1890)+1,IF(_xlfn.BITAND(GetCSVIndex(A2,8+1890), 2^0)=0, 0, 1),IF(_xlfn.BITAND(GetCSVIndex(A2,9+1890), 2^0)=0, 0, 1),IF(_xlfn.BITAND(GetCSVIndex(A2,10+1890), 2^0)=0, 0, 1)) =1,"Mon","")</f>
        <v>#VALUE!</v>
      </c>
      <c r="H197" s="19" t="e" cm="1">
        <f t="array" ref="H197">CONCATENATE(IF(CHOOSE(GetCSVIndex(A2,7+1890)+1,IF(_xlfn.BITAND(GetCSVIndex(A2,8+1890), 2^1)=0, 0, 1),IF(_xlfn.BITAND(GetCSVIndex(A2,9+1890), 2^1)=0, 0, 1),IF(_xlfn.BITAND(GetCSVIndex(A2,10+1890), 2^1)=0, 0, 1)) =1,"Tue       ","       "),IF(CHOOSE(GetCSVIndex(A2,7+1890)+1,IF(_xlfn.BITAND(GetCSVIndex(A2,8+1890), 2^2)=0, 0, 1),IF(_xlfn.BITAND(GetCSVIndex(A2,9+1890), 2^2)=0, 0, 1),IF(_xlfn.BITAND(GetCSVIndex(A2,10+1890), 2^2)=0, 0, 1)) =1,"Wed",""),IF(CHOOSE(GetCSVIndex(A2,7+1890)+1,IF(_xlfn.BITAND(GetCSVIndex(A2,8+1890), 2^3)=0, 0, 1),IF(_xlfn.BITAND(GetCSVIndex(A2,9+1890), 2^3)=0, 0, 1),IF(_xlfn.BITAND(GetCSVIndex(A2,10+1890), 2^3)=0, 0, 1)) =1,"       Thu","       "))</f>
        <v>#VALUE!</v>
      </c>
      <c r="I197" s="32" t="e" cm="1">
        <f t="array" ref="I197">CONCATENATE(IF(CHOOSE(GetCSVIndex(A2,7+1890)+1,IF(_xlfn.BITAND(GetCSVIndex(A2,8+1890), 2^4)=0, 0, 1),IF(_xlfn.BITAND(GetCSVIndex(A2,9+1890), 2^4)=0, 0, 1),IF(_xlfn.BITAND(GetCSVIndex(A2,10+1890), 2^4)=0, 0, 1)) =1,"Fri       ","       "),IF(CHOOSE(GetCSVIndex(A2,7+1890)+1,IF(_xlfn.BITAND(GetCSVIndex(A2,8+1890), 2^5)=0, 0, 1),IF(_xlfn.BITAND(GetCSVIndex(A2,9+1890), 2^5)=0, 0, 1),IF(_xlfn.BITAND(GetCSVIndex(A2,10+1890), 2^5)=0, 0, 1)) =1,"Sat",""),IF(CHOOSE(GetCSVIndex(A2,7+1890)+1,IF(_xlfn.BITAND(GetCSVIndex(A2,8+1890), 2^6)=0, 0, 1),IF(_xlfn.BITAND(GetCSVIndex(A2,9+1890), 2^6)=0, 0, 1),IF(_xlfn.BITAND(GetCSVIndex(A2,10+1890), 2^6)=0, 0, 1)) =1,"       Sun","       "))</f>
        <v>#VALUE!</v>
      </c>
      <c r="J197" s="19"/>
      <c r="K197" s="19"/>
      <c r="L197" s="32" t="s">
        <v>22</v>
      </c>
      <c r="M197" s="19"/>
      <c r="N197" s="19" t="str" cm="1">
        <f t="array" ref="N197">IF(GetCSVIndex(A2,26+1890)="1","Enable","Disable")</f>
        <v>Disable</v>
      </c>
      <c r="O197" s="24"/>
    </row>
    <row r="198" spans="1:15" ht="18" customHeight="1" x14ac:dyDescent="0.25">
      <c r="A198" s="21" t="str" cm="1">
        <f t="array" ref="A198">CONCATENATE("Program ", GetCSVIndex(A2,5+1890))</f>
        <v xml:space="preserve">Program </v>
      </c>
      <c r="B198" s="23" t="str" cm="1">
        <f t="array" ref="B198">CONCATENATE(GetCSVIndex(A2,25+1890)," %")</f>
        <v xml:space="preserve"> %</v>
      </c>
      <c r="C198" s="19"/>
      <c r="D198" s="19"/>
      <c r="E198" s="19"/>
      <c r="F198" s="19" t="str" cm="1">
        <f t="array" ref="F198">IF(GetCSVIndex(A2,7)="2","Water Every"," ")</f>
        <v xml:space="preserve"> </v>
      </c>
      <c r="G198" s="47" t="str" cm="1">
        <f t="array" ref="G198">IF(GetCSVIndex(A2,7+1890)="2",GetCSVIndex(A2,11+1890)," ")</f>
        <v xml:space="preserve"> </v>
      </c>
      <c r="H198" s="19" t="str" cm="1">
        <f t="array" ref="H198">IF(GetCSVIndex(A2,7+1890)="2","Days"," ")</f>
        <v xml:space="preserve"> </v>
      </c>
      <c r="I198" s="32" t="str" cm="1">
        <f t="array" ref="I198">IF(GetCSVIndex(A2,7+1890)="2","Water After"," ")</f>
        <v xml:space="preserve"> </v>
      </c>
      <c r="J198" s="19"/>
      <c r="K198" s="19" t="str" cm="1">
        <f t="array" ref="K198">IF(GetCSVIndex(A2,7+1890)="2",GetCSVIndex(A2,12+1890)," ")</f>
        <v xml:space="preserve"> </v>
      </c>
      <c r="L198" s="47" t="str" cm="1">
        <f t="array" ref="L198">IF(GetCSVIndex(A2,7+1890)="2","Days"," ")</f>
        <v xml:space="preserve"> </v>
      </c>
      <c r="M198" s="32"/>
      <c r="N198" s="32"/>
      <c r="O198" s="24"/>
    </row>
    <row r="199" spans="1:15" ht="21" customHeight="1" x14ac:dyDescent="0.25">
      <c r="A199" s="20" t="s">
        <v>23</v>
      </c>
      <c r="B199" s="18" t="s">
        <v>24</v>
      </c>
      <c r="C199" s="18" t="str" cm="1">
        <f t="array" ref="C199">CHOOSE(GetCSVIndex(A2,13)+1, "Auto", "Start to End","Manual")</f>
        <v>Start to End</v>
      </c>
      <c r="D199" s="31"/>
      <c r="E199" s="17" t="s">
        <v>38</v>
      </c>
      <c r="F199" s="18" t="s">
        <v>39</v>
      </c>
      <c r="G199" s="18" t="s">
        <v>40</v>
      </c>
      <c r="H199" s="18" t="s">
        <v>41</v>
      </c>
      <c r="I199" s="18" t="s">
        <v>43</v>
      </c>
      <c r="J199" s="31"/>
      <c r="K199" s="17" t="s">
        <v>38</v>
      </c>
      <c r="L199" s="18" t="s">
        <v>39</v>
      </c>
      <c r="M199" s="18" t="s">
        <v>40</v>
      </c>
      <c r="N199" s="22" t="s">
        <v>41</v>
      </c>
      <c r="O199" s="44" t="s">
        <v>42</v>
      </c>
    </row>
    <row r="200" spans="1:15" ht="21" customHeight="1" x14ac:dyDescent="0.25">
      <c r="A200" s="36" t="s">
        <v>25</v>
      </c>
      <c r="B200" s="46" t="str" cm="1">
        <f t="array" ref="B200">IF(GetCSVIndex(A2,6+1890)="1","Over","Stack")</f>
        <v>Stack</v>
      </c>
      <c r="C200" s="26" t="str" cm="1">
        <f t="array" ref="C200">GetCSVIndex(A2,29+1890)</f>
        <v/>
      </c>
      <c r="D200" s="25"/>
      <c r="E200" s="45">
        <v>1</v>
      </c>
      <c r="F200" s="29" t="e" cm="1">
        <f t="array" ref="F200">CHOOSE(GetCSVIndex(A2,36+1890)+1,"","Station","Block","","Delay")</f>
        <v>#VALUE!</v>
      </c>
      <c r="G200" s="29" t="str" cm="1">
        <f t="array" ref="G200">GetCSVIndex(A2,37+1890)</f>
        <v/>
      </c>
      <c r="H200" s="45" t="str" cm="1">
        <f t="array" ref="H200">GetCSVIndex(A2,3+1890)</f>
        <v/>
      </c>
      <c r="I200" s="29" t="str" cm="1">
        <f t="array" ref="I200">GetCSVIndex(A2,1+1890)</f>
        <v/>
      </c>
      <c r="J200" s="25"/>
      <c r="K200" s="45">
        <v>33</v>
      </c>
      <c r="L200" s="29" t="e" cm="1">
        <f t="array" ref="L200">CHOOSE(GetCSVIndex(A2,132+1890)+1,"","Station","Block","","Delay")</f>
        <v>#VALUE!</v>
      </c>
      <c r="M200" s="29" t="str" cm="1">
        <f t="array" ref="M200">GetCSVIndex(A2,133+1890)</f>
        <v/>
      </c>
      <c r="N200" s="27" t="str" cm="1">
        <f t="array" ref="N200">GetCSVIndex(A2,283+1890)</f>
        <v/>
      </c>
      <c r="O200" s="43" t="str" cm="1">
        <f t="array" ref="O200">GetCSVIndex(A2,346+1890)</f>
        <v/>
      </c>
    </row>
    <row r="201" spans="1:15" ht="21" customHeight="1" x14ac:dyDescent="0.25">
      <c r="A201" s="36" t="s">
        <v>26</v>
      </c>
      <c r="B201" s="25" t="str" cm="1">
        <f t="array" ref="B201">IF(GetCSVIndex(A2,2+1890)="1092:15","Not Set",CONCATENATE("From     ",GetCSVIndex(A2,2+1890)))</f>
        <v xml:space="preserve">From     </v>
      </c>
      <c r="C201" s="26" t="str" cm="1">
        <f t="array" ref="C201">IF(GetCSVIndex(C4,1+10)="1092:15","Not Set",CONCATENATE("To     ",GetCSVIndex(C4,1+10)))</f>
        <v xml:space="preserve">To     </v>
      </c>
      <c r="D201" s="25"/>
      <c r="E201" s="45">
        <v>2</v>
      </c>
      <c r="F201" s="29" t="e" cm="1">
        <f t="array" ref="F201">CHOOSE(GetCSVIndex(A2,39+1890)+1,"","Station","Block","","Delay")</f>
        <v>#VALUE!</v>
      </c>
      <c r="G201" s="29" t="str" cm="1">
        <f t="array" ref="G201">GetCSVIndex(A2,40+1890)</f>
        <v/>
      </c>
      <c r="H201" s="45" t="str" cm="1">
        <f t="array" ref="H201">GetCSVIndex(A2,252+1890)</f>
        <v/>
      </c>
      <c r="I201" s="29" t="str" cm="1">
        <f t="array" ref="I201">GetCSVIndex(A2,315+1890)</f>
        <v/>
      </c>
      <c r="J201" s="25"/>
      <c r="K201" s="45">
        <v>34</v>
      </c>
      <c r="L201" s="29" t="e" cm="1">
        <f t="array" ref="L201">CHOOSE(GetCSVIndex(A2,135+1890)+1,"","Station","Block","","Delay")</f>
        <v>#VALUE!</v>
      </c>
      <c r="M201" s="29" t="str" cm="1">
        <f t="array" ref="M201">GetCSVIndex(A2,136+1890)</f>
        <v/>
      </c>
      <c r="N201" s="27" t="str" cm="1">
        <f t="array" ref="N201">GetCSVIndex(A2,284+1890)</f>
        <v/>
      </c>
      <c r="O201" s="43" t="str" cm="1">
        <f t="array" ref="O201">GetCSVIndex(A2,347+1890)</f>
        <v/>
      </c>
    </row>
    <row r="202" spans="1:15" ht="21" customHeight="1" x14ac:dyDescent="0.25">
      <c r="A202" s="36" t="s">
        <v>27</v>
      </c>
      <c r="B202" s="25"/>
      <c r="C202" s="26" t="str" cm="1">
        <f t="array" ref="C202">CONCATENATE(GetCSVIndex(A2,249+1890),":", GetCSVIndex(A2,250+1890),":", GetCSVIndex(A2,251+1890))</f>
        <v>::</v>
      </c>
      <c r="D202" s="26"/>
      <c r="E202" s="45">
        <v>3</v>
      </c>
      <c r="F202" s="29" t="e" cm="1">
        <f t="array" ref="F202">CHOOSE(GetCSVIndex(A2,42+1890)+1,"","Station","Block","","Delay")</f>
        <v>#VALUE!</v>
      </c>
      <c r="G202" s="29" t="str" cm="1">
        <f t="array" ref="G202">GetCSVIndex(A2,43+1890)</f>
        <v/>
      </c>
      <c r="H202" s="45" t="str" cm="1">
        <f t="array" ref="H202">GetCSVIndex(A2,253+1890)</f>
        <v/>
      </c>
      <c r="I202" s="29" t="str" cm="1">
        <f t="array" ref="I202">GetCSVIndex(A2,316+1890)</f>
        <v/>
      </c>
      <c r="J202" s="25"/>
      <c r="K202" s="45">
        <v>35</v>
      </c>
      <c r="L202" s="29" t="e" cm="1">
        <f t="array" ref="L202">CHOOSE(GetCSVIndex(A2,138+1890)+1,"","Station","Block","","Delay")</f>
        <v>#VALUE!</v>
      </c>
      <c r="M202" s="29" t="str" cm="1">
        <f t="array" ref="M202">GetCSVIndex(A2,139+1890)</f>
        <v/>
      </c>
      <c r="N202" s="27" t="str" cm="1">
        <f t="array" ref="N202">GetCSVIndex(A2,285+1890)</f>
        <v/>
      </c>
      <c r="O202" s="43" t="str" cm="1">
        <f t="array" ref="O202">GetCSVIndex(A2,348+1890)</f>
        <v/>
      </c>
    </row>
    <row r="203" spans="1:15" ht="21" customHeight="1" x14ac:dyDescent="0.25">
      <c r="A203" s="36"/>
      <c r="B203" s="25"/>
      <c r="C203" s="25"/>
      <c r="D203" s="25"/>
      <c r="E203" s="45">
        <v>4</v>
      </c>
      <c r="F203" s="29" t="e" cm="1">
        <f t="array" ref="F203">CHOOSE(GetCSVIndex(A2,45+1890)+1,"","Station","Block","","Delay")</f>
        <v>#VALUE!</v>
      </c>
      <c r="G203" s="29" t="str" cm="1">
        <f t="array" ref="G203">GetCSVIndex(A2,46+1890)</f>
        <v/>
      </c>
      <c r="H203" s="45" t="str" cm="1">
        <f t="array" ref="H203">GetCSVIndex(A2,254+1890)</f>
        <v/>
      </c>
      <c r="I203" s="29" t="str" cm="1">
        <f t="array" ref="I203">GetCSVIndex(A2,317+1890)</f>
        <v/>
      </c>
      <c r="J203" s="25"/>
      <c r="K203" s="45">
        <v>36</v>
      </c>
      <c r="L203" s="29" t="e" cm="1">
        <f t="array" ref="L203">CHOOSE(GetCSVIndex(A2,141+1890)+1,"","Station","Block","","Delay")</f>
        <v>#VALUE!</v>
      </c>
      <c r="M203" s="29" t="str" cm="1">
        <f t="array" ref="M203">GetCSVIndex(A2,142+1890)</f>
        <v/>
      </c>
      <c r="N203" s="27" t="str" cm="1">
        <f t="array" ref="N203">GetCSVIndex(A2,286+1890)</f>
        <v/>
      </c>
      <c r="O203" s="43" t="str" cm="1">
        <f t="array" ref="O203">GetCSVIndex(A2,349+1890)</f>
        <v/>
      </c>
    </row>
    <row r="204" spans="1:15" ht="21" customHeight="1" x14ac:dyDescent="0.25">
      <c r="A204" s="37" t="s">
        <v>28</v>
      </c>
      <c r="B204" s="28"/>
      <c r="C204" s="29" t="str" cm="1">
        <f t="array" ref="C204">IF(GetCSVIndex(A2,14+1890)&lt;&gt;"65535",CONCATENATE(GetCSVIndex(A2,229+1890),":", GetCSVIndex(A2,239+1890)),"OFF")</f>
        <v>:</v>
      </c>
      <c r="D204" s="25"/>
      <c r="E204" s="45">
        <v>5</v>
      </c>
      <c r="F204" s="29" t="e" cm="1">
        <f t="array" ref="F204">CHOOSE(GetCSVIndex(A2,48+1890)+1,"","Station","Block","","Delay")</f>
        <v>#VALUE!</v>
      </c>
      <c r="G204" s="29" t="str" cm="1">
        <f t="array" ref="G204">GetCSVIndex(A2,49+1890)</f>
        <v/>
      </c>
      <c r="H204" s="45" t="str" cm="1">
        <f t="array" ref="H204">GetCSVIndex(A2,255+1890)</f>
        <v/>
      </c>
      <c r="I204" s="29" t="str" cm="1">
        <f t="array" ref="I204">GetCSVIndex(A2,318+1890)</f>
        <v/>
      </c>
      <c r="J204" s="25"/>
      <c r="K204" s="45">
        <v>37</v>
      </c>
      <c r="L204" s="29" t="e" cm="1">
        <f t="array" ref="L204">CHOOSE(GetCSVIndex(A2,144+1890)+1,"","Station","Block","","Delay")</f>
        <v>#VALUE!</v>
      </c>
      <c r="M204" s="29" t="str" cm="1">
        <f t="array" ref="M204">GetCSVIndex(A2,145+1890)</f>
        <v/>
      </c>
      <c r="N204" s="27" t="str" cm="1">
        <f t="array" ref="N204">GetCSVIndex(A2,287+1890)</f>
        <v/>
      </c>
      <c r="O204" s="43" t="str" cm="1">
        <f t="array" ref="O204">GetCSVIndex(A2,350+1890)</f>
        <v/>
      </c>
    </row>
    <row r="205" spans="1:15" ht="21" customHeight="1" x14ac:dyDescent="0.25">
      <c r="A205" s="38" t="s">
        <v>29</v>
      </c>
      <c r="B205" s="30"/>
      <c r="C205" s="29" t="str" cm="1">
        <f t="array" ref="C205">IF(GetCSVIndex(A2,15+1890)&lt;&gt;"65535",CONCATENATE(GetCSVIndex(A2,231+1890),":", GetCSVIndex(A2,241+1890)),"OFF")</f>
        <v>:</v>
      </c>
      <c r="D205" s="25"/>
      <c r="E205" s="45">
        <v>6</v>
      </c>
      <c r="F205" s="29" t="e" cm="1">
        <f t="array" ref="F205">CHOOSE(GetCSVIndex(A2,51+1890)+1,"","Station","Block","","Delay")</f>
        <v>#VALUE!</v>
      </c>
      <c r="G205" s="29" t="str" cm="1">
        <f t="array" ref="G205">GetCSVIndex(A2,52+1890)</f>
        <v/>
      </c>
      <c r="H205" s="45" t="str" cm="1">
        <f t="array" ref="H205">GetCSVIndex(A2,256+1890)</f>
        <v/>
      </c>
      <c r="I205" s="29" t="str" cm="1">
        <f t="array" ref="I205">GetCSVIndex(A2,319+1890)</f>
        <v/>
      </c>
      <c r="J205" s="25"/>
      <c r="K205" s="45">
        <v>38</v>
      </c>
      <c r="L205" s="29" t="e" cm="1">
        <f t="array" ref="L205">CHOOSE(GetCSVIndex(A2,147+1890)+1,"","Station","Block","","Delay")</f>
        <v>#VALUE!</v>
      </c>
      <c r="M205" s="29" t="str" cm="1">
        <f t="array" ref="M205">GetCSVIndex(A2,148+1890)</f>
        <v/>
      </c>
      <c r="N205" s="27" t="str" cm="1">
        <f t="array" ref="N205">GetCSVIndex(A2,288+1890)</f>
        <v/>
      </c>
      <c r="O205" s="43" t="str" cm="1">
        <f t="array" ref="O205">GetCSVIndex(A2,351+1890)</f>
        <v/>
      </c>
    </row>
    <row r="206" spans="1:15" ht="21" customHeight="1" x14ac:dyDescent="0.25">
      <c r="A206" s="38" t="s">
        <v>30</v>
      </c>
      <c r="B206" s="30"/>
      <c r="C206" s="29" t="str" cm="1">
        <f t="array" ref="C206">IF(GetCSVIndex(A2,16+1890)&lt;&gt;"65535",CONCATENATE(GetCSVIndex(A2,232+1890),":", GetCSVIndex(A2,242+1890)),"OFF")</f>
        <v>:</v>
      </c>
      <c r="D206" s="25"/>
      <c r="E206" s="45">
        <v>7</v>
      </c>
      <c r="F206" s="29" t="e" cm="1">
        <f t="array" ref="F206">CHOOSE(GetCSVIndex(A2,54+1890)+1,"","Station","Block","","Delay")</f>
        <v>#VALUE!</v>
      </c>
      <c r="G206" s="29" t="str" cm="1">
        <f t="array" ref="G206">GetCSVIndex(A2,55+1890)</f>
        <v/>
      </c>
      <c r="H206" s="45" t="str" cm="1">
        <f t="array" ref="H206">GetCSVIndex(A2,257+1890)</f>
        <v/>
      </c>
      <c r="I206" s="29" t="str" cm="1">
        <f t="array" ref="I206">GetCSVIndex(A2,320+1890)</f>
        <v/>
      </c>
      <c r="J206" s="25"/>
      <c r="K206" s="45">
        <v>39</v>
      </c>
      <c r="L206" s="29" t="e" cm="1">
        <f t="array" ref="L206">CHOOSE(GetCSVIndex(A2,150+1890)+1,"","Station","Block","","Delay")</f>
        <v>#VALUE!</v>
      </c>
      <c r="M206" s="29" t="str" cm="1">
        <f t="array" ref="M206">GetCSVIndex(A2,151+1890)</f>
        <v/>
      </c>
      <c r="N206" s="27" t="str" cm="1">
        <f t="array" ref="N206">GetCSVIndex(A2,289+1890)</f>
        <v/>
      </c>
      <c r="O206" s="43" t="str" cm="1">
        <f t="array" ref="O206">GetCSVIndex(A2,352+1890)</f>
        <v/>
      </c>
    </row>
    <row r="207" spans="1:15" ht="21" customHeight="1" x14ac:dyDescent="0.25">
      <c r="A207" s="38" t="s">
        <v>31</v>
      </c>
      <c r="B207" s="30"/>
      <c r="C207" s="29" t="str" cm="1">
        <f t="array" ref="C207">IF(GetCSVIndex(A2,17+1890)&lt;&gt;"65535",CONCATENATE(GetCSVIndex(A2,233+1890),":", GetCSVIndex(A2,243+1890)),"OFF")</f>
        <v>:</v>
      </c>
      <c r="D207" s="25"/>
      <c r="E207" s="45">
        <v>8</v>
      </c>
      <c r="F207" s="29" t="e" cm="1">
        <f t="array" ref="F207">CHOOSE(GetCSVIndex(A2,57+1890)+1,"","Station","Block","","Delay")</f>
        <v>#VALUE!</v>
      </c>
      <c r="G207" s="29" t="str" cm="1">
        <f t="array" ref="G207">GetCSVIndex(A2,58+1890)</f>
        <v/>
      </c>
      <c r="H207" s="45" t="str" cm="1">
        <f t="array" ref="H207">GetCSVIndex(A2,258+1890)</f>
        <v/>
      </c>
      <c r="I207" s="29" t="str" cm="1">
        <f t="array" ref="I207">GetCSVIndex(A2,321+1890)</f>
        <v/>
      </c>
      <c r="J207" s="25"/>
      <c r="K207" s="45">
        <v>40</v>
      </c>
      <c r="L207" s="29" t="e" cm="1">
        <f t="array" ref="L207">CHOOSE(GetCSVIndex(A2,153+1890)+1,"","Station","Block","","Delay")</f>
        <v>#VALUE!</v>
      </c>
      <c r="M207" s="29" t="str" cm="1">
        <f t="array" ref="M207">GetCSVIndex(A2,154+1890)</f>
        <v/>
      </c>
      <c r="N207" s="27" t="str" cm="1">
        <f t="array" ref="N207">GetCSVIndex(A2,290+1890)</f>
        <v/>
      </c>
      <c r="O207" s="43" t="str" cm="1">
        <f t="array" ref="O207">GetCSVIndex(A2,353+1890)</f>
        <v/>
      </c>
    </row>
    <row r="208" spans="1:15" ht="21" customHeight="1" x14ac:dyDescent="0.25">
      <c r="A208" s="38" t="s">
        <v>32</v>
      </c>
      <c r="B208" s="30"/>
      <c r="C208" s="29" t="str" cm="1">
        <f t="array" ref="C208">IF(GetCSVIndex(A2,18+1890)&lt;&gt;"65535",CONCATENATE(GetCSVIndex(A2,234+1890),":", GetCSVIndex(A2,244+1890)),"OFF")</f>
        <v>:</v>
      </c>
      <c r="D208" s="25"/>
      <c r="E208" s="45">
        <v>9</v>
      </c>
      <c r="F208" s="29" t="e" cm="1">
        <f t="array" ref="F208">CHOOSE(GetCSVIndex(A2,60+1890)+1,"","Station","Block","","Delay")</f>
        <v>#VALUE!</v>
      </c>
      <c r="G208" s="29" t="str" cm="1">
        <f t="array" ref="G208">GetCSVIndex(A2,61+1890)</f>
        <v/>
      </c>
      <c r="H208" s="45" t="str" cm="1">
        <f t="array" ref="H208">GetCSVIndex(A2,259+1890)</f>
        <v/>
      </c>
      <c r="I208" s="29" t="str" cm="1">
        <f t="array" ref="I208">GetCSVIndex(A2,322+1890)</f>
        <v/>
      </c>
      <c r="J208" s="25"/>
      <c r="K208" s="45">
        <v>41</v>
      </c>
      <c r="L208" s="29" t="e" cm="1">
        <f t="array" ref="L208">CHOOSE(GetCSVIndex(A2,156+1890)+1,"","Station","Block","","Delay")</f>
        <v>#VALUE!</v>
      </c>
      <c r="M208" s="29" t="str" cm="1">
        <f t="array" ref="M208">GetCSVIndex(A2,157+1890)</f>
        <v/>
      </c>
      <c r="N208" s="27" t="str" cm="1">
        <f t="array" ref="N208">GetCSVIndex(A2,291+1890)</f>
        <v/>
      </c>
      <c r="O208" s="43" t="str" cm="1">
        <f t="array" ref="O208">GetCSVIndex(A2,354+1890)</f>
        <v/>
      </c>
    </row>
    <row r="209" spans="1:15" ht="21" customHeight="1" x14ac:dyDescent="0.25">
      <c r="A209" s="38" t="s">
        <v>33</v>
      </c>
      <c r="B209" s="30"/>
      <c r="C209" s="29" t="str" cm="1">
        <f t="array" ref="C209">IF(GetCSVIndex(A2,19+1890)&lt;&gt;"65535",CONCATENATE(GetCSVIndex(A2,235+1890),":", GetCSVIndex(A2,245+1890)),"OFF")</f>
        <v>:</v>
      </c>
      <c r="D209" s="25"/>
      <c r="E209" s="45">
        <v>10</v>
      </c>
      <c r="F209" s="29" t="e" cm="1">
        <f t="array" ref="F209">CHOOSE(GetCSVIndex(A2,63+1890)+1,"","Station","Block","","Delay")</f>
        <v>#VALUE!</v>
      </c>
      <c r="G209" s="29" t="str" cm="1">
        <f t="array" ref="G209">GetCSVIndex(A2,64+1890)</f>
        <v/>
      </c>
      <c r="H209" s="45" t="str" cm="1">
        <f t="array" ref="H209">GetCSVIndex(A2,260+1890)</f>
        <v/>
      </c>
      <c r="I209" s="29" t="str" cm="1">
        <f t="array" ref="I209">GetCSVIndex(A2,323+1890)</f>
        <v/>
      </c>
      <c r="J209" s="25"/>
      <c r="K209" s="45">
        <v>42</v>
      </c>
      <c r="L209" s="29" t="e" cm="1">
        <f t="array" ref="L209">CHOOSE(GetCSVIndex(A2,159+1890)+1,"","Station","Block","","Delay")</f>
        <v>#VALUE!</v>
      </c>
      <c r="M209" s="29" t="str" cm="1">
        <f t="array" ref="M209">GetCSVIndex(A2,160+1890)</f>
        <v/>
      </c>
      <c r="N209" s="27" t="str" cm="1">
        <f t="array" ref="N209">GetCSVIndex(A2,292+1890)</f>
        <v/>
      </c>
      <c r="O209" s="43" t="str" cm="1">
        <f t="array" ref="O209">GetCSVIndex(A2,355+1890)</f>
        <v/>
      </c>
    </row>
    <row r="210" spans="1:15" ht="21" customHeight="1" x14ac:dyDescent="0.25">
      <c r="A210" s="38" t="s">
        <v>34</v>
      </c>
      <c r="B210" s="30"/>
      <c r="C210" s="29" t="str" cm="1">
        <f t="array" ref="C210">IF(GetCSVIndex(A2,20+1890)&lt;&gt;"65535",CONCATENATE(GetCSVIndex(A2,236+1890),":", GetCSVIndex(A2,246+1890)),"OFF")</f>
        <v>:</v>
      </c>
      <c r="D210" s="25"/>
      <c r="E210" s="45">
        <v>11</v>
      </c>
      <c r="F210" s="29" t="e" cm="1">
        <f t="array" ref="F210">CHOOSE(GetCSVIndex(A2,66+1890)+1,"","Station","Block","","Delay")</f>
        <v>#VALUE!</v>
      </c>
      <c r="G210" s="29" t="str" cm="1">
        <f t="array" ref="G210">GetCSVIndex(A2,67+1890)</f>
        <v/>
      </c>
      <c r="H210" s="45" t="str" cm="1">
        <f t="array" ref="H210">GetCSVIndex(A2,261+1890)</f>
        <v/>
      </c>
      <c r="I210" s="29" t="str" cm="1">
        <f t="array" ref="I210">GetCSVIndex(A2,324+1890)</f>
        <v/>
      </c>
      <c r="J210" s="25"/>
      <c r="K210" s="45">
        <v>43</v>
      </c>
      <c r="L210" s="29" t="e" cm="1">
        <f t="array" ref="L210">CHOOSE(GetCSVIndex(A2,162+1890)+1,"","Station","Block","","Delay")</f>
        <v>#VALUE!</v>
      </c>
      <c r="M210" s="29" t="str" cm="1">
        <f t="array" ref="M210">GetCSVIndex(A2,163+1890)</f>
        <v/>
      </c>
      <c r="N210" s="27" t="str" cm="1">
        <f t="array" ref="N210">GetCSVIndex(A2,293+1890)</f>
        <v/>
      </c>
      <c r="O210" s="43" t="str" cm="1">
        <f t="array" ref="O210">GetCSVIndex(A2,356+1890)</f>
        <v/>
      </c>
    </row>
    <row r="211" spans="1:15" ht="21" customHeight="1" x14ac:dyDescent="0.25">
      <c r="A211" s="38" t="s">
        <v>35</v>
      </c>
      <c r="B211" s="30"/>
      <c r="C211" s="29" t="str" cm="1">
        <f t="array" ref="C211">IF(GetCSVIndex(A2,21+1890)&lt;&gt;"65535",CONCATENATE(GetCSVIndex(A2,237+1890),":", GetCSVIndex(A2,247+1890)),"OFF")</f>
        <v>:</v>
      </c>
      <c r="D211" s="25"/>
      <c r="E211" s="45">
        <v>12</v>
      </c>
      <c r="F211" s="29" t="e" cm="1">
        <f t="array" ref="F211">CHOOSE(GetCSVIndex(A2,69+1890)+1,"","Station","Block","","Delay")</f>
        <v>#VALUE!</v>
      </c>
      <c r="G211" s="29" t="str" cm="1">
        <f t="array" ref="G211">GetCSVIndex(A2,70+1890)</f>
        <v/>
      </c>
      <c r="H211" s="45" t="str" cm="1">
        <f t="array" ref="H211">GetCSVIndex(A2,262+1890)</f>
        <v/>
      </c>
      <c r="I211" s="29" t="str" cm="1">
        <f t="array" ref="I211">GetCSVIndex(A2,325+1890)</f>
        <v/>
      </c>
      <c r="J211" s="25"/>
      <c r="K211" s="45">
        <v>44</v>
      </c>
      <c r="L211" s="29" t="e" cm="1">
        <f t="array" ref="L211">CHOOSE(GetCSVIndex(A2,165+1890)+1,"","Station","Block","","Delay")</f>
        <v>#VALUE!</v>
      </c>
      <c r="M211" s="29" t="str" cm="1">
        <f t="array" ref="M211">GetCSVIndex(A2,166+1890)</f>
        <v/>
      </c>
      <c r="N211" s="27" t="str" cm="1">
        <f t="array" ref="N211">GetCSVIndex(A2,294+1890)</f>
        <v/>
      </c>
      <c r="O211" s="43" t="str" cm="1">
        <f t="array" ref="O211">GetCSVIndex(A2,357+1890)</f>
        <v/>
      </c>
    </row>
    <row r="212" spans="1:15" ht="21" customHeight="1" x14ac:dyDescent="0.25">
      <c r="A212" s="38" t="s">
        <v>36</v>
      </c>
      <c r="B212" s="30"/>
      <c r="C212" s="29" t="str" cm="1">
        <f t="array" ref="C212">IF(GetCSVIndex(A2,22+1890)&lt;&gt;"65535",CONCATENATE(GetCSVIndex(A2,238+1890),":", GetCSVIndex(A2,248+1890)),"OFF")</f>
        <v>:</v>
      </c>
      <c r="D212" s="25"/>
      <c r="E212" s="45">
        <v>13</v>
      </c>
      <c r="F212" s="29" t="e" cm="1">
        <f t="array" ref="F212">CHOOSE(GetCSVIndex(A2,72+1890)+1,"","Station","Block","","Delay")</f>
        <v>#VALUE!</v>
      </c>
      <c r="G212" s="29" t="str" cm="1">
        <f t="array" ref="G212">GetCSVIndex(A2,73+1890)</f>
        <v/>
      </c>
      <c r="H212" s="45" t="str" cm="1">
        <f t="array" ref="H212">GetCSVIndex(A2,263+1890)</f>
        <v/>
      </c>
      <c r="I212" s="29" t="str" cm="1">
        <f t="array" ref="I212">GetCSVIndex(A2,326+1890)</f>
        <v/>
      </c>
      <c r="J212" s="25"/>
      <c r="K212" s="45">
        <v>45</v>
      </c>
      <c r="L212" s="29" t="e" cm="1">
        <f t="array" ref="L212">CHOOSE(GetCSVIndex(A2,168+1890)+1,"","Station","Block","","Delay")</f>
        <v>#VALUE!</v>
      </c>
      <c r="M212" s="29" t="str" cm="1">
        <f t="array" ref="M212">GetCSVIndex(A2,169+1890)</f>
        <v/>
      </c>
      <c r="N212" s="27" t="str" cm="1">
        <f t="array" ref="N212">GetCSVIndex(A2,295+1890)</f>
        <v/>
      </c>
      <c r="O212" s="43" t="str" cm="1">
        <f t="array" ref="O212">GetCSVIndex(A2,358+1890)</f>
        <v/>
      </c>
    </row>
    <row r="213" spans="1:15" ht="21" customHeight="1" x14ac:dyDescent="0.25">
      <c r="A213" s="36" t="s">
        <v>37</v>
      </c>
      <c r="B213" s="25"/>
      <c r="C213" s="29" t="str" cm="1">
        <f t="array" ref="C213">IF(GetCSVIndex(A2,23+1890)&lt;&gt;"65535",CONCATENATE(GetCSVIndex(A2,230+1890),":", GetCSVIndex(A2,240+1890)),"OFF")</f>
        <v>:</v>
      </c>
      <c r="D213" s="25"/>
      <c r="E213" s="45">
        <v>14</v>
      </c>
      <c r="F213" s="29" t="e" cm="1">
        <f t="array" ref="F213">CHOOSE(GetCSVIndex(A2,75+1890)+1,"","Station","Block","","Delay")</f>
        <v>#VALUE!</v>
      </c>
      <c r="G213" s="29" t="str" cm="1">
        <f t="array" ref="G213">GetCSVIndex(A2,76+1890)</f>
        <v/>
      </c>
      <c r="H213" s="45" t="str" cm="1">
        <f t="array" ref="H213">GetCSVIndex(A2,264+1890)</f>
        <v/>
      </c>
      <c r="I213" s="29" t="str" cm="1">
        <f t="array" ref="I213">GetCSVIndex(A2,327+1890)</f>
        <v/>
      </c>
      <c r="J213" s="25"/>
      <c r="K213" s="45">
        <v>46</v>
      </c>
      <c r="L213" s="29" t="e" cm="1">
        <f t="array" ref="L213">CHOOSE(GetCSVIndex(A2,171+1890)+1,"","Station","Block","","Delay")</f>
        <v>#VALUE!</v>
      </c>
      <c r="M213" s="29" t="str" cm="1">
        <f t="array" ref="M213">GetCSVIndex(A2,172+1890)</f>
        <v/>
      </c>
      <c r="N213" s="27" t="str" cm="1">
        <f t="array" ref="N213">GetCSVIndex(A2,296+1890)</f>
        <v/>
      </c>
      <c r="O213" s="43" t="str" cm="1">
        <f t="array" ref="O213">GetCSVIndex(A2,359+1890)</f>
        <v/>
      </c>
    </row>
    <row r="214" spans="1:15" ht="21" customHeight="1" x14ac:dyDescent="0.25">
      <c r="A214" s="39"/>
      <c r="B214" s="40"/>
      <c r="C214" s="41"/>
      <c r="D214" s="26"/>
      <c r="E214" s="45">
        <v>15</v>
      </c>
      <c r="F214" s="29" t="e" cm="1">
        <f t="array" ref="F214">CHOOSE(GetCSVIndex(A2,78+1890)+1,"","Station","Block","","Delay")</f>
        <v>#VALUE!</v>
      </c>
      <c r="G214" s="29" t="str" cm="1">
        <f t="array" ref="G214">GetCSVIndex(A2,79+1890)</f>
        <v/>
      </c>
      <c r="H214" s="45" t="str" cm="1">
        <f t="array" ref="H214">GetCSVIndex(A2,265+1890)</f>
        <v/>
      </c>
      <c r="I214" s="29" t="str" cm="1">
        <f t="array" ref="I214">GetCSVIndex(A2,328+1890)</f>
        <v/>
      </c>
      <c r="J214" s="26"/>
      <c r="K214" s="45">
        <v>47</v>
      </c>
      <c r="L214" s="29" t="e" cm="1">
        <f t="array" ref="L214">CHOOSE(GetCSVIndex(A2,174+1890)+1,"","Station","Block","","Delay")</f>
        <v>#VALUE!</v>
      </c>
      <c r="M214" s="29" t="str" cm="1">
        <f t="array" ref="M214">GetCSVIndex(A2,175+1890)</f>
        <v/>
      </c>
      <c r="N214" s="27" t="str" cm="1">
        <f t="array" ref="N214">GetCSVIndex(A2,297+1890)</f>
        <v/>
      </c>
      <c r="O214" s="43" t="str" cm="1">
        <f t="array" ref="O214">GetCSVIndex(A2,360+1890)</f>
        <v/>
      </c>
    </row>
    <row r="215" spans="1:15" ht="21" customHeight="1" x14ac:dyDescent="0.25">
      <c r="A215" s="42"/>
      <c r="B215" s="25"/>
      <c r="C215" s="25"/>
      <c r="D215" s="26"/>
      <c r="E215" s="45">
        <v>16</v>
      </c>
      <c r="F215" s="29" t="e" cm="1">
        <f t="array" ref="F215">CHOOSE(GetCSVIndex(A2,81+1890)+1,"","Station","Block","","Delay")</f>
        <v>#VALUE!</v>
      </c>
      <c r="G215" s="29" t="str" cm="1">
        <f t="array" ref="G215">GetCSVIndex(A2,82+1890)</f>
        <v/>
      </c>
      <c r="H215" s="45" t="str" cm="1">
        <f t="array" ref="H215">GetCSVIndex(A2,266+1890)</f>
        <v/>
      </c>
      <c r="I215" s="29" t="str" cm="1">
        <f t="array" ref="I215">GetCSVIndex(A2,329+1890)</f>
        <v/>
      </c>
      <c r="J215" s="25"/>
      <c r="K215" s="45">
        <v>48</v>
      </c>
      <c r="L215" s="29" t="e" cm="1">
        <f t="array" ref="L215">CHOOSE(GetCSVIndex(A2,177+1890)+1,"","Station","Block","","Delay")</f>
        <v>#VALUE!</v>
      </c>
      <c r="M215" s="29" t="str" cm="1">
        <f t="array" ref="M215">GetCSVIndex(A2,178+1890)</f>
        <v/>
      </c>
      <c r="N215" s="27" t="str" cm="1">
        <f t="array" ref="N215">GetCSVIndex(A2,298+1890)</f>
        <v/>
      </c>
      <c r="O215" s="43" t="str" cm="1">
        <f t="array" ref="O215">GetCSVIndex(A2,361+1890)</f>
        <v/>
      </c>
    </row>
    <row r="216" spans="1:15" ht="21" customHeight="1" x14ac:dyDescent="0.25">
      <c r="A216" s="42"/>
      <c r="B216" s="25"/>
      <c r="C216" s="25"/>
      <c r="D216" s="26"/>
      <c r="E216" s="45">
        <v>17</v>
      </c>
      <c r="F216" s="29" t="e" cm="1">
        <f t="array" ref="F216">CHOOSE(GetCSVIndex(A2,84+1890)+1,"","Station","Block","","Delay")</f>
        <v>#VALUE!</v>
      </c>
      <c r="G216" s="29" t="str" cm="1">
        <f t="array" ref="G216">GetCSVIndex(A2,85+1890)</f>
        <v/>
      </c>
      <c r="H216" s="45" t="str" cm="1">
        <f t="array" ref="H216">GetCSVIndex(A2,267+1890)</f>
        <v/>
      </c>
      <c r="I216" s="29" t="str" cm="1">
        <f t="array" ref="I216">GetCSVIndex(A2,330+1890)</f>
        <v/>
      </c>
      <c r="J216" s="26"/>
      <c r="K216" s="45">
        <v>49</v>
      </c>
      <c r="L216" s="29" t="e" cm="1">
        <f t="array" ref="L216">CHOOSE(GetCSVIndex(A2,180+1890)+1,"","Station","Block","","Delay")</f>
        <v>#VALUE!</v>
      </c>
      <c r="M216" s="29" t="str" cm="1">
        <f t="array" ref="M216">GetCSVIndex(A2,181+1890)</f>
        <v/>
      </c>
      <c r="N216" s="27" t="str" cm="1">
        <f t="array" ref="N216">GetCSVIndex(A2,299+1890)</f>
        <v/>
      </c>
      <c r="O216" s="43" t="str" cm="1">
        <f t="array" ref="O216">GetCSVIndex(A2,362+1890)</f>
        <v/>
      </c>
    </row>
    <row r="217" spans="1:15" ht="21" customHeight="1" x14ac:dyDescent="0.25">
      <c r="A217" s="42"/>
      <c r="B217" s="25"/>
      <c r="C217" s="25"/>
      <c r="D217" s="26"/>
      <c r="E217" s="45">
        <v>18</v>
      </c>
      <c r="F217" s="29" t="e" cm="1">
        <f t="array" ref="F217">CHOOSE(GetCSVIndex(A2,87+1890)+1,"","Station","Block","","Delay")</f>
        <v>#VALUE!</v>
      </c>
      <c r="G217" s="29" t="str" cm="1">
        <f t="array" ref="G217">GetCSVIndex(A2,88+1890)</f>
        <v/>
      </c>
      <c r="H217" s="45" t="str" cm="1">
        <f t="array" ref="H217">GetCSVIndex(A2,268+1890)</f>
        <v/>
      </c>
      <c r="I217" s="29" t="str" cm="1">
        <f t="array" ref="I217">GetCSVIndex(A2,331+1890)</f>
        <v/>
      </c>
      <c r="J217" s="26"/>
      <c r="K217" s="45">
        <v>50</v>
      </c>
      <c r="L217" s="29" t="e" cm="1">
        <f t="array" ref="L217">CHOOSE(GetCSVIndex(A2,183+1890)+1,"","Station","Block","","Delay")</f>
        <v>#VALUE!</v>
      </c>
      <c r="M217" s="29" t="str" cm="1">
        <f t="array" ref="M217">GetCSVIndex(A2,184+1890)</f>
        <v/>
      </c>
      <c r="N217" s="27" t="str" cm="1">
        <f t="array" ref="N217">GetCSVIndex(A2,300+1890)</f>
        <v/>
      </c>
      <c r="O217" s="43" t="str" cm="1">
        <f t="array" ref="O217">GetCSVIndex(A2,363+1890)</f>
        <v/>
      </c>
    </row>
    <row r="218" spans="1:15" ht="21" customHeight="1" x14ac:dyDescent="0.25">
      <c r="A218" s="42"/>
      <c r="B218" s="25"/>
      <c r="C218" s="25"/>
      <c r="D218" s="26"/>
      <c r="E218" s="45">
        <v>19</v>
      </c>
      <c r="F218" s="29" t="e" cm="1">
        <f t="array" ref="F218">CHOOSE(GetCSVIndex(A2,90+1890)+1,"","Station","Block","","Delay")</f>
        <v>#VALUE!</v>
      </c>
      <c r="G218" s="29" t="str" cm="1">
        <f t="array" ref="G218">GetCSVIndex(A2,91+1890)</f>
        <v/>
      </c>
      <c r="H218" s="45" t="str" cm="1">
        <f t="array" ref="H218">GetCSVIndex(A2,269+1890)</f>
        <v/>
      </c>
      <c r="I218" s="29" t="str" cm="1">
        <f t="array" ref="I218">GetCSVIndex(A2,332+1890)</f>
        <v/>
      </c>
      <c r="J218" s="26"/>
      <c r="K218" s="45">
        <v>51</v>
      </c>
      <c r="L218" s="29" t="e" cm="1">
        <f t="array" ref="L218">CHOOSE(GetCSVIndex(A2,186+1890)+1,"","Station","Block","","Delay")</f>
        <v>#VALUE!</v>
      </c>
      <c r="M218" s="29" t="str" cm="1">
        <f t="array" ref="M218">GetCSVIndex(A2,187+1890)</f>
        <v/>
      </c>
      <c r="N218" s="27" t="str" cm="1">
        <f t="array" ref="N218">GetCSVIndex(A2,301+1890)</f>
        <v/>
      </c>
      <c r="O218" s="43" t="str" cm="1">
        <f t="array" ref="O218">GetCSVIndex(A2,364+1890)</f>
        <v/>
      </c>
    </row>
    <row r="219" spans="1:15" ht="21" customHeight="1" x14ac:dyDescent="0.25">
      <c r="A219" s="42"/>
      <c r="B219" s="25"/>
      <c r="C219" s="25"/>
      <c r="D219" s="26"/>
      <c r="E219" s="45">
        <v>20</v>
      </c>
      <c r="F219" s="29" t="e" cm="1">
        <f t="array" ref="F219">CHOOSE(GetCSVIndex(A2,93+1890)+1,"","Station","Block","","Delay")</f>
        <v>#VALUE!</v>
      </c>
      <c r="G219" s="29" t="str" cm="1">
        <f t="array" ref="G219">GetCSVIndex(A2,94+1890)</f>
        <v/>
      </c>
      <c r="H219" s="45" t="str" cm="1">
        <f t="array" ref="H219">GetCSVIndex(A2,270+1890)</f>
        <v/>
      </c>
      <c r="I219" s="29" t="str" cm="1">
        <f t="array" ref="I219">GetCSVIndex(A2,333+1890)</f>
        <v/>
      </c>
      <c r="J219" s="26"/>
      <c r="K219" s="45">
        <v>52</v>
      </c>
      <c r="L219" s="29" t="e" cm="1">
        <f t="array" ref="L219">CHOOSE(GetCSVIndex(A2,189+1890)+1,"","Station","Block","","Delay")</f>
        <v>#VALUE!</v>
      </c>
      <c r="M219" s="29" t="str" cm="1">
        <f t="array" ref="M219">GetCSVIndex(A2,190+1890)</f>
        <v/>
      </c>
      <c r="N219" s="27" t="str" cm="1">
        <f t="array" ref="N219">GetCSVIndex(A2,302+1890)</f>
        <v/>
      </c>
      <c r="O219" s="43" t="str" cm="1">
        <f t="array" ref="O219">GetCSVIndex(A2,365+1890)</f>
        <v/>
      </c>
    </row>
    <row r="220" spans="1:15" ht="21" customHeight="1" x14ac:dyDescent="0.25">
      <c r="A220" s="42"/>
      <c r="B220" s="25"/>
      <c r="C220" s="25"/>
      <c r="D220" s="26"/>
      <c r="E220" s="45">
        <v>21</v>
      </c>
      <c r="F220" s="29" t="e" cm="1">
        <f t="array" ref="F220">CHOOSE(GetCSVIndex(A2,96+1890)+1,"","Station","Block","","Delay")</f>
        <v>#VALUE!</v>
      </c>
      <c r="G220" s="29" t="str" cm="1">
        <f t="array" ref="G220">GetCSVIndex(A2,97+1890)</f>
        <v/>
      </c>
      <c r="H220" s="45" t="str" cm="1">
        <f t="array" ref="H220">GetCSVIndex(A2,271+1890)</f>
        <v/>
      </c>
      <c r="I220" s="29" t="str" cm="1">
        <f t="array" ref="I220">GetCSVIndex(A2,334+1890)</f>
        <v/>
      </c>
      <c r="J220" s="26"/>
      <c r="K220" s="45">
        <v>53</v>
      </c>
      <c r="L220" s="29" t="e" cm="1">
        <f t="array" ref="L220">CHOOSE(GetCSVIndex(A2,192+1890)+1,"","Station","Block","","Delay")</f>
        <v>#VALUE!</v>
      </c>
      <c r="M220" s="29" t="str" cm="1">
        <f t="array" ref="M220">GetCSVIndex(A2,193+1890)</f>
        <v/>
      </c>
      <c r="N220" s="27" t="str" cm="1">
        <f t="array" ref="N220">GetCSVIndex(A2,303+1890)</f>
        <v/>
      </c>
      <c r="O220" s="43" t="str" cm="1">
        <f t="array" ref="O220">GetCSVIndex(A2,366+1890)</f>
        <v/>
      </c>
    </row>
    <row r="221" spans="1:15" ht="21" customHeight="1" x14ac:dyDescent="0.25">
      <c r="A221" s="42"/>
      <c r="B221" s="25"/>
      <c r="C221" s="25"/>
      <c r="D221" s="26"/>
      <c r="E221" s="45">
        <v>22</v>
      </c>
      <c r="F221" s="29" t="e" cm="1">
        <f t="array" ref="F221">CHOOSE(GetCSVIndex(A2,99+1890)+1,"","Station","Block","","Delay")</f>
        <v>#VALUE!</v>
      </c>
      <c r="G221" s="29" t="str" cm="1">
        <f t="array" ref="G221">GetCSVIndex(A2,100+1890)</f>
        <v/>
      </c>
      <c r="H221" s="45" t="str" cm="1">
        <f t="array" ref="H221">GetCSVIndex(A2,272+1890)</f>
        <v/>
      </c>
      <c r="I221" s="29" t="str" cm="1">
        <f t="array" ref="I221">GetCSVIndex(A2,335+1890)</f>
        <v/>
      </c>
      <c r="J221" s="26"/>
      <c r="K221" s="45">
        <v>54</v>
      </c>
      <c r="L221" s="29" t="e" cm="1">
        <f t="array" ref="L221">CHOOSE(GetCSVIndex(A2,195+1890)+1,"","Station","Block","","Delay")</f>
        <v>#VALUE!</v>
      </c>
      <c r="M221" s="29" t="str" cm="1">
        <f t="array" ref="M221">GetCSVIndex(A2,196+1890)</f>
        <v/>
      </c>
      <c r="N221" s="27" t="str" cm="1">
        <f t="array" ref="N221">GetCSVIndex(A2,304+1890)</f>
        <v/>
      </c>
      <c r="O221" s="43" t="str" cm="1">
        <f t="array" ref="O221">GetCSVIndex(A2,367+1890)</f>
        <v/>
      </c>
    </row>
    <row r="222" spans="1:15" ht="21" customHeight="1" x14ac:dyDescent="0.25">
      <c r="A222" s="42"/>
      <c r="B222" s="25"/>
      <c r="C222" s="25"/>
      <c r="D222" s="26"/>
      <c r="E222" s="45">
        <v>23</v>
      </c>
      <c r="F222" s="29" t="e" cm="1">
        <f t="array" ref="F222">CHOOSE(GetCSVIndex(A2,102+1890)+1,"","Station","Block","","Delay")</f>
        <v>#VALUE!</v>
      </c>
      <c r="G222" s="29" t="str" cm="1">
        <f t="array" ref="G222">GetCSVIndex(A2,103+1890)</f>
        <v/>
      </c>
      <c r="H222" s="45" t="str" cm="1">
        <f t="array" ref="H222">GetCSVIndex(A2,273+1890)</f>
        <v/>
      </c>
      <c r="I222" s="29" t="str" cm="1">
        <f t="array" ref="I222">GetCSVIndex(A2,336+1890)</f>
        <v/>
      </c>
      <c r="J222" s="26"/>
      <c r="K222" s="45">
        <v>55</v>
      </c>
      <c r="L222" s="29" t="e" cm="1">
        <f t="array" ref="L222">CHOOSE(GetCSVIndex(A2,198+1890)+1,"","Station","Block","","Delay")</f>
        <v>#VALUE!</v>
      </c>
      <c r="M222" s="29" t="str" cm="1">
        <f t="array" ref="M222">GetCSVIndex(A2,199+1890)</f>
        <v/>
      </c>
      <c r="N222" s="27" t="str" cm="1">
        <f t="array" ref="N222">GetCSVIndex(A2,305+1890)</f>
        <v/>
      </c>
      <c r="O222" s="43" t="str" cm="1">
        <f t="array" ref="O222">GetCSVIndex(A2,368+1890)</f>
        <v/>
      </c>
    </row>
    <row r="223" spans="1:15" ht="21" customHeight="1" x14ac:dyDescent="0.25">
      <c r="A223" s="42"/>
      <c r="B223" s="25"/>
      <c r="C223" s="25"/>
      <c r="D223" s="26"/>
      <c r="E223" s="45">
        <v>24</v>
      </c>
      <c r="F223" s="29" t="e" cm="1">
        <f t="array" ref="F223">CHOOSE(GetCSVIndex(A2,105+1890)+1,"","Station","Block","","Delay")</f>
        <v>#VALUE!</v>
      </c>
      <c r="G223" s="29" t="str" cm="1">
        <f t="array" ref="G223">GetCSVIndex(A2,106+1890)</f>
        <v/>
      </c>
      <c r="H223" s="45" t="str" cm="1">
        <f t="array" ref="H223">GetCSVIndex(A2,274+1890)</f>
        <v/>
      </c>
      <c r="I223" s="29" t="str" cm="1">
        <f t="array" ref="I223">GetCSVIndex(A2,337+1890)</f>
        <v/>
      </c>
      <c r="J223" s="26"/>
      <c r="K223" s="45">
        <v>56</v>
      </c>
      <c r="L223" s="29" t="e" cm="1">
        <f t="array" ref="L223">CHOOSE(GetCSVIndex(A2,201+1890)+1,"","Station","Block","","Delay")</f>
        <v>#VALUE!</v>
      </c>
      <c r="M223" s="29" t="str" cm="1">
        <f t="array" ref="M223">GetCSVIndex(A2,202+1890)</f>
        <v/>
      </c>
      <c r="N223" s="27" t="str" cm="1">
        <f t="array" ref="N223">GetCSVIndex(A2,306+1890)</f>
        <v/>
      </c>
      <c r="O223" s="43" t="str" cm="1">
        <f t="array" ref="O223">GetCSVIndex(A2,369+1890)</f>
        <v/>
      </c>
    </row>
    <row r="224" spans="1:15" ht="21" customHeight="1" x14ac:dyDescent="0.25">
      <c r="A224" s="42"/>
      <c r="B224" s="25"/>
      <c r="C224" s="25"/>
      <c r="D224" s="26"/>
      <c r="E224" s="45">
        <v>25</v>
      </c>
      <c r="F224" s="29" t="e" cm="1">
        <f t="array" ref="F224">CHOOSE(GetCSVIndex(A2,108+1890)+1,"","Station","Block","","Delay")</f>
        <v>#VALUE!</v>
      </c>
      <c r="G224" s="29" t="str" cm="1">
        <f t="array" ref="G224">GetCSVIndex(A2,109+1890)</f>
        <v/>
      </c>
      <c r="H224" s="45" t="str" cm="1">
        <f t="array" ref="H224">GetCSVIndex(A2,275+1890)</f>
        <v/>
      </c>
      <c r="I224" s="29" t="str" cm="1">
        <f t="array" ref="I224">GetCSVIndex(A2,338+1890)</f>
        <v/>
      </c>
      <c r="J224" s="26"/>
      <c r="K224" s="45">
        <v>57</v>
      </c>
      <c r="L224" s="29" t="e" cm="1">
        <f t="array" ref="L224">CHOOSE(GetCSVIndex(A2,204+1890)+1,"","Station","Block","","Delay")</f>
        <v>#VALUE!</v>
      </c>
      <c r="M224" s="29" t="str" cm="1">
        <f t="array" ref="M224">GetCSVIndex(A2,205+1890)</f>
        <v/>
      </c>
      <c r="N224" s="27" t="str" cm="1">
        <f t="array" ref="N224">GetCSVIndex(A2,307+1890)</f>
        <v/>
      </c>
      <c r="O224" s="43" t="str" cm="1">
        <f t="array" ref="O224">GetCSVIndex(A2,370+1890)</f>
        <v/>
      </c>
    </row>
    <row r="225" spans="1:15" ht="21" customHeight="1" x14ac:dyDescent="0.25">
      <c r="A225" s="42"/>
      <c r="B225" s="25"/>
      <c r="C225" s="25"/>
      <c r="D225" s="26"/>
      <c r="E225" s="45">
        <v>26</v>
      </c>
      <c r="F225" s="29" t="e" cm="1">
        <f t="array" ref="F225">CHOOSE(GetCSVIndex(A2,111+1890)+1,"","Station","Block","","Delay")</f>
        <v>#VALUE!</v>
      </c>
      <c r="G225" s="29" t="str" cm="1">
        <f t="array" ref="G225">GetCSVIndex(A2,112+1890)</f>
        <v/>
      </c>
      <c r="H225" s="45" t="str" cm="1">
        <f t="array" ref="H225">GetCSVIndex(A2,276+1890)</f>
        <v/>
      </c>
      <c r="I225" s="29" t="str" cm="1">
        <f t="array" ref="I225">GetCSVIndex(A2,339+1890)</f>
        <v/>
      </c>
      <c r="J225" s="26"/>
      <c r="K225" s="45">
        <v>58</v>
      </c>
      <c r="L225" s="29" t="e" cm="1">
        <f t="array" ref="L225">CHOOSE(GetCSVIndex(A2,207+1890)+1,"","Station","Block","","Delay")</f>
        <v>#VALUE!</v>
      </c>
      <c r="M225" s="29" t="str" cm="1">
        <f t="array" ref="M225">GetCSVIndex(A2,208+1890)</f>
        <v/>
      </c>
      <c r="N225" s="27" t="str" cm="1">
        <f t="array" ref="N225">GetCSVIndex(A2,308+1890)</f>
        <v/>
      </c>
      <c r="O225" s="43" t="str" cm="1">
        <f t="array" ref="O225">GetCSVIndex(A2,371+1890)</f>
        <v/>
      </c>
    </row>
    <row r="226" spans="1:15" ht="21" customHeight="1" x14ac:dyDescent="0.25">
      <c r="A226" s="42"/>
      <c r="B226" s="25"/>
      <c r="C226" s="25"/>
      <c r="D226" s="26"/>
      <c r="E226" s="45">
        <v>27</v>
      </c>
      <c r="F226" s="29" t="e" cm="1">
        <f t="array" ref="F226">CHOOSE(GetCSVIndex(A2,114+1890)+1,"","Station","Block","","Delay")</f>
        <v>#VALUE!</v>
      </c>
      <c r="G226" s="29" t="str" cm="1">
        <f t="array" ref="G226">GetCSVIndex(A2,115+1890)</f>
        <v/>
      </c>
      <c r="H226" s="45" t="str" cm="1">
        <f t="array" ref="H226">GetCSVIndex(A2,277+1890)</f>
        <v/>
      </c>
      <c r="I226" s="29" t="str" cm="1">
        <f t="array" ref="I226">GetCSVIndex(A2,340+1890)</f>
        <v/>
      </c>
      <c r="J226" s="26"/>
      <c r="K226" s="45">
        <v>59</v>
      </c>
      <c r="L226" s="29" t="e" cm="1">
        <f t="array" ref="L226">CHOOSE(GetCSVIndex(A2,210+1890)+1,"","Station","Block","","Delay")</f>
        <v>#VALUE!</v>
      </c>
      <c r="M226" s="29" t="str" cm="1">
        <f t="array" ref="M226">GetCSVIndex(A2,211+1890)</f>
        <v/>
      </c>
      <c r="N226" s="27" t="str" cm="1">
        <f t="array" ref="N226">GetCSVIndex(A2,309+1890)</f>
        <v/>
      </c>
      <c r="O226" s="43" t="str" cm="1">
        <f t="array" ref="O226">GetCSVIndex(A2,372+1890)</f>
        <v/>
      </c>
    </row>
    <row r="227" spans="1:15" ht="21" customHeight="1" x14ac:dyDescent="0.25">
      <c r="A227" s="42"/>
      <c r="B227" s="25"/>
      <c r="C227" s="25"/>
      <c r="D227" s="26"/>
      <c r="E227" s="45">
        <v>28</v>
      </c>
      <c r="F227" s="29" t="e" cm="1">
        <f t="array" ref="F227">CHOOSE(GetCSVIndex(A2,117+1890)+1,"","Station","Block","","Delay")</f>
        <v>#VALUE!</v>
      </c>
      <c r="G227" s="29" t="str" cm="1">
        <f t="array" ref="G227">GetCSVIndex(A2,118+1890)</f>
        <v/>
      </c>
      <c r="H227" s="45" t="str" cm="1">
        <f t="array" ref="H227">GetCSVIndex(A2,278+1890)</f>
        <v/>
      </c>
      <c r="I227" s="29" t="str" cm="1">
        <f t="array" ref="I227">GetCSVIndex(A2,341+1890)</f>
        <v/>
      </c>
      <c r="J227" s="26"/>
      <c r="K227" s="45">
        <v>60</v>
      </c>
      <c r="L227" s="29" t="e" cm="1">
        <f t="array" ref="L227">CHOOSE(GetCSVIndex(A2,213+1890)+1,"","Station","Block","","Delay")</f>
        <v>#VALUE!</v>
      </c>
      <c r="M227" s="29" t="str" cm="1">
        <f t="array" ref="M227">GetCSVIndex(A2,214+1890)</f>
        <v/>
      </c>
      <c r="N227" s="27" t="str" cm="1">
        <f t="array" ref="N227">GetCSVIndex(A2,310+1890)</f>
        <v/>
      </c>
      <c r="O227" s="43" t="str" cm="1">
        <f t="array" ref="O227">GetCSVIndex(A2,373+1890)</f>
        <v/>
      </c>
    </row>
    <row r="228" spans="1:15" ht="21" customHeight="1" x14ac:dyDescent="0.25">
      <c r="A228" s="42"/>
      <c r="B228" s="25"/>
      <c r="C228" s="25"/>
      <c r="D228" s="26"/>
      <c r="E228" s="45">
        <v>29</v>
      </c>
      <c r="F228" s="29" t="e" cm="1">
        <f t="array" ref="F228">CHOOSE(GetCSVIndex(A2,120+1890)+1,"","Station","Block","","Delay")</f>
        <v>#VALUE!</v>
      </c>
      <c r="G228" s="29" t="str" cm="1">
        <f t="array" ref="G228">GetCSVIndex(A2,121+1890)</f>
        <v/>
      </c>
      <c r="H228" s="45" t="str" cm="1">
        <f t="array" ref="H228">GetCSVIndex(A2,279+1890)</f>
        <v/>
      </c>
      <c r="I228" s="29" t="str" cm="1">
        <f t="array" ref="I228">GetCSVIndex(A2,342+1890)</f>
        <v/>
      </c>
      <c r="J228" s="26"/>
      <c r="K228" s="45">
        <v>61</v>
      </c>
      <c r="L228" s="29" t="e" cm="1">
        <f t="array" ref="L228">CHOOSE(GetCSVIndex(A2,216+1890)+1,"","Station","Block","","Delay")</f>
        <v>#VALUE!</v>
      </c>
      <c r="M228" s="29" t="str" cm="1">
        <f t="array" ref="M228">GetCSVIndex(A2,217+1890)</f>
        <v/>
      </c>
      <c r="N228" s="27" t="str" cm="1">
        <f t="array" ref="N228">GetCSVIndex(A2,311+1890)</f>
        <v/>
      </c>
      <c r="O228" s="43" t="str" cm="1">
        <f t="array" ref="O228">GetCSVIndex(A2,374+1890)</f>
        <v/>
      </c>
    </row>
    <row r="229" spans="1:15" ht="21" customHeight="1" x14ac:dyDescent="0.25">
      <c r="A229" s="42"/>
      <c r="B229" s="25"/>
      <c r="C229" s="25"/>
      <c r="D229" s="26"/>
      <c r="E229" s="45">
        <v>30</v>
      </c>
      <c r="F229" s="29" t="e" cm="1">
        <f t="array" ref="F229">CHOOSE(GetCSVIndex(A2,123+1890)+1,"","Station","Block","","Delay")</f>
        <v>#VALUE!</v>
      </c>
      <c r="G229" s="29" t="str" cm="1">
        <f t="array" ref="G229">GetCSVIndex(A2,124+1890)</f>
        <v/>
      </c>
      <c r="H229" s="45" t="str" cm="1">
        <f t="array" ref="H229">GetCSVIndex(A2,280+1890)</f>
        <v/>
      </c>
      <c r="I229" s="29" t="str" cm="1">
        <f t="array" ref="I229">GetCSVIndex(A2,343+1890)</f>
        <v/>
      </c>
      <c r="J229" s="26"/>
      <c r="K229" s="45">
        <v>62</v>
      </c>
      <c r="L229" s="29" t="e" cm="1">
        <f t="array" ref="L229">CHOOSE(GetCSVIndex(A2,219+1890)+1,"","Station","Block","","Delay")</f>
        <v>#VALUE!</v>
      </c>
      <c r="M229" s="29" t="str" cm="1">
        <f t="array" ref="M229">GetCSVIndex(A2,220+1890)</f>
        <v/>
      </c>
      <c r="N229" s="27" t="str" cm="1">
        <f t="array" ref="N229">GetCSVIndex(A2,312+1890)</f>
        <v/>
      </c>
      <c r="O229" s="43" t="str" cm="1">
        <f t="array" ref="O229">GetCSVIndex(A2,375+1890)</f>
        <v/>
      </c>
    </row>
    <row r="230" spans="1:15" ht="21" customHeight="1" x14ac:dyDescent="0.25">
      <c r="A230" s="42"/>
      <c r="B230" s="25"/>
      <c r="C230" s="25"/>
      <c r="D230" s="26"/>
      <c r="E230" s="45">
        <v>31</v>
      </c>
      <c r="F230" s="29" t="e" cm="1">
        <f t="array" ref="F230">CHOOSE(GetCSVIndex(A2,126+1890)+1,"","Station","Block","","Delay")</f>
        <v>#VALUE!</v>
      </c>
      <c r="G230" s="29" t="str" cm="1">
        <f t="array" ref="G230">GetCSVIndex(A2,127+1890)</f>
        <v/>
      </c>
      <c r="H230" s="45" t="str" cm="1">
        <f t="array" ref="H230">GetCSVIndex(A2,281+1890)</f>
        <v/>
      </c>
      <c r="I230" s="29" t="str" cm="1">
        <f t="array" ref="I230">GetCSVIndex(A2,344+1890)</f>
        <v/>
      </c>
      <c r="J230" s="26"/>
      <c r="K230" s="45">
        <v>63</v>
      </c>
      <c r="L230" s="29" t="e" cm="1">
        <f t="array" ref="L230">CHOOSE(GetCSVIndex(A2,222+1890)+1,"","Station","Block","","Delay")</f>
        <v>#VALUE!</v>
      </c>
      <c r="M230" s="29" t="str" cm="1">
        <f t="array" ref="M230">GetCSVIndex(A2,223+1890)</f>
        <v/>
      </c>
      <c r="N230" s="27" t="str" cm="1">
        <f t="array" ref="N230">GetCSVIndex(A2,313+1890)</f>
        <v/>
      </c>
      <c r="O230" s="43" t="str" cm="1">
        <f t="array" ref="O230">GetCSVIndex(A2,376+1890)</f>
        <v/>
      </c>
    </row>
    <row r="231" spans="1:15" ht="21" customHeight="1" x14ac:dyDescent="0.25">
      <c r="A231" s="37"/>
      <c r="B231" s="28"/>
      <c r="C231" s="29"/>
      <c r="D231" s="29"/>
      <c r="E231" s="45">
        <v>32</v>
      </c>
      <c r="F231" s="29" t="e" cm="1">
        <f t="array" ref="F231">CHOOSE(GetCSVIndex(A2,129+1890)+1,"","Station","Block","","Delay")</f>
        <v>#VALUE!</v>
      </c>
      <c r="G231" s="29" t="str" cm="1">
        <f t="array" ref="G231">GetCSVIndex(A2,130+1890)</f>
        <v/>
      </c>
      <c r="H231" s="45" t="str" cm="1">
        <f t="array" ref="H231">GetCSVIndex(A2,282+1890)</f>
        <v/>
      </c>
      <c r="I231" s="29" t="str" cm="1">
        <f t="array" ref="I231">GetCSVIndex(A2,345+1890)</f>
        <v/>
      </c>
      <c r="J231" s="29"/>
      <c r="K231" s="45">
        <v>64</v>
      </c>
      <c r="L231" s="29" t="e" cm="1">
        <f t="array" ref="L231">CHOOSE(GetCSVIndex(A2,225+1890)+1,"","Station","Block","","Delay")</f>
        <v>#VALUE!</v>
      </c>
      <c r="M231" s="29" t="str" cm="1">
        <f t="array" ref="M231">GetCSVIndex(A2,226+1890)</f>
        <v/>
      </c>
      <c r="N231" s="27" t="str" cm="1">
        <f t="array" ref="N231">GetCSVIndex(A2,314+1890)</f>
        <v/>
      </c>
      <c r="O231" s="43" t="str" cm="1">
        <f t="array" ref="O231">GetCSVIndex(A2,377+1890)</f>
        <v/>
      </c>
    </row>
    <row r="232" spans="1:15" ht="23.25" customHeight="1" x14ac:dyDescent="0.25">
      <c r="A232" s="51" t="str" cm="1">
        <f t="array" ref="A232">CONCATENATE("Schedule  Program Number : ", GetCSVIndex(A2,5+2268))</f>
        <v xml:space="preserve">Schedule  Program Number : </v>
      </c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3"/>
    </row>
    <row r="233" spans="1:15" ht="21" customHeight="1" x14ac:dyDescent="0.25">
      <c r="A233" s="20" t="s">
        <v>44</v>
      </c>
      <c r="B233" s="22" t="str" cm="1">
        <f t="array" ref="B233">GetCSVIndex(A2,5+2268)</f>
        <v/>
      </c>
      <c r="C233" s="18"/>
      <c r="D233" s="18"/>
      <c r="E233" s="18"/>
      <c r="F233" s="18"/>
      <c r="G233" s="18" t="s">
        <v>19</v>
      </c>
      <c r="H233" s="18" t="e" cm="1">
        <f t="array" ref="H233">CHOOSE(GetCSVIndex(A2,7+2268)+1, "Days of Week", "Odd/Even", "Interval","Manual")</f>
        <v>#VALUE!</v>
      </c>
      <c r="I233" s="18"/>
      <c r="J233" s="15"/>
      <c r="K233" s="15"/>
      <c r="L233" s="15"/>
      <c r="M233" s="15"/>
      <c r="N233" s="15"/>
      <c r="O233" s="16"/>
    </row>
    <row r="234" spans="1:15" ht="18" customHeight="1" x14ac:dyDescent="0.25">
      <c r="A234" s="21" t="s">
        <v>20</v>
      </c>
      <c r="B234" s="19" t="e" cm="1">
        <f t="array" ref="B234">CHOOSE(GetCSVIndex(A2,24+2268)+1, "Program", "Global", "Monthly","Solar Sync")</f>
        <v>#VALUE!</v>
      </c>
      <c r="C234" s="19"/>
      <c r="D234" s="19"/>
      <c r="E234" s="19"/>
      <c r="F234" s="19" t="s">
        <v>21</v>
      </c>
      <c r="G234" s="19" t="e" cm="1">
        <f t="array" ref="G234">IF(CHOOSE(GetCSVIndex(A2,7+2268)+1,IF(_xlfn.BITAND(GetCSVIndex(A2,8+2268), 2^0)=0, 0, 1),IF(_xlfn.BITAND(GetCSVIndex(A2,9+2268), 2^0)=0, 0, 1),IF(_xlfn.BITAND(GetCSVIndex(A2,10+2268), 2^0)=0, 0, 1)) =1,"Mon","")</f>
        <v>#VALUE!</v>
      </c>
      <c r="H234" s="19" t="e" cm="1">
        <f t="array" ref="H234">CONCATENATE(IF(CHOOSE(GetCSVIndex(A2,7+2268)+1,IF(_xlfn.BITAND(GetCSVIndex(A2,8+2268), 2^1)=0, 0, 1),IF(_xlfn.BITAND(GetCSVIndex(A2,9+2268), 2^1)=0, 0, 1),IF(_xlfn.BITAND(GetCSVIndex(A2,10+2268), 2^1)=0, 0, 1)) =1,"Tue       ","       "),IF(CHOOSE(GetCSVIndex(A2,7+2268)+1,IF(_xlfn.BITAND(GetCSVIndex(A2,8+2268), 2^2)=0, 0, 1),IF(_xlfn.BITAND(GetCSVIndex(A2,9+2268), 2^2)=0, 0, 1),IF(_xlfn.BITAND(GetCSVIndex(A2,10+2268), 2^2)=0, 0, 1)) =1,"Wed",""),IF(CHOOSE(GetCSVIndex(A2,7+2268)+1,IF(_xlfn.BITAND(GetCSVIndex(A2,8+2268), 2^3)=0, 0, 1),IF(_xlfn.BITAND(GetCSVIndex(A2,9+2268), 2^3)=0, 0, 1),IF(_xlfn.BITAND(GetCSVIndex(A2,10+2268), 2^3)=0, 0, 1)) =1,"       Thu","       "))</f>
        <v>#VALUE!</v>
      </c>
      <c r="I234" s="32" t="e" cm="1">
        <f t="array" ref="I234">CONCATENATE(IF(CHOOSE(GetCSVIndex(A2,7+2268)+1,IF(_xlfn.BITAND(GetCSVIndex(A2,8+2268), 2^4)=0, 0, 1),IF(_xlfn.BITAND(GetCSVIndex(A2,9+2268), 2^4)=0, 0, 1),IF(_xlfn.BITAND(GetCSVIndex(A2,10+2268), 2^4)=0, 0, 1)) =1,"Fri       ","       "),IF(CHOOSE(GetCSVIndex(A2,7+2268)+1,IF(_xlfn.BITAND(GetCSVIndex(A2,8+2268), 2^5)=0, 0, 1),IF(_xlfn.BITAND(GetCSVIndex(A2,9+2268), 2^5)=0, 0, 1),IF(_xlfn.BITAND(GetCSVIndex(A2,10+2268), 2^5)=0, 0, 1)) =1,"Sat",""),IF(CHOOSE(GetCSVIndex(A2,7+2268)+1,IF(_xlfn.BITAND(GetCSVIndex(A2,8+2268), 2^6)=0, 0, 1),IF(_xlfn.BITAND(GetCSVIndex(A2,9+2268), 2^6)=0, 0, 1),IF(_xlfn.BITAND(GetCSVIndex(A2,10+2268), 2^6)=0, 0, 1)) =1,"       Sun","       "))</f>
        <v>#VALUE!</v>
      </c>
      <c r="J234" s="19"/>
      <c r="K234" s="19"/>
      <c r="L234" s="32" t="s">
        <v>22</v>
      </c>
      <c r="M234" s="19"/>
      <c r="N234" s="19" t="str" cm="1">
        <f t="array" ref="N234">IF(GetCSVIndex(A2,26+2268)="1","Enable","Disable")</f>
        <v>Disable</v>
      </c>
      <c r="O234" s="24"/>
    </row>
    <row r="235" spans="1:15" ht="18" customHeight="1" x14ac:dyDescent="0.25">
      <c r="A235" s="21" t="str" cm="1">
        <f t="array" ref="A235">CONCATENATE("Program ", GetCSVIndex(A2,5+2268))</f>
        <v xml:space="preserve">Program </v>
      </c>
      <c r="B235" s="23" t="str" cm="1">
        <f t="array" ref="B235">CONCATENATE(GetCSVIndex(A2,25+2268)," %")</f>
        <v xml:space="preserve"> %</v>
      </c>
      <c r="C235" s="19"/>
      <c r="D235" s="19"/>
      <c r="E235" s="19"/>
      <c r="F235" s="19" t="str" cm="1">
        <f t="array" ref="F235">IF(GetCSVIndex(A2,7)="2","Water Every"," ")</f>
        <v xml:space="preserve"> </v>
      </c>
      <c r="G235" s="47" t="str" cm="1">
        <f t="array" ref="G235">IF(GetCSVIndex(A2,7+2268)="2",GetCSVIndex(A2,11+2268)," ")</f>
        <v xml:space="preserve"> </v>
      </c>
      <c r="H235" s="19" t="str" cm="1">
        <f t="array" ref="H235">IF(GetCSVIndex(A2,7+2268)="2","Days"," ")</f>
        <v xml:space="preserve"> </v>
      </c>
      <c r="I235" s="32" t="str" cm="1">
        <f t="array" ref="I235">IF(GetCSVIndex(A2,7+2268)="2","Water After"," ")</f>
        <v xml:space="preserve"> </v>
      </c>
      <c r="J235" s="19"/>
      <c r="K235" s="19" t="str" cm="1">
        <f t="array" ref="K235">IF(GetCSVIndex(A2,7+2268)="2",GetCSVIndex(A2,12+2268)," ")</f>
        <v xml:space="preserve"> </v>
      </c>
      <c r="L235" s="47" t="str" cm="1">
        <f t="array" ref="L235">IF(GetCSVIndex(A2,7+2268)="2","Days"," ")</f>
        <v xml:space="preserve"> </v>
      </c>
      <c r="M235" s="32"/>
      <c r="N235" s="32"/>
      <c r="O235" s="24"/>
    </row>
    <row r="236" spans="1:15" ht="21" customHeight="1" x14ac:dyDescent="0.25">
      <c r="A236" s="20" t="s">
        <v>23</v>
      </c>
      <c r="B236" s="18" t="s">
        <v>24</v>
      </c>
      <c r="C236" s="18" t="str" cm="1">
        <f t="array" ref="C236">CHOOSE(GetCSVIndex(A2,13)+1, "Auto", "Start to End","Manual")</f>
        <v>Start to End</v>
      </c>
      <c r="D236" s="31"/>
      <c r="E236" s="17" t="s">
        <v>38</v>
      </c>
      <c r="F236" s="18" t="s">
        <v>39</v>
      </c>
      <c r="G236" s="18" t="s">
        <v>40</v>
      </c>
      <c r="H236" s="18" t="s">
        <v>41</v>
      </c>
      <c r="I236" s="18" t="s">
        <v>43</v>
      </c>
      <c r="J236" s="31"/>
      <c r="K236" s="17" t="s">
        <v>38</v>
      </c>
      <c r="L236" s="18" t="s">
        <v>39</v>
      </c>
      <c r="M236" s="18" t="s">
        <v>40</v>
      </c>
      <c r="N236" s="22" t="s">
        <v>41</v>
      </c>
      <c r="O236" s="44" t="s">
        <v>42</v>
      </c>
    </row>
    <row r="237" spans="1:15" ht="21" customHeight="1" x14ac:dyDescent="0.25">
      <c r="A237" s="36" t="s">
        <v>25</v>
      </c>
      <c r="B237" s="46" t="str" cm="1">
        <f t="array" ref="B237">IF(GetCSVIndex(A2,6+2268)="1","Over","Stack")</f>
        <v>Stack</v>
      </c>
      <c r="C237" s="26" t="str" cm="1">
        <f t="array" ref="C237">GetCSVIndex(A2,29+2268)</f>
        <v/>
      </c>
      <c r="D237" s="25"/>
      <c r="E237" s="45">
        <v>1</v>
      </c>
      <c r="F237" s="29" t="e" cm="1">
        <f t="array" ref="F237">CHOOSE(GetCSVIndex(A2,36+2268)+1,"","Station","Block","","Delay")</f>
        <v>#VALUE!</v>
      </c>
      <c r="G237" s="29" t="str" cm="1">
        <f t="array" ref="G237">GetCSVIndex(A2,37+2268)</f>
        <v/>
      </c>
      <c r="H237" s="45" t="str" cm="1">
        <f t="array" ref="H237">GetCSVIndex(A2,3+2268)</f>
        <v/>
      </c>
      <c r="I237" s="29" t="str" cm="1">
        <f t="array" ref="I237">GetCSVIndex(A2,1+2268)</f>
        <v/>
      </c>
      <c r="J237" s="25"/>
      <c r="K237" s="45">
        <v>33</v>
      </c>
      <c r="L237" s="29" t="e" cm="1">
        <f t="array" ref="L237">CHOOSE(GetCSVIndex(A2,132+2268)+1,"","Station","Block","","Delay")</f>
        <v>#VALUE!</v>
      </c>
      <c r="M237" s="29" t="str" cm="1">
        <f t="array" ref="M237">GetCSVIndex(A2,133+2268)</f>
        <v/>
      </c>
      <c r="N237" s="27" t="str" cm="1">
        <f t="array" ref="N237">GetCSVIndex(A2,283+2268)</f>
        <v/>
      </c>
      <c r="O237" s="43" t="str" cm="1">
        <f t="array" ref="O237">GetCSVIndex(A2,346+2268)</f>
        <v/>
      </c>
    </row>
    <row r="238" spans="1:15" ht="21" customHeight="1" x14ac:dyDescent="0.25">
      <c r="A238" s="36" t="s">
        <v>26</v>
      </c>
      <c r="B238" s="25" t="str" cm="1">
        <f t="array" ref="B238">IF(GetCSVIndex(A2,2+2268)="1092:15","Not Set",CONCATENATE("From     ",GetCSVIndex(A2,2+2268)))</f>
        <v xml:space="preserve">From     </v>
      </c>
      <c r="C238" s="26" t="str" cm="1">
        <f t="array" ref="C238">IF(GetCSVIndex(C4,1+12)="1092:15","Not Set",CONCATENATE("To     ",GetCSVIndex(C4,1+12)))</f>
        <v xml:space="preserve">To     </v>
      </c>
      <c r="D238" s="25"/>
      <c r="E238" s="45">
        <v>2</v>
      </c>
      <c r="F238" s="29" t="e" cm="1">
        <f t="array" ref="F238">CHOOSE(GetCSVIndex(A2,39+2268)+1,"","Station","Block","","Delay")</f>
        <v>#VALUE!</v>
      </c>
      <c r="G238" s="29" t="str" cm="1">
        <f t="array" ref="G238">GetCSVIndex(A2,40+2268)</f>
        <v/>
      </c>
      <c r="H238" s="45" t="str" cm="1">
        <f t="array" ref="H238">GetCSVIndex(A2,252+2268)</f>
        <v/>
      </c>
      <c r="I238" s="29" t="str" cm="1">
        <f t="array" ref="I238">GetCSVIndex(A2,315+2268)</f>
        <v/>
      </c>
      <c r="J238" s="25"/>
      <c r="K238" s="45">
        <v>34</v>
      </c>
      <c r="L238" s="29" t="e" cm="1">
        <f t="array" ref="L238">CHOOSE(GetCSVIndex(A2,135+2268)+1,"","Station","Block","","Delay")</f>
        <v>#VALUE!</v>
      </c>
      <c r="M238" s="29" t="str" cm="1">
        <f t="array" ref="M238">GetCSVIndex(A2,136+2268)</f>
        <v/>
      </c>
      <c r="N238" s="27" t="str" cm="1">
        <f t="array" ref="N238">GetCSVIndex(A2,284+2268)</f>
        <v/>
      </c>
      <c r="O238" s="43" t="str" cm="1">
        <f t="array" ref="O238">GetCSVIndex(A2,347+2268)</f>
        <v/>
      </c>
    </row>
    <row r="239" spans="1:15" ht="21" customHeight="1" x14ac:dyDescent="0.25">
      <c r="A239" s="36" t="s">
        <v>27</v>
      </c>
      <c r="B239" s="25"/>
      <c r="C239" s="26" t="str" cm="1">
        <f t="array" ref="C239">CONCATENATE(GetCSVIndex(A2,249+2268),":", GetCSVIndex(A2,250+2268),":", GetCSVIndex(A2,251+2268))</f>
        <v>::</v>
      </c>
      <c r="D239" s="26"/>
      <c r="E239" s="45">
        <v>3</v>
      </c>
      <c r="F239" s="29" t="e" cm="1">
        <f t="array" ref="F239">CHOOSE(GetCSVIndex(A2,42+2268)+1,"","Station","Block","","Delay")</f>
        <v>#VALUE!</v>
      </c>
      <c r="G239" s="29" t="str" cm="1">
        <f t="array" ref="G239">GetCSVIndex(A2,43+2268)</f>
        <v/>
      </c>
      <c r="H239" s="45" t="str" cm="1">
        <f t="array" ref="H239">GetCSVIndex(A2,253+2268)</f>
        <v/>
      </c>
      <c r="I239" s="29" t="str" cm="1">
        <f t="array" ref="I239">GetCSVIndex(A2,316+2268)</f>
        <v/>
      </c>
      <c r="J239" s="25"/>
      <c r="K239" s="45">
        <v>35</v>
      </c>
      <c r="L239" s="29" t="e" cm="1">
        <f t="array" ref="L239">CHOOSE(GetCSVIndex(A2,138+2268)+1,"","Station","Block","","Delay")</f>
        <v>#VALUE!</v>
      </c>
      <c r="M239" s="29" t="str" cm="1">
        <f t="array" ref="M239">GetCSVIndex(A2,139+2268)</f>
        <v/>
      </c>
      <c r="N239" s="27" t="str" cm="1">
        <f t="array" ref="N239">GetCSVIndex(A2,285+2268)</f>
        <v/>
      </c>
      <c r="O239" s="43" t="str" cm="1">
        <f t="array" ref="O239">GetCSVIndex(A2,348+2268)</f>
        <v/>
      </c>
    </row>
    <row r="240" spans="1:15" ht="21" customHeight="1" x14ac:dyDescent="0.25">
      <c r="A240" s="36"/>
      <c r="B240" s="25"/>
      <c r="C240" s="25"/>
      <c r="D240" s="25"/>
      <c r="E240" s="45">
        <v>4</v>
      </c>
      <c r="F240" s="29" t="e" cm="1">
        <f t="array" ref="F240">CHOOSE(GetCSVIndex(A2,45+2268)+1,"","Station","Block","","Delay")</f>
        <v>#VALUE!</v>
      </c>
      <c r="G240" s="29" t="str" cm="1">
        <f t="array" ref="G240">GetCSVIndex(A2,46+2268)</f>
        <v/>
      </c>
      <c r="H240" s="45" t="str" cm="1">
        <f t="array" ref="H240">GetCSVIndex(A2,254+2268)</f>
        <v/>
      </c>
      <c r="I240" s="29" t="str" cm="1">
        <f t="array" ref="I240">GetCSVIndex(A2,317+2268)</f>
        <v/>
      </c>
      <c r="J240" s="25"/>
      <c r="K240" s="45">
        <v>36</v>
      </c>
      <c r="L240" s="29" t="e" cm="1">
        <f t="array" ref="L240">CHOOSE(GetCSVIndex(A2,141+2268)+1,"","Station","Block","","Delay")</f>
        <v>#VALUE!</v>
      </c>
      <c r="M240" s="29" t="str" cm="1">
        <f t="array" ref="M240">GetCSVIndex(A2,142+2268)</f>
        <v/>
      </c>
      <c r="N240" s="27" t="str" cm="1">
        <f t="array" ref="N240">GetCSVIndex(A2,286+2268)</f>
        <v/>
      </c>
      <c r="O240" s="43" t="str" cm="1">
        <f t="array" ref="O240">GetCSVIndex(A2,349+2268)</f>
        <v/>
      </c>
    </row>
    <row r="241" spans="1:15" ht="21" customHeight="1" x14ac:dyDescent="0.25">
      <c r="A241" s="37" t="s">
        <v>28</v>
      </c>
      <c r="B241" s="28"/>
      <c r="C241" s="29" t="str" cm="1">
        <f t="array" ref="C241">IF(GetCSVIndex(A2,14+2268)&lt;&gt;"65535",CONCATENATE(GetCSVIndex(A2,229+2268),":", GetCSVIndex(A2,239+2268)),"OFF")</f>
        <v>:</v>
      </c>
      <c r="D241" s="25"/>
      <c r="E241" s="45">
        <v>5</v>
      </c>
      <c r="F241" s="29" t="e" cm="1">
        <f t="array" ref="F241">CHOOSE(GetCSVIndex(A2,48+2268)+1,"","Station","Block","","Delay")</f>
        <v>#VALUE!</v>
      </c>
      <c r="G241" s="29" t="str" cm="1">
        <f t="array" ref="G241">GetCSVIndex(A2,49+2268)</f>
        <v/>
      </c>
      <c r="H241" s="45" t="str" cm="1">
        <f t="array" ref="H241">GetCSVIndex(A2,255+2268)</f>
        <v/>
      </c>
      <c r="I241" s="29" t="str" cm="1">
        <f t="array" ref="I241">GetCSVIndex(A2,318+2268)</f>
        <v/>
      </c>
      <c r="J241" s="25"/>
      <c r="K241" s="45">
        <v>37</v>
      </c>
      <c r="L241" s="29" t="e" cm="1">
        <f t="array" ref="L241">CHOOSE(GetCSVIndex(A2,144+2268)+1,"","Station","Block","","Delay")</f>
        <v>#VALUE!</v>
      </c>
      <c r="M241" s="29" t="str" cm="1">
        <f t="array" ref="M241">GetCSVIndex(A2,145+2268)</f>
        <v/>
      </c>
      <c r="N241" s="27" t="str" cm="1">
        <f t="array" ref="N241">GetCSVIndex(A2,287+2268)</f>
        <v/>
      </c>
      <c r="O241" s="43" t="str" cm="1">
        <f t="array" ref="O241">GetCSVIndex(A2,350+2268)</f>
        <v/>
      </c>
    </row>
    <row r="242" spans="1:15" ht="21" customHeight="1" x14ac:dyDescent="0.25">
      <c r="A242" s="38" t="s">
        <v>29</v>
      </c>
      <c r="B242" s="30"/>
      <c r="C242" s="29" t="str" cm="1">
        <f t="array" ref="C242">IF(GetCSVIndex(A2,15+2268)&lt;&gt;"65535",CONCATENATE(GetCSVIndex(A2,231+2268),":", GetCSVIndex(A2,241+2268)),"OFF")</f>
        <v>:</v>
      </c>
      <c r="D242" s="25"/>
      <c r="E242" s="45">
        <v>6</v>
      </c>
      <c r="F242" s="29" t="e" cm="1">
        <f t="array" ref="F242">CHOOSE(GetCSVIndex(A2,51+2268)+1,"","Station","Block","","Delay")</f>
        <v>#VALUE!</v>
      </c>
      <c r="G242" s="29" t="str" cm="1">
        <f t="array" ref="G242">GetCSVIndex(A2,52+2268)</f>
        <v/>
      </c>
      <c r="H242" s="45" t="str" cm="1">
        <f t="array" ref="H242">GetCSVIndex(A2,256+2268)</f>
        <v/>
      </c>
      <c r="I242" s="29" t="str" cm="1">
        <f t="array" ref="I242">GetCSVIndex(A2,319+2268)</f>
        <v/>
      </c>
      <c r="J242" s="25"/>
      <c r="K242" s="45">
        <v>38</v>
      </c>
      <c r="L242" s="29" t="e" cm="1">
        <f t="array" ref="L242">CHOOSE(GetCSVIndex(A2,147+2268)+1,"","Station","Block","","Delay")</f>
        <v>#VALUE!</v>
      </c>
      <c r="M242" s="29" t="str" cm="1">
        <f t="array" ref="M242">GetCSVIndex(A2,148+2268)</f>
        <v/>
      </c>
      <c r="N242" s="27" t="str" cm="1">
        <f t="array" ref="N242">GetCSVIndex(A2,288+2268)</f>
        <v/>
      </c>
      <c r="O242" s="43" t="str" cm="1">
        <f t="array" ref="O242">GetCSVIndex(A2,351+2268)</f>
        <v/>
      </c>
    </row>
    <row r="243" spans="1:15" ht="21" customHeight="1" x14ac:dyDescent="0.25">
      <c r="A243" s="38" t="s">
        <v>30</v>
      </c>
      <c r="B243" s="30"/>
      <c r="C243" s="29" t="str" cm="1">
        <f t="array" ref="C243">IF(GetCSVIndex(A2,16+2268)&lt;&gt;"65535",CONCATENATE(GetCSVIndex(A2,232+2268),":", GetCSVIndex(A2,242+2268)),"OFF")</f>
        <v>:</v>
      </c>
      <c r="D243" s="25"/>
      <c r="E243" s="45">
        <v>7</v>
      </c>
      <c r="F243" s="29" t="e" cm="1">
        <f t="array" ref="F243">CHOOSE(GetCSVIndex(A2,54+2268)+1,"","Station","Block","","Delay")</f>
        <v>#VALUE!</v>
      </c>
      <c r="G243" s="29" t="str" cm="1">
        <f t="array" ref="G243">GetCSVIndex(A2,55+2268)</f>
        <v/>
      </c>
      <c r="H243" s="45" t="str" cm="1">
        <f t="array" ref="H243">GetCSVIndex(A2,257+2268)</f>
        <v/>
      </c>
      <c r="I243" s="29" t="str" cm="1">
        <f t="array" ref="I243">GetCSVIndex(A2,320+2268)</f>
        <v/>
      </c>
      <c r="J243" s="25"/>
      <c r="K243" s="45">
        <v>39</v>
      </c>
      <c r="L243" s="29" t="e" cm="1">
        <f t="array" ref="L243">CHOOSE(GetCSVIndex(A2,150+2268)+1,"","Station","Block","","Delay")</f>
        <v>#VALUE!</v>
      </c>
      <c r="M243" s="29" t="str" cm="1">
        <f t="array" ref="M243">GetCSVIndex(A2,151+2268)</f>
        <v/>
      </c>
      <c r="N243" s="27" t="str" cm="1">
        <f t="array" ref="N243">GetCSVIndex(A2,289+2268)</f>
        <v/>
      </c>
      <c r="O243" s="43" t="str" cm="1">
        <f t="array" ref="O243">GetCSVIndex(A2,352+2268)</f>
        <v/>
      </c>
    </row>
    <row r="244" spans="1:15" ht="21" customHeight="1" x14ac:dyDescent="0.25">
      <c r="A244" s="38" t="s">
        <v>31</v>
      </c>
      <c r="B244" s="30"/>
      <c r="C244" s="29" t="str" cm="1">
        <f t="array" ref="C244">IF(GetCSVIndex(A2,17+2268)&lt;&gt;"65535",CONCATENATE(GetCSVIndex(A2,233+2268),":", GetCSVIndex(A2,243+2268)),"OFF")</f>
        <v>:</v>
      </c>
      <c r="D244" s="25"/>
      <c r="E244" s="45">
        <v>8</v>
      </c>
      <c r="F244" s="29" t="e" cm="1">
        <f t="array" ref="F244">CHOOSE(GetCSVIndex(A2,57+2268)+1,"","Station","Block","","Delay")</f>
        <v>#VALUE!</v>
      </c>
      <c r="G244" s="29" t="str" cm="1">
        <f t="array" ref="G244">GetCSVIndex(A2,58+2268)</f>
        <v/>
      </c>
      <c r="H244" s="45" t="str" cm="1">
        <f t="array" ref="H244">GetCSVIndex(A2,258+2268)</f>
        <v/>
      </c>
      <c r="I244" s="29" t="str" cm="1">
        <f t="array" ref="I244">GetCSVIndex(A2,321+2268)</f>
        <v/>
      </c>
      <c r="J244" s="25"/>
      <c r="K244" s="45">
        <v>40</v>
      </c>
      <c r="L244" s="29" t="e" cm="1">
        <f t="array" ref="L244">CHOOSE(GetCSVIndex(A2,153+2268)+1,"","Station","Block","","Delay")</f>
        <v>#VALUE!</v>
      </c>
      <c r="M244" s="29" t="str" cm="1">
        <f t="array" ref="M244">GetCSVIndex(A2,154+2268)</f>
        <v/>
      </c>
      <c r="N244" s="27" t="str" cm="1">
        <f t="array" ref="N244">GetCSVIndex(A2,290+2268)</f>
        <v/>
      </c>
      <c r="O244" s="43" t="str" cm="1">
        <f t="array" ref="O244">GetCSVIndex(A2,353+2268)</f>
        <v/>
      </c>
    </row>
    <row r="245" spans="1:15" ht="21" customHeight="1" x14ac:dyDescent="0.25">
      <c r="A245" s="38" t="s">
        <v>32</v>
      </c>
      <c r="B245" s="30"/>
      <c r="C245" s="29" t="str" cm="1">
        <f t="array" ref="C245">IF(GetCSVIndex(A2,18+2268)&lt;&gt;"65535",CONCATENATE(GetCSVIndex(A2,234+2268),":", GetCSVIndex(A2,244+2268)),"OFF")</f>
        <v>:</v>
      </c>
      <c r="D245" s="25"/>
      <c r="E245" s="45">
        <v>9</v>
      </c>
      <c r="F245" s="29" t="e" cm="1">
        <f t="array" ref="F245">CHOOSE(GetCSVIndex(A2,60+2268)+1,"","Station","Block","","Delay")</f>
        <v>#VALUE!</v>
      </c>
      <c r="G245" s="29" t="str" cm="1">
        <f t="array" ref="G245">GetCSVIndex(A2,61+2268)</f>
        <v/>
      </c>
      <c r="H245" s="45" t="str" cm="1">
        <f t="array" ref="H245">GetCSVIndex(A2,259+2268)</f>
        <v/>
      </c>
      <c r="I245" s="29" t="str" cm="1">
        <f t="array" ref="I245">GetCSVIndex(A2,322+2268)</f>
        <v/>
      </c>
      <c r="J245" s="25"/>
      <c r="K245" s="45">
        <v>41</v>
      </c>
      <c r="L245" s="29" t="e" cm="1">
        <f t="array" ref="L245">CHOOSE(GetCSVIndex(A2,156+2268)+1,"","Station","Block","","Delay")</f>
        <v>#VALUE!</v>
      </c>
      <c r="M245" s="29" t="str" cm="1">
        <f t="array" ref="M245">GetCSVIndex(A2,157+2268)</f>
        <v/>
      </c>
      <c r="N245" s="27" t="str" cm="1">
        <f t="array" ref="N245">GetCSVIndex(A2,291+2268)</f>
        <v/>
      </c>
      <c r="O245" s="43" t="str" cm="1">
        <f t="array" ref="O245">GetCSVIndex(A2,354+2268)</f>
        <v/>
      </c>
    </row>
    <row r="246" spans="1:15" ht="21" customHeight="1" x14ac:dyDescent="0.25">
      <c r="A246" s="38" t="s">
        <v>33</v>
      </c>
      <c r="B246" s="30"/>
      <c r="C246" s="29" t="str" cm="1">
        <f t="array" ref="C246">IF(GetCSVIndex(A2,19+2268)&lt;&gt;"65535",CONCATENATE(GetCSVIndex(A2,235+2268),":", GetCSVIndex(A2,245+2268)),"OFF")</f>
        <v>:</v>
      </c>
      <c r="D246" s="25"/>
      <c r="E246" s="45">
        <v>10</v>
      </c>
      <c r="F246" s="29" t="e" cm="1">
        <f t="array" ref="F246">CHOOSE(GetCSVIndex(A2,63+2268)+1,"","Station","Block","","Delay")</f>
        <v>#VALUE!</v>
      </c>
      <c r="G246" s="29" t="str" cm="1">
        <f t="array" ref="G246">GetCSVIndex(A2,64+2268)</f>
        <v/>
      </c>
      <c r="H246" s="45" t="str" cm="1">
        <f t="array" ref="H246">GetCSVIndex(A2,260+2268)</f>
        <v/>
      </c>
      <c r="I246" s="29" t="str" cm="1">
        <f t="array" ref="I246">GetCSVIndex(A2,323+2268)</f>
        <v/>
      </c>
      <c r="J246" s="25"/>
      <c r="K246" s="45">
        <v>42</v>
      </c>
      <c r="L246" s="29" t="e" cm="1">
        <f t="array" ref="L246">CHOOSE(GetCSVIndex(A2,159+2268)+1,"","Station","Block","","Delay")</f>
        <v>#VALUE!</v>
      </c>
      <c r="M246" s="29" t="str" cm="1">
        <f t="array" ref="M246">GetCSVIndex(A2,160+2268)</f>
        <v/>
      </c>
      <c r="N246" s="27" t="str" cm="1">
        <f t="array" ref="N246">GetCSVIndex(A2,292+2268)</f>
        <v/>
      </c>
      <c r="O246" s="43" t="str" cm="1">
        <f t="array" ref="O246">GetCSVIndex(A2,355+2268)</f>
        <v/>
      </c>
    </row>
    <row r="247" spans="1:15" ht="21" customHeight="1" x14ac:dyDescent="0.25">
      <c r="A247" s="38" t="s">
        <v>34</v>
      </c>
      <c r="B247" s="30"/>
      <c r="C247" s="29" t="str" cm="1">
        <f t="array" ref="C247">IF(GetCSVIndex(A2,20+2268)&lt;&gt;"65535",CONCATENATE(GetCSVIndex(A2,236+2268),":", GetCSVIndex(A2,246+2268)),"OFF")</f>
        <v>:</v>
      </c>
      <c r="D247" s="25"/>
      <c r="E247" s="45">
        <v>11</v>
      </c>
      <c r="F247" s="29" t="e" cm="1">
        <f t="array" ref="F247">CHOOSE(GetCSVIndex(A2,66+2268)+1,"","Station","Block","","Delay")</f>
        <v>#VALUE!</v>
      </c>
      <c r="G247" s="29" t="str" cm="1">
        <f t="array" ref="G247">GetCSVIndex(A2,67+2268)</f>
        <v/>
      </c>
      <c r="H247" s="45" t="str" cm="1">
        <f t="array" ref="H247">GetCSVIndex(A2,261+2268)</f>
        <v/>
      </c>
      <c r="I247" s="29" t="str" cm="1">
        <f t="array" ref="I247">GetCSVIndex(A2,324+2268)</f>
        <v/>
      </c>
      <c r="J247" s="25"/>
      <c r="K247" s="45">
        <v>43</v>
      </c>
      <c r="L247" s="29" t="e" cm="1">
        <f t="array" ref="L247">CHOOSE(GetCSVIndex(A2,162+2268)+1,"","Station","Block","","Delay")</f>
        <v>#VALUE!</v>
      </c>
      <c r="M247" s="29" t="str" cm="1">
        <f t="array" ref="M247">GetCSVIndex(A2,163+2268)</f>
        <v/>
      </c>
      <c r="N247" s="27" t="str" cm="1">
        <f t="array" ref="N247">GetCSVIndex(A2,293+2268)</f>
        <v/>
      </c>
      <c r="O247" s="43" t="str" cm="1">
        <f t="array" ref="O247">GetCSVIndex(A2,356+2268)</f>
        <v/>
      </c>
    </row>
    <row r="248" spans="1:15" ht="21" customHeight="1" x14ac:dyDescent="0.25">
      <c r="A248" s="38" t="s">
        <v>35</v>
      </c>
      <c r="B248" s="30"/>
      <c r="C248" s="29" t="str" cm="1">
        <f t="array" ref="C248">IF(GetCSVIndex(A2,21+2268)&lt;&gt;"65535",CONCATENATE(GetCSVIndex(A2,237+2268),":", GetCSVIndex(A2,247+2268)),"OFF")</f>
        <v>:</v>
      </c>
      <c r="D248" s="25"/>
      <c r="E248" s="45">
        <v>12</v>
      </c>
      <c r="F248" s="29" t="e" cm="1">
        <f t="array" ref="F248">CHOOSE(GetCSVIndex(A2,69+2268)+1,"","Station","Block","","Delay")</f>
        <v>#VALUE!</v>
      </c>
      <c r="G248" s="29" t="str" cm="1">
        <f t="array" ref="G248">GetCSVIndex(A2,70+2268)</f>
        <v/>
      </c>
      <c r="H248" s="45" t="str" cm="1">
        <f t="array" ref="H248">GetCSVIndex(A2,262+2268)</f>
        <v/>
      </c>
      <c r="I248" s="29" t="str" cm="1">
        <f t="array" ref="I248">GetCSVIndex(A2,325+2268)</f>
        <v/>
      </c>
      <c r="J248" s="25"/>
      <c r="K248" s="45">
        <v>44</v>
      </c>
      <c r="L248" s="29" t="e" cm="1">
        <f t="array" ref="L248">CHOOSE(GetCSVIndex(A2,165+2268)+1,"","Station","Block","","Delay")</f>
        <v>#VALUE!</v>
      </c>
      <c r="M248" s="29" t="str" cm="1">
        <f t="array" ref="M248">GetCSVIndex(A2,166+2268)</f>
        <v/>
      </c>
      <c r="N248" s="27" t="str" cm="1">
        <f t="array" ref="N248">GetCSVIndex(A2,294+2268)</f>
        <v/>
      </c>
      <c r="O248" s="43" t="str" cm="1">
        <f t="array" ref="O248">GetCSVIndex(A2,357+2268)</f>
        <v/>
      </c>
    </row>
    <row r="249" spans="1:15" ht="21" customHeight="1" x14ac:dyDescent="0.25">
      <c r="A249" s="38" t="s">
        <v>36</v>
      </c>
      <c r="B249" s="30"/>
      <c r="C249" s="29" t="str" cm="1">
        <f t="array" ref="C249">IF(GetCSVIndex(A2,22+2268)&lt;&gt;"65535",CONCATENATE(GetCSVIndex(A2,238+2268),":", GetCSVIndex(A2,248+2268)),"OFF")</f>
        <v>:</v>
      </c>
      <c r="D249" s="25"/>
      <c r="E249" s="45">
        <v>13</v>
      </c>
      <c r="F249" s="29" t="e" cm="1">
        <f t="array" ref="F249">CHOOSE(GetCSVIndex(A2,72+2268)+1,"","Station","Block","","Delay")</f>
        <v>#VALUE!</v>
      </c>
      <c r="G249" s="29" t="str" cm="1">
        <f t="array" ref="G249">GetCSVIndex(A2,73+2268)</f>
        <v/>
      </c>
      <c r="H249" s="45" t="str" cm="1">
        <f t="array" ref="H249">GetCSVIndex(A2,263+2268)</f>
        <v/>
      </c>
      <c r="I249" s="29" t="str" cm="1">
        <f t="array" ref="I249">GetCSVIndex(A2,326+2268)</f>
        <v/>
      </c>
      <c r="J249" s="25"/>
      <c r="K249" s="45">
        <v>45</v>
      </c>
      <c r="L249" s="29" t="e" cm="1">
        <f t="array" ref="L249">CHOOSE(GetCSVIndex(A2,168+2268)+1,"","Station","Block","","Delay")</f>
        <v>#VALUE!</v>
      </c>
      <c r="M249" s="29" t="str" cm="1">
        <f t="array" ref="M249">GetCSVIndex(A2,169+2268)</f>
        <v/>
      </c>
      <c r="N249" s="27" t="str" cm="1">
        <f t="array" ref="N249">GetCSVIndex(A2,295+2268)</f>
        <v/>
      </c>
      <c r="O249" s="43" t="str" cm="1">
        <f t="array" ref="O249">GetCSVIndex(A2,358+2268)</f>
        <v/>
      </c>
    </row>
    <row r="250" spans="1:15" ht="21" customHeight="1" x14ac:dyDescent="0.25">
      <c r="A250" s="36" t="s">
        <v>37</v>
      </c>
      <c r="B250" s="25"/>
      <c r="C250" s="29" t="str" cm="1">
        <f t="array" ref="C250">IF(GetCSVIndex(A2,23+2268)&lt;&gt;"65535",CONCATENATE(GetCSVIndex(A2,230+2268),":", GetCSVIndex(A2,240+2268)),"OFF")</f>
        <v>:</v>
      </c>
      <c r="D250" s="25"/>
      <c r="E250" s="45">
        <v>14</v>
      </c>
      <c r="F250" s="29" t="e" cm="1">
        <f t="array" ref="F250">CHOOSE(GetCSVIndex(A2,75+2268)+1,"","Station","Block","","Delay")</f>
        <v>#VALUE!</v>
      </c>
      <c r="G250" s="29" t="str" cm="1">
        <f t="array" ref="G250">GetCSVIndex(A2,76+2268)</f>
        <v/>
      </c>
      <c r="H250" s="45" t="str" cm="1">
        <f t="array" ref="H250">GetCSVIndex(A2,264+2268)</f>
        <v/>
      </c>
      <c r="I250" s="29" t="str" cm="1">
        <f t="array" ref="I250">GetCSVIndex(A2,327+2268)</f>
        <v/>
      </c>
      <c r="J250" s="25"/>
      <c r="K250" s="45">
        <v>46</v>
      </c>
      <c r="L250" s="29" t="e" cm="1">
        <f t="array" ref="L250">CHOOSE(GetCSVIndex(A2,171+2268)+1,"","Station","Block","","Delay")</f>
        <v>#VALUE!</v>
      </c>
      <c r="M250" s="29" t="str" cm="1">
        <f t="array" ref="M250">GetCSVIndex(A2,172+2268)</f>
        <v/>
      </c>
      <c r="N250" s="27" t="str" cm="1">
        <f t="array" ref="N250">GetCSVIndex(A2,296+2268)</f>
        <v/>
      </c>
      <c r="O250" s="43" t="str" cm="1">
        <f t="array" ref="O250">GetCSVIndex(A2,359+2268)</f>
        <v/>
      </c>
    </row>
    <row r="251" spans="1:15" ht="21" customHeight="1" x14ac:dyDescent="0.25">
      <c r="A251" s="39"/>
      <c r="B251" s="40"/>
      <c r="C251" s="41"/>
      <c r="D251" s="26"/>
      <c r="E251" s="45">
        <v>15</v>
      </c>
      <c r="F251" s="29" t="e" cm="1">
        <f t="array" ref="F251">CHOOSE(GetCSVIndex(A2,78+2268)+1,"","Station","Block","","Delay")</f>
        <v>#VALUE!</v>
      </c>
      <c r="G251" s="29" t="str" cm="1">
        <f t="array" ref="G251">GetCSVIndex(A2,79+2268)</f>
        <v/>
      </c>
      <c r="H251" s="45" t="str" cm="1">
        <f t="array" ref="H251">GetCSVIndex(A2,265+2268)</f>
        <v/>
      </c>
      <c r="I251" s="29" t="str" cm="1">
        <f t="array" ref="I251">GetCSVIndex(A2,328+2268)</f>
        <v/>
      </c>
      <c r="J251" s="26"/>
      <c r="K251" s="45">
        <v>47</v>
      </c>
      <c r="L251" s="29" t="e" cm="1">
        <f t="array" ref="L251">CHOOSE(GetCSVIndex(A2,174+2268)+1,"","Station","Block","","Delay")</f>
        <v>#VALUE!</v>
      </c>
      <c r="M251" s="29" t="str" cm="1">
        <f t="array" ref="M251">GetCSVIndex(A2,175+2268)</f>
        <v/>
      </c>
      <c r="N251" s="27" t="str" cm="1">
        <f t="array" ref="N251">GetCSVIndex(A2,297+2268)</f>
        <v/>
      </c>
      <c r="O251" s="43" t="str" cm="1">
        <f t="array" ref="O251">GetCSVIndex(A2,360+2268)</f>
        <v/>
      </c>
    </row>
    <row r="252" spans="1:15" ht="21" customHeight="1" x14ac:dyDescent="0.25">
      <c r="A252" s="42"/>
      <c r="B252" s="25"/>
      <c r="C252" s="25"/>
      <c r="D252" s="26"/>
      <c r="E252" s="45">
        <v>16</v>
      </c>
      <c r="F252" s="29" t="e" cm="1">
        <f t="array" ref="F252">CHOOSE(GetCSVIndex(A2,81+2268)+1,"","Station","Block","","Delay")</f>
        <v>#VALUE!</v>
      </c>
      <c r="G252" s="29" t="str" cm="1">
        <f t="array" ref="G252">GetCSVIndex(A2,82+2268)</f>
        <v/>
      </c>
      <c r="H252" s="45" t="str" cm="1">
        <f t="array" ref="H252">GetCSVIndex(A2,266+2268)</f>
        <v/>
      </c>
      <c r="I252" s="29" t="str" cm="1">
        <f t="array" ref="I252">GetCSVIndex(A2,329+2268)</f>
        <v/>
      </c>
      <c r="J252" s="25"/>
      <c r="K252" s="45">
        <v>48</v>
      </c>
      <c r="L252" s="29" t="e" cm="1">
        <f t="array" ref="L252">CHOOSE(GetCSVIndex(A2,177+2268)+1,"","Station","Block","","Delay")</f>
        <v>#VALUE!</v>
      </c>
      <c r="M252" s="29" t="str" cm="1">
        <f t="array" ref="M252">GetCSVIndex(A2,178+2268)</f>
        <v/>
      </c>
      <c r="N252" s="27" t="str" cm="1">
        <f t="array" ref="N252">GetCSVIndex(A2,298+2268)</f>
        <v/>
      </c>
      <c r="O252" s="43" t="str" cm="1">
        <f t="array" ref="O252">GetCSVIndex(A2,361+2268)</f>
        <v/>
      </c>
    </row>
    <row r="253" spans="1:15" ht="21" customHeight="1" x14ac:dyDescent="0.25">
      <c r="A253" s="42"/>
      <c r="B253" s="25"/>
      <c r="C253" s="25"/>
      <c r="D253" s="26"/>
      <c r="E253" s="45">
        <v>17</v>
      </c>
      <c r="F253" s="29" t="e" cm="1">
        <f t="array" ref="F253">CHOOSE(GetCSVIndex(A2,84+2268)+1,"","Station","Block","","Delay")</f>
        <v>#VALUE!</v>
      </c>
      <c r="G253" s="29" t="str" cm="1">
        <f t="array" ref="G253">GetCSVIndex(A2,85+2268)</f>
        <v/>
      </c>
      <c r="H253" s="45" t="str" cm="1">
        <f t="array" ref="H253">GetCSVIndex(A2,267+2268)</f>
        <v/>
      </c>
      <c r="I253" s="29" t="str" cm="1">
        <f t="array" ref="I253">GetCSVIndex(A2,330+2268)</f>
        <v/>
      </c>
      <c r="J253" s="26"/>
      <c r="K253" s="45">
        <v>49</v>
      </c>
      <c r="L253" s="29" t="e" cm="1">
        <f t="array" ref="L253">CHOOSE(GetCSVIndex(A2,180+2268)+1,"","Station","Block","","Delay")</f>
        <v>#VALUE!</v>
      </c>
      <c r="M253" s="29" t="str" cm="1">
        <f t="array" ref="M253">GetCSVIndex(A2,181+2268)</f>
        <v/>
      </c>
      <c r="N253" s="27" t="str" cm="1">
        <f t="array" ref="N253">GetCSVIndex(A2,299+2268)</f>
        <v/>
      </c>
      <c r="O253" s="43" t="str" cm="1">
        <f t="array" ref="O253">GetCSVIndex(A2,362+2268)</f>
        <v/>
      </c>
    </row>
    <row r="254" spans="1:15" ht="21" customHeight="1" x14ac:dyDescent="0.25">
      <c r="A254" s="42"/>
      <c r="B254" s="25"/>
      <c r="C254" s="25"/>
      <c r="D254" s="26"/>
      <c r="E254" s="45">
        <v>18</v>
      </c>
      <c r="F254" s="29" t="e" cm="1">
        <f t="array" ref="F254">CHOOSE(GetCSVIndex(A2,87+2268)+1,"","Station","Block","","Delay")</f>
        <v>#VALUE!</v>
      </c>
      <c r="G254" s="29" t="str" cm="1">
        <f t="array" ref="G254">GetCSVIndex(A2,88+2268)</f>
        <v/>
      </c>
      <c r="H254" s="45" t="str" cm="1">
        <f t="array" ref="H254">GetCSVIndex(A2,268+2268)</f>
        <v/>
      </c>
      <c r="I254" s="29" t="str" cm="1">
        <f t="array" ref="I254">GetCSVIndex(A2,331+2268)</f>
        <v/>
      </c>
      <c r="J254" s="26"/>
      <c r="K254" s="45">
        <v>50</v>
      </c>
      <c r="L254" s="29" t="e" cm="1">
        <f t="array" ref="L254">CHOOSE(GetCSVIndex(A2,183+2268)+1,"","Station","Block","","Delay")</f>
        <v>#VALUE!</v>
      </c>
      <c r="M254" s="29" t="str" cm="1">
        <f t="array" ref="M254">GetCSVIndex(A2,184+2268)</f>
        <v/>
      </c>
      <c r="N254" s="27" t="str" cm="1">
        <f t="array" ref="N254">GetCSVIndex(A2,300+2268)</f>
        <v/>
      </c>
      <c r="O254" s="43" t="str" cm="1">
        <f t="array" ref="O254">GetCSVIndex(A2,363+2268)</f>
        <v/>
      </c>
    </row>
    <row r="255" spans="1:15" ht="21" customHeight="1" x14ac:dyDescent="0.25">
      <c r="A255" s="42"/>
      <c r="B255" s="25"/>
      <c r="C255" s="25"/>
      <c r="D255" s="26"/>
      <c r="E255" s="45">
        <v>19</v>
      </c>
      <c r="F255" s="29" t="e" cm="1">
        <f t="array" ref="F255">CHOOSE(GetCSVIndex(A2,90+2268)+1,"","Station","Block","","Delay")</f>
        <v>#VALUE!</v>
      </c>
      <c r="G255" s="29" t="str" cm="1">
        <f t="array" ref="G255">GetCSVIndex(A2,91+2268)</f>
        <v/>
      </c>
      <c r="H255" s="45" t="str" cm="1">
        <f t="array" ref="H255">GetCSVIndex(A2,269+2268)</f>
        <v/>
      </c>
      <c r="I255" s="29" t="str" cm="1">
        <f t="array" ref="I255">GetCSVIndex(A2,332+2268)</f>
        <v/>
      </c>
      <c r="J255" s="26"/>
      <c r="K255" s="45">
        <v>51</v>
      </c>
      <c r="L255" s="29" t="e" cm="1">
        <f t="array" ref="L255">CHOOSE(GetCSVIndex(A2,186+2268)+1,"","Station","Block","","Delay")</f>
        <v>#VALUE!</v>
      </c>
      <c r="M255" s="29" t="str" cm="1">
        <f t="array" ref="M255">GetCSVIndex(A2,187+2268)</f>
        <v/>
      </c>
      <c r="N255" s="27" t="str" cm="1">
        <f t="array" ref="N255">GetCSVIndex(A2,301+2268)</f>
        <v/>
      </c>
      <c r="O255" s="43" t="str" cm="1">
        <f t="array" ref="O255">GetCSVIndex(A2,364+2268)</f>
        <v/>
      </c>
    </row>
    <row r="256" spans="1:15" ht="21" customHeight="1" x14ac:dyDescent="0.25">
      <c r="A256" s="42"/>
      <c r="B256" s="25"/>
      <c r="C256" s="25"/>
      <c r="D256" s="26"/>
      <c r="E256" s="45">
        <v>20</v>
      </c>
      <c r="F256" s="29" t="e" cm="1">
        <f t="array" ref="F256">CHOOSE(GetCSVIndex(A2,93+2268)+1,"","Station","Block","","Delay")</f>
        <v>#VALUE!</v>
      </c>
      <c r="G256" s="29" t="str" cm="1">
        <f t="array" ref="G256">GetCSVIndex(A2,94+2268)</f>
        <v/>
      </c>
      <c r="H256" s="45" t="str" cm="1">
        <f t="array" ref="H256">GetCSVIndex(A2,270+2268)</f>
        <v/>
      </c>
      <c r="I256" s="29" t="str" cm="1">
        <f t="array" ref="I256">GetCSVIndex(A2,333+2268)</f>
        <v/>
      </c>
      <c r="J256" s="26"/>
      <c r="K256" s="45">
        <v>52</v>
      </c>
      <c r="L256" s="29" t="e" cm="1">
        <f t="array" ref="L256">CHOOSE(GetCSVIndex(A2,189+2268)+1,"","Station","Block","","Delay")</f>
        <v>#VALUE!</v>
      </c>
      <c r="M256" s="29" t="str" cm="1">
        <f t="array" ref="M256">GetCSVIndex(A2,190+2268)</f>
        <v/>
      </c>
      <c r="N256" s="27" t="str" cm="1">
        <f t="array" ref="N256">GetCSVIndex(A2,302+2268)</f>
        <v/>
      </c>
      <c r="O256" s="43" t="str" cm="1">
        <f t="array" ref="O256">GetCSVIndex(A2,365+2268)</f>
        <v/>
      </c>
    </row>
    <row r="257" spans="1:15" ht="21" customHeight="1" x14ac:dyDescent="0.25">
      <c r="A257" s="42"/>
      <c r="B257" s="25"/>
      <c r="C257" s="25"/>
      <c r="D257" s="26"/>
      <c r="E257" s="45">
        <v>21</v>
      </c>
      <c r="F257" s="29" t="e" cm="1">
        <f t="array" ref="F257">CHOOSE(GetCSVIndex(A2,96+2268)+1,"","Station","Block","","Delay")</f>
        <v>#VALUE!</v>
      </c>
      <c r="G257" s="29" t="str" cm="1">
        <f t="array" ref="G257">GetCSVIndex(A2,97+2268)</f>
        <v/>
      </c>
      <c r="H257" s="45" t="str" cm="1">
        <f t="array" ref="H257">GetCSVIndex(A2,271+2268)</f>
        <v/>
      </c>
      <c r="I257" s="29" t="str" cm="1">
        <f t="array" ref="I257">GetCSVIndex(A2,334+2268)</f>
        <v/>
      </c>
      <c r="J257" s="26"/>
      <c r="K257" s="45">
        <v>53</v>
      </c>
      <c r="L257" s="29" t="e" cm="1">
        <f t="array" ref="L257">CHOOSE(GetCSVIndex(A2,192+2268)+1,"","Station","Block","","Delay")</f>
        <v>#VALUE!</v>
      </c>
      <c r="M257" s="29" t="str" cm="1">
        <f t="array" ref="M257">GetCSVIndex(A2,193+2268)</f>
        <v/>
      </c>
      <c r="N257" s="27" t="str" cm="1">
        <f t="array" ref="N257">GetCSVIndex(A2,303+2268)</f>
        <v/>
      </c>
      <c r="O257" s="43" t="str" cm="1">
        <f t="array" ref="O257">GetCSVIndex(A2,366+2268)</f>
        <v/>
      </c>
    </row>
    <row r="258" spans="1:15" ht="21" customHeight="1" x14ac:dyDescent="0.25">
      <c r="A258" s="42"/>
      <c r="B258" s="25"/>
      <c r="C258" s="25"/>
      <c r="D258" s="26"/>
      <c r="E258" s="45">
        <v>22</v>
      </c>
      <c r="F258" s="29" t="e" cm="1">
        <f t="array" ref="F258">CHOOSE(GetCSVIndex(A2,99+2268)+1,"","Station","Block","","Delay")</f>
        <v>#VALUE!</v>
      </c>
      <c r="G258" s="29" t="str" cm="1">
        <f t="array" ref="G258">GetCSVIndex(A2,100+2268)</f>
        <v/>
      </c>
      <c r="H258" s="45" t="str" cm="1">
        <f t="array" ref="H258">GetCSVIndex(A2,272+2268)</f>
        <v/>
      </c>
      <c r="I258" s="29" t="str" cm="1">
        <f t="array" ref="I258">GetCSVIndex(A2,335+2268)</f>
        <v/>
      </c>
      <c r="J258" s="26"/>
      <c r="K258" s="45">
        <v>54</v>
      </c>
      <c r="L258" s="29" t="e" cm="1">
        <f t="array" ref="L258">CHOOSE(GetCSVIndex(A2,195+2268)+1,"","Station","Block","","Delay")</f>
        <v>#VALUE!</v>
      </c>
      <c r="M258" s="29" t="str" cm="1">
        <f t="array" ref="M258">GetCSVIndex(A2,196+2268)</f>
        <v/>
      </c>
      <c r="N258" s="27" t="str" cm="1">
        <f t="array" ref="N258">GetCSVIndex(A2,304+2268)</f>
        <v/>
      </c>
      <c r="O258" s="43" t="str" cm="1">
        <f t="array" ref="O258">GetCSVIndex(A2,367+2268)</f>
        <v/>
      </c>
    </row>
    <row r="259" spans="1:15" ht="21" customHeight="1" x14ac:dyDescent="0.25">
      <c r="A259" s="42"/>
      <c r="B259" s="25"/>
      <c r="C259" s="25"/>
      <c r="D259" s="26"/>
      <c r="E259" s="45">
        <v>23</v>
      </c>
      <c r="F259" s="29" t="e" cm="1">
        <f t="array" ref="F259">CHOOSE(GetCSVIndex(A2,102+2268)+1,"","Station","Block","","Delay")</f>
        <v>#VALUE!</v>
      </c>
      <c r="G259" s="29" t="str" cm="1">
        <f t="array" ref="G259">GetCSVIndex(A2,103+2268)</f>
        <v/>
      </c>
      <c r="H259" s="45" t="str" cm="1">
        <f t="array" ref="H259">GetCSVIndex(A2,273+2268)</f>
        <v/>
      </c>
      <c r="I259" s="29" t="str" cm="1">
        <f t="array" ref="I259">GetCSVIndex(A2,336+2268)</f>
        <v/>
      </c>
      <c r="J259" s="26"/>
      <c r="K259" s="45">
        <v>55</v>
      </c>
      <c r="L259" s="29" t="e" cm="1">
        <f t="array" ref="L259">CHOOSE(GetCSVIndex(A2,198+2268)+1,"","Station","Block","","Delay")</f>
        <v>#VALUE!</v>
      </c>
      <c r="M259" s="29" t="str" cm="1">
        <f t="array" ref="M259">GetCSVIndex(A2,199+2268)</f>
        <v/>
      </c>
      <c r="N259" s="27" t="str" cm="1">
        <f t="array" ref="N259">GetCSVIndex(A2,305+2268)</f>
        <v/>
      </c>
      <c r="O259" s="43" t="str" cm="1">
        <f t="array" ref="O259">GetCSVIndex(A2,368+2268)</f>
        <v/>
      </c>
    </row>
    <row r="260" spans="1:15" ht="21" customHeight="1" x14ac:dyDescent="0.25">
      <c r="A260" s="42"/>
      <c r="B260" s="25"/>
      <c r="C260" s="25"/>
      <c r="D260" s="26"/>
      <c r="E260" s="45">
        <v>24</v>
      </c>
      <c r="F260" s="29" t="e" cm="1">
        <f t="array" ref="F260">CHOOSE(GetCSVIndex(A2,105+2268)+1,"","Station","Block","","Delay")</f>
        <v>#VALUE!</v>
      </c>
      <c r="G260" s="29" t="str" cm="1">
        <f t="array" ref="G260">GetCSVIndex(A2,106+2268)</f>
        <v/>
      </c>
      <c r="H260" s="45" t="str" cm="1">
        <f t="array" ref="H260">GetCSVIndex(A2,274+2268)</f>
        <v/>
      </c>
      <c r="I260" s="29" t="str" cm="1">
        <f t="array" ref="I260">GetCSVIndex(A2,337+2268)</f>
        <v/>
      </c>
      <c r="J260" s="26"/>
      <c r="K260" s="45">
        <v>56</v>
      </c>
      <c r="L260" s="29" t="e" cm="1">
        <f t="array" ref="L260">CHOOSE(GetCSVIndex(A2,201+2268)+1,"","Station","Block","","Delay")</f>
        <v>#VALUE!</v>
      </c>
      <c r="M260" s="29" t="str" cm="1">
        <f t="array" ref="M260">GetCSVIndex(A2,202+2268)</f>
        <v/>
      </c>
      <c r="N260" s="27" t="str" cm="1">
        <f t="array" ref="N260">GetCSVIndex(A2,306+2268)</f>
        <v/>
      </c>
      <c r="O260" s="43" t="str" cm="1">
        <f t="array" ref="O260">GetCSVIndex(A2,369+2268)</f>
        <v/>
      </c>
    </row>
    <row r="261" spans="1:15" ht="21" customHeight="1" x14ac:dyDescent="0.25">
      <c r="A261" s="42"/>
      <c r="B261" s="25"/>
      <c r="C261" s="25"/>
      <c r="D261" s="26"/>
      <c r="E261" s="45">
        <v>25</v>
      </c>
      <c r="F261" s="29" t="e" cm="1">
        <f t="array" ref="F261">CHOOSE(GetCSVIndex(A2,108+2268)+1,"","Station","Block","","Delay")</f>
        <v>#VALUE!</v>
      </c>
      <c r="G261" s="29" t="str" cm="1">
        <f t="array" ref="G261">GetCSVIndex(A2,109+2268)</f>
        <v/>
      </c>
      <c r="H261" s="45" t="str" cm="1">
        <f t="array" ref="H261">GetCSVIndex(A2,275+2268)</f>
        <v/>
      </c>
      <c r="I261" s="29" t="str" cm="1">
        <f t="array" ref="I261">GetCSVIndex(A2,338+2268)</f>
        <v/>
      </c>
      <c r="J261" s="26"/>
      <c r="K261" s="45">
        <v>57</v>
      </c>
      <c r="L261" s="29" t="e" cm="1">
        <f t="array" ref="L261">CHOOSE(GetCSVIndex(A2,204+2268)+1,"","Station","Block","","Delay")</f>
        <v>#VALUE!</v>
      </c>
      <c r="M261" s="29" t="str" cm="1">
        <f t="array" ref="M261">GetCSVIndex(A2,205+2268)</f>
        <v/>
      </c>
      <c r="N261" s="27" t="str" cm="1">
        <f t="array" ref="N261">GetCSVIndex(A2,307+2268)</f>
        <v/>
      </c>
      <c r="O261" s="43" t="str" cm="1">
        <f t="array" ref="O261">GetCSVIndex(A2,370+2268)</f>
        <v/>
      </c>
    </row>
    <row r="262" spans="1:15" ht="21" customHeight="1" x14ac:dyDescent="0.25">
      <c r="A262" s="42"/>
      <c r="B262" s="25"/>
      <c r="C262" s="25"/>
      <c r="D262" s="26"/>
      <c r="E262" s="45">
        <v>26</v>
      </c>
      <c r="F262" s="29" t="e" cm="1">
        <f t="array" ref="F262">CHOOSE(GetCSVIndex(A2,111+2268)+1,"","Station","Block","","Delay")</f>
        <v>#VALUE!</v>
      </c>
      <c r="G262" s="29" t="str" cm="1">
        <f t="array" ref="G262">GetCSVIndex(A2,112+2268)</f>
        <v/>
      </c>
      <c r="H262" s="45" t="str" cm="1">
        <f t="array" ref="H262">GetCSVIndex(A2,276+2268)</f>
        <v/>
      </c>
      <c r="I262" s="29" t="str" cm="1">
        <f t="array" ref="I262">GetCSVIndex(A2,339+2268)</f>
        <v/>
      </c>
      <c r="J262" s="26"/>
      <c r="K262" s="45">
        <v>58</v>
      </c>
      <c r="L262" s="29" t="e" cm="1">
        <f t="array" ref="L262">CHOOSE(GetCSVIndex(A2,207+2268)+1,"","Station","Block","","Delay")</f>
        <v>#VALUE!</v>
      </c>
      <c r="M262" s="29" t="str" cm="1">
        <f t="array" ref="M262">GetCSVIndex(A2,208+2268)</f>
        <v/>
      </c>
      <c r="N262" s="27" t="str" cm="1">
        <f t="array" ref="N262">GetCSVIndex(A2,308+2268)</f>
        <v/>
      </c>
      <c r="O262" s="43" t="str" cm="1">
        <f t="array" ref="O262">GetCSVIndex(A2,371+2268)</f>
        <v/>
      </c>
    </row>
    <row r="263" spans="1:15" ht="21" customHeight="1" x14ac:dyDescent="0.25">
      <c r="A263" s="42"/>
      <c r="B263" s="25"/>
      <c r="C263" s="25"/>
      <c r="D263" s="26"/>
      <c r="E263" s="45">
        <v>27</v>
      </c>
      <c r="F263" s="29" t="e" cm="1">
        <f t="array" ref="F263">CHOOSE(GetCSVIndex(A2,114+2268)+1,"","Station","Block","","Delay")</f>
        <v>#VALUE!</v>
      </c>
      <c r="G263" s="29" t="str" cm="1">
        <f t="array" ref="G263">GetCSVIndex(A2,115+2268)</f>
        <v/>
      </c>
      <c r="H263" s="45" t="str" cm="1">
        <f t="array" ref="H263">GetCSVIndex(A2,277+2268)</f>
        <v/>
      </c>
      <c r="I263" s="29" t="str" cm="1">
        <f t="array" ref="I263">GetCSVIndex(A2,340+2268)</f>
        <v/>
      </c>
      <c r="J263" s="26"/>
      <c r="K263" s="45">
        <v>59</v>
      </c>
      <c r="L263" s="29" t="e" cm="1">
        <f t="array" ref="L263">CHOOSE(GetCSVIndex(A2,210+2268)+1,"","Station","Block","","Delay")</f>
        <v>#VALUE!</v>
      </c>
      <c r="M263" s="29" t="str" cm="1">
        <f t="array" ref="M263">GetCSVIndex(A2,211+2268)</f>
        <v/>
      </c>
      <c r="N263" s="27" t="str" cm="1">
        <f t="array" ref="N263">GetCSVIndex(A2,309+2268)</f>
        <v/>
      </c>
      <c r="O263" s="43" t="str" cm="1">
        <f t="array" ref="O263">GetCSVIndex(A2,372+2268)</f>
        <v/>
      </c>
    </row>
    <row r="264" spans="1:15" ht="21" customHeight="1" x14ac:dyDescent="0.25">
      <c r="A264" s="42"/>
      <c r="B264" s="25"/>
      <c r="C264" s="25"/>
      <c r="D264" s="26"/>
      <c r="E264" s="45">
        <v>28</v>
      </c>
      <c r="F264" s="29" t="e" cm="1">
        <f t="array" ref="F264">CHOOSE(GetCSVIndex(A2,117+2268)+1,"","Station","Block","","Delay")</f>
        <v>#VALUE!</v>
      </c>
      <c r="G264" s="29" t="str" cm="1">
        <f t="array" ref="G264">GetCSVIndex(A2,118+2268)</f>
        <v/>
      </c>
      <c r="H264" s="45" t="str" cm="1">
        <f t="array" ref="H264">GetCSVIndex(A2,278+2268)</f>
        <v/>
      </c>
      <c r="I264" s="29" t="str" cm="1">
        <f t="array" ref="I264">GetCSVIndex(A2,341+2268)</f>
        <v/>
      </c>
      <c r="J264" s="26"/>
      <c r="K264" s="45">
        <v>60</v>
      </c>
      <c r="L264" s="29" t="e" cm="1">
        <f t="array" ref="L264">CHOOSE(GetCSVIndex(A2,213+2268)+1,"","Station","Block","","Delay")</f>
        <v>#VALUE!</v>
      </c>
      <c r="M264" s="29" t="str" cm="1">
        <f t="array" ref="M264">GetCSVIndex(A2,214+2268)</f>
        <v/>
      </c>
      <c r="N264" s="27" t="str" cm="1">
        <f t="array" ref="N264">GetCSVIndex(A2,310+2268)</f>
        <v/>
      </c>
      <c r="O264" s="43" t="str" cm="1">
        <f t="array" ref="O264">GetCSVIndex(A2,373+2268)</f>
        <v/>
      </c>
    </row>
    <row r="265" spans="1:15" ht="21" customHeight="1" x14ac:dyDescent="0.25">
      <c r="A265" s="42"/>
      <c r="B265" s="25"/>
      <c r="C265" s="25"/>
      <c r="D265" s="26"/>
      <c r="E265" s="45">
        <v>29</v>
      </c>
      <c r="F265" s="29" t="e" cm="1">
        <f t="array" ref="F265">CHOOSE(GetCSVIndex(A2,120+2268)+1,"","Station","Block","","Delay")</f>
        <v>#VALUE!</v>
      </c>
      <c r="G265" s="29" t="str" cm="1">
        <f t="array" ref="G265">GetCSVIndex(A2,121+2268)</f>
        <v/>
      </c>
      <c r="H265" s="45" t="str" cm="1">
        <f t="array" ref="H265">GetCSVIndex(A2,279+2268)</f>
        <v/>
      </c>
      <c r="I265" s="29" t="str" cm="1">
        <f t="array" ref="I265">GetCSVIndex(A2,342+2268)</f>
        <v/>
      </c>
      <c r="J265" s="26"/>
      <c r="K265" s="45">
        <v>61</v>
      </c>
      <c r="L265" s="29" t="e" cm="1">
        <f t="array" ref="L265">CHOOSE(GetCSVIndex(A2,216+2268)+1,"","Station","Block","","Delay")</f>
        <v>#VALUE!</v>
      </c>
      <c r="M265" s="29" t="str" cm="1">
        <f t="array" ref="M265">GetCSVIndex(A2,217+2268)</f>
        <v/>
      </c>
      <c r="N265" s="27" t="str" cm="1">
        <f t="array" ref="N265">GetCSVIndex(A2,311+2268)</f>
        <v/>
      </c>
      <c r="O265" s="43" t="str" cm="1">
        <f t="array" ref="O265">GetCSVIndex(A2,374+2268)</f>
        <v/>
      </c>
    </row>
    <row r="266" spans="1:15" ht="21" customHeight="1" x14ac:dyDescent="0.25">
      <c r="A266" s="42"/>
      <c r="B266" s="25"/>
      <c r="C266" s="25"/>
      <c r="D266" s="26"/>
      <c r="E266" s="45">
        <v>30</v>
      </c>
      <c r="F266" s="29" t="e" cm="1">
        <f t="array" ref="F266">CHOOSE(GetCSVIndex(A2,123+2268)+1,"","Station","Block","","Delay")</f>
        <v>#VALUE!</v>
      </c>
      <c r="G266" s="29" t="str" cm="1">
        <f t="array" ref="G266">GetCSVIndex(A2,124+2268)</f>
        <v/>
      </c>
      <c r="H266" s="45" t="str" cm="1">
        <f t="array" ref="H266">GetCSVIndex(A2,280+2268)</f>
        <v/>
      </c>
      <c r="I266" s="29" t="str" cm="1">
        <f t="array" ref="I266">GetCSVIndex(A2,343+2268)</f>
        <v/>
      </c>
      <c r="J266" s="26"/>
      <c r="K266" s="45">
        <v>62</v>
      </c>
      <c r="L266" s="29" t="e" cm="1">
        <f t="array" ref="L266">CHOOSE(GetCSVIndex(A2,219+2268)+1,"","Station","Block","","Delay")</f>
        <v>#VALUE!</v>
      </c>
      <c r="M266" s="29" t="str" cm="1">
        <f t="array" ref="M266">GetCSVIndex(A2,220+2268)</f>
        <v/>
      </c>
      <c r="N266" s="27" t="str" cm="1">
        <f t="array" ref="N266">GetCSVIndex(A2,312+2268)</f>
        <v/>
      </c>
      <c r="O266" s="43" t="str" cm="1">
        <f t="array" ref="O266">GetCSVIndex(A2,375+2268)</f>
        <v/>
      </c>
    </row>
    <row r="267" spans="1:15" ht="21" customHeight="1" x14ac:dyDescent="0.25">
      <c r="A267" s="42"/>
      <c r="B267" s="25"/>
      <c r="C267" s="25"/>
      <c r="D267" s="26"/>
      <c r="E267" s="45">
        <v>31</v>
      </c>
      <c r="F267" s="29" t="e" cm="1">
        <f t="array" ref="F267">CHOOSE(GetCSVIndex(A2,126+2268)+1,"","Station","Block","","Delay")</f>
        <v>#VALUE!</v>
      </c>
      <c r="G267" s="29" t="str" cm="1">
        <f t="array" ref="G267">GetCSVIndex(A2,127+2268)</f>
        <v/>
      </c>
      <c r="H267" s="45" t="str" cm="1">
        <f t="array" ref="H267">GetCSVIndex(A2,281+2268)</f>
        <v/>
      </c>
      <c r="I267" s="29" t="str" cm="1">
        <f t="array" ref="I267">GetCSVIndex(A2,344+2268)</f>
        <v/>
      </c>
      <c r="J267" s="26"/>
      <c r="K267" s="45">
        <v>63</v>
      </c>
      <c r="L267" s="29" t="e" cm="1">
        <f t="array" ref="L267">CHOOSE(GetCSVIndex(A2,222+2268)+1,"","Station","Block","","Delay")</f>
        <v>#VALUE!</v>
      </c>
      <c r="M267" s="29" t="str" cm="1">
        <f t="array" ref="M267">GetCSVIndex(A2,223+2268)</f>
        <v/>
      </c>
      <c r="N267" s="27" t="str" cm="1">
        <f t="array" ref="N267">GetCSVIndex(A2,313+2268)</f>
        <v/>
      </c>
      <c r="O267" s="43" t="str" cm="1">
        <f t="array" ref="O267">GetCSVIndex(A2,376+2268)</f>
        <v/>
      </c>
    </row>
    <row r="268" spans="1:15" ht="21" customHeight="1" x14ac:dyDescent="0.25">
      <c r="A268" s="37"/>
      <c r="B268" s="28"/>
      <c r="C268" s="29"/>
      <c r="D268" s="29"/>
      <c r="E268" s="45">
        <v>32</v>
      </c>
      <c r="F268" s="29" t="e" cm="1">
        <f t="array" ref="F268">CHOOSE(GetCSVIndex(A2,129+2268)+1,"","Station","Block","","Delay")</f>
        <v>#VALUE!</v>
      </c>
      <c r="G268" s="29" t="str" cm="1">
        <f t="array" ref="G268">GetCSVIndex(A2,130+2268)</f>
        <v/>
      </c>
      <c r="H268" s="45" t="str" cm="1">
        <f t="array" ref="H268">GetCSVIndex(A2,282+2268)</f>
        <v/>
      </c>
      <c r="I268" s="29" t="str" cm="1">
        <f t="array" ref="I268">GetCSVIndex(A2,345+2268)</f>
        <v/>
      </c>
      <c r="J268" s="29"/>
      <c r="K268" s="45">
        <v>64</v>
      </c>
      <c r="L268" s="29" t="e" cm="1">
        <f t="array" ref="L268">CHOOSE(GetCSVIndex(A2,225+2268)+1,"","Station","Block","","Delay")</f>
        <v>#VALUE!</v>
      </c>
      <c r="M268" s="29" t="str" cm="1">
        <f t="array" ref="M268">GetCSVIndex(A2,226+2268)</f>
        <v/>
      </c>
      <c r="N268" s="27" t="str" cm="1">
        <f t="array" ref="N268">GetCSVIndex(A2,314+2268)</f>
        <v/>
      </c>
      <c r="O268" s="43" t="str" cm="1">
        <f t="array" ref="O268">GetCSVIndex(A2,377+2268)</f>
        <v/>
      </c>
    </row>
    <row r="269" spans="1:15" ht="23.25" customHeight="1" x14ac:dyDescent="0.25">
      <c r="A269" s="51" t="str" cm="1">
        <f t="array" ref="A269">CONCATENATE("Schedule  Program Number : ", GetCSVIndex(A2,5+2646))</f>
        <v xml:space="preserve">Schedule  Program Number : </v>
      </c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3"/>
    </row>
    <row r="270" spans="1:15" ht="21" customHeight="1" x14ac:dyDescent="0.25">
      <c r="A270" s="20" t="s">
        <v>44</v>
      </c>
      <c r="B270" s="22" t="str" cm="1">
        <f t="array" ref="B270">GetCSVIndex(A2,5+2646)</f>
        <v/>
      </c>
      <c r="C270" s="18"/>
      <c r="D270" s="18"/>
      <c r="E270" s="18"/>
      <c r="F270" s="18"/>
      <c r="G270" s="18" t="s">
        <v>19</v>
      </c>
      <c r="H270" s="18" t="e" cm="1">
        <f t="array" ref="H270">CHOOSE(GetCSVIndex(A2,7+2646)+1, "Days of Week", "Odd/Even", "Interval","Manual")</f>
        <v>#VALUE!</v>
      </c>
      <c r="I270" s="18"/>
      <c r="J270" s="15"/>
      <c r="K270" s="15"/>
      <c r="L270" s="15"/>
      <c r="M270" s="15"/>
      <c r="N270" s="15"/>
      <c r="O270" s="16"/>
    </row>
    <row r="271" spans="1:15" ht="18" customHeight="1" x14ac:dyDescent="0.25">
      <c r="A271" s="21" t="s">
        <v>20</v>
      </c>
      <c r="B271" s="19" t="e" cm="1">
        <f t="array" ref="B271">CHOOSE(GetCSVIndex(A2,24+2646)+1, "Program", "Global", "Monthly","Solar Sync")</f>
        <v>#VALUE!</v>
      </c>
      <c r="C271" s="19"/>
      <c r="D271" s="19"/>
      <c r="E271" s="19"/>
      <c r="F271" s="19" t="s">
        <v>21</v>
      </c>
      <c r="G271" s="19" t="e" cm="1">
        <f t="array" ref="G271">IF(CHOOSE(GetCSVIndex(A2,7+2646)+1,IF(_xlfn.BITAND(GetCSVIndex(A2,8+2646), 2^0)=0, 0, 1),IF(_xlfn.BITAND(GetCSVIndex(A2,9+2646), 2^0)=0, 0, 1),IF(_xlfn.BITAND(GetCSVIndex(A2,10+2646), 2^0)=0, 0, 1)) =1,"Mon","")</f>
        <v>#VALUE!</v>
      </c>
      <c r="H271" s="19" t="e" cm="1">
        <f t="array" ref="H271">CONCATENATE(IF(CHOOSE(GetCSVIndex(A2,7+2646)+1,IF(_xlfn.BITAND(GetCSVIndex(A2,8+2646), 2^1)=0, 0, 1),IF(_xlfn.BITAND(GetCSVIndex(A2,9+2646), 2^1)=0, 0, 1),IF(_xlfn.BITAND(GetCSVIndex(A2,10+2646), 2^1)=0, 0, 1)) =1,"Tue       ","       "),IF(CHOOSE(GetCSVIndex(A2,7+2646)+1,IF(_xlfn.BITAND(GetCSVIndex(A2,8+2646), 2^2)=0, 0, 1),IF(_xlfn.BITAND(GetCSVIndex(A2,9+2646), 2^2)=0, 0, 1),IF(_xlfn.BITAND(GetCSVIndex(A2,10+2646), 2^2)=0, 0, 1)) =1,"Wed",""),IF(CHOOSE(GetCSVIndex(A2,7+2646)+1,IF(_xlfn.BITAND(GetCSVIndex(A2,8+2646), 2^3)=0, 0, 1),IF(_xlfn.BITAND(GetCSVIndex(A2,9+2646), 2^3)=0, 0, 1),IF(_xlfn.BITAND(GetCSVIndex(A2,10+2646), 2^3)=0, 0, 1)) =1,"       Thu","       "))</f>
        <v>#VALUE!</v>
      </c>
      <c r="I271" s="32" t="e" cm="1">
        <f t="array" ref="I271">CONCATENATE(IF(CHOOSE(GetCSVIndex(A2,7+2646)+1,IF(_xlfn.BITAND(GetCSVIndex(A2,8+2646), 2^4)=0, 0, 1),IF(_xlfn.BITAND(GetCSVIndex(A2,9+2646), 2^4)=0, 0, 1),IF(_xlfn.BITAND(GetCSVIndex(A2,10+2646), 2^4)=0, 0, 1)) =1,"Fri       ","       "),IF(CHOOSE(GetCSVIndex(A2,7+2646)+1,IF(_xlfn.BITAND(GetCSVIndex(A2,8+2646), 2^5)=0, 0, 1),IF(_xlfn.BITAND(GetCSVIndex(A2,9+2646), 2^5)=0, 0, 1),IF(_xlfn.BITAND(GetCSVIndex(A2,10+2646), 2^5)=0, 0, 1)) =1,"Sat",""),IF(CHOOSE(GetCSVIndex(A2,7+2646)+1,IF(_xlfn.BITAND(GetCSVIndex(A2,8+2646), 2^6)=0, 0, 1),IF(_xlfn.BITAND(GetCSVIndex(A2,9+2646), 2^6)=0, 0, 1),IF(_xlfn.BITAND(GetCSVIndex(A2,10+2646), 2^6)=0, 0, 1)) =1,"       Sun","       "))</f>
        <v>#VALUE!</v>
      </c>
      <c r="J271" s="19"/>
      <c r="K271" s="19"/>
      <c r="L271" s="32" t="s">
        <v>22</v>
      </c>
      <c r="M271" s="19"/>
      <c r="N271" s="19" t="str" cm="1">
        <f t="array" ref="N271">IF(GetCSVIndex(A2,26+2646)="1","Enable","Disable")</f>
        <v>Disable</v>
      </c>
      <c r="O271" s="24"/>
    </row>
    <row r="272" spans="1:15" ht="18" customHeight="1" x14ac:dyDescent="0.25">
      <c r="A272" s="21" t="str" cm="1">
        <f t="array" ref="A272">CONCATENATE("Program ", GetCSVIndex(A2,5+2646))</f>
        <v xml:space="preserve">Program </v>
      </c>
      <c r="B272" s="23" t="str" cm="1">
        <f t="array" ref="B272">CONCATENATE(GetCSVIndex(A2,25+2646)," %")</f>
        <v xml:space="preserve"> %</v>
      </c>
      <c r="C272" s="19"/>
      <c r="D272" s="19"/>
      <c r="E272" s="19"/>
      <c r="F272" s="19" t="str" cm="1">
        <f t="array" ref="F272">IF(GetCSVIndex(A2,7)="2","Water Every"," ")</f>
        <v xml:space="preserve"> </v>
      </c>
      <c r="G272" s="47" t="str" cm="1">
        <f t="array" ref="G272">IF(GetCSVIndex(A2,7+2646)="2",GetCSVIndex(A2,11+2646)," ")</f>
        <v xml:space="preserve"> </v>
      </c>
      <c r="H272" s="19" t="str" cm="1">
        <f t="array" ref="H272">IF(GetCSVIndex(A2,7+2646)="2","Days"," ")</f>
        <v xml:space="preserve"> </v>
      </c>
      <c r="I272" s="32" t="str" cm="1">
        <f t="array" ref="I272">IF(GetCSVIndex(A2,7+2646)="2","Water After"," ")</f>
        <v xml:space="preserve"> </v>
      </c>
      <c r="J272" s="19"/>
      <c r="K272" s="19" t="str" cm="1">
        <f t="array" ref="K272">IF(GetCSVIndex(A2,7+2646)="2",GetCSVIndex(A2,12+2646)," ")</f>
        <v xml:space="preserve"> </v>
      </c>
      <c r="L272" s="47" t="str" cm="1">
        <f t="array" ref="L272">IF(GetCSVIndex(A2,7+2646)="2","Days"," ")</f>
        <v xml:space="preserve"> </v>
      </c>
      <c r="M272" s="32"/>
      <c r="N272" s="32"/>
      <c r="O272" s="24"/>
    </row>
    <row r="273" spans="1:15" ht="21" customHeight="1" x14ac:dyDescent="0.25">
      <c r="A273" s="20" t="s">
        <v>23</v>
      </c>
      <c r="B273" s="18" t="s">
        <v>24</v>
      </c>
      <c r="C273" s="18" t="str" cm="1">
        <f t="array" ref="C273">CHOOSE(GetCSVIndex(A2,13)+1, "Auto", "Start to End","Manual")</f>
        <v>Start to End</v>
      </c>
      <c r="D273" s="31"/>
      <c r="E273" s="17" t="s">
        <v>38</v>
      </c>
      <c r="F273" s="18" t="s">
        <v>39</v>
      </c>
      <c r="G273" s="18" t="s">
        <v>40</v>
      </c>
      <c r="H273" s="18" t="s">
        <v>41</v>
      </c>
      <c r="I273" s="18" t="s">
        <v>43</v>
      </c>
      <c r="J273" s="31"/>
      <c r="K273" s="17" t="s">
        <v>38</v>
      </c>
      <c r="L273" s="18" t="s">
        <v>39</v>
      </c>
      <c r="M273" s="18" t="s">
        <v>40</v>
      </c>
      <c r="N273" s="22" t="s">
        <v>41</v>
      </c>
      <c r="O273" s="44" t="s">
        <v>42</v>
      </c>
    </row>
    <row r="274" spans="1:15" ht="21" customHeight="1" x14ac:dyDescent="0.25">
      <c r="A274" s="36" t="s">
        <v>25</v>
      </c>
      <c r="B274" s="46" t="str" cm="1">
        <f t="array" ref="B274">IF(GetCSVIndex(A2,6+2646)="1","Over","Stack")</f>
        <v>Stack</v>
      </c>
      <c r="C274" s="26" t="str" cm="1">
        <f t="array" ref="C274">GetCSVIndex(A2,29+2646)</f>
        <v/>
      </c>
      <c r="D274" s="25"/>
      <c r="E274" s="45">
        <v>1</v>
      </c>
      <c r="F274" s="29" t="e" cm="1">
        <f t="array" ref="F274">CHOOSE(GetCSVIndex(A2,36+2646)+1,"","Station","Block","","Delay")</f>
        <v>#VALUE!</v>
      </c>
      <c r="G274" s="29" t="str" cm="1">
        <f t="array" ref="G274">GetCSVIndex(A2,37+2646)</f>
        <v/>
      </c>
      <c r="H274" s="45" t="str" cm="1">
        <f t="array" ref="H274">GetCSVIndex(A2,3+2646)</f>
        <v/>
      </c>
      <c r="I274" s="29" t="str" cm="1">
        <f t="array" ref="I274">GetCSVIndex(A2,1+2646)</f>
        <v/>
      </c>
      <c r="J274" s="25"/>
      <c r="K274" s="45">
        <v>33</v>
      </c>
      <c r="L274" s="29" t="e" cm="1">
        <f t="array" ref="L274">CHOOSE(GetCSVIndex(A2,132+2646)+1,"","Station","Block","","Delay")</f>
        <v>#VALUE!</v>
      </c>
      <c r="M274" s="29" t="str" cm="1">
        <f t="array" ref="M274">GetCSVIndex(A2,133+2646)</f>
        <v/>
      </c>
      <c r="N274" s="27" t="str" cm="1">
        <f t="array" ref="N274">GetCSVIndex(A2,283+2646)</f>
        <v/>
      </c>
      <c r="O274" s="43" t="str" cm="1">
        <f t="array" ref="O274">GetCSVIndex(A2,346+2646)</f>
        <v/>
      </c>
    </row>
    <row r="275" spans="1:15" ht="21" customHeight="1" x14ac:dyDescent="0.25">
      <c r="A275" s="36" t="s">
        <v>26</v>
      </c>
      <c r="B275" s="25" t="str" cm="1">
        <f t="array" ref="B275">IF(GetCSVIndex(A2,2+2646)="1092:15","Not Set",CONCATENATE("From     ",GetCSVIndex(A2,2+2646)))</f>
        <v xml:space="preserve">From     </v>
      </c>
      <c r="C275" s="26" t="str" cm="1">
        <f t="array" ref="C275">IF(GetCSVIndex(C4,1+14)="1092:15","Not Set",CONCATENATE("To     ",GetCSVIndex(C4,1+14)))</f>
        <v xml:space="preserve">To     </v>
      </c>
      <c r="D275" s="25"/>
      <c r="E275" s="45">
        <v>2</v>
      </c>
      <c r="F275" s="29" t="e" cm="1">
        <f t="array" ref="F275">CHOOSE(GetCSVIndex(A2,39+2646)+1,"","Station","Block","","Delay")</f>
        <v>#VALUE!</v>
      </c>
      <c r="G275" s="29" t="str" cm="1">
        <f t="array" ref="G275">GetCSVIndex(A2,40+2646)</f>
        <v/>
      </c>
      <c r="H275" s="45" t="str" cm="1">
        <f t="array" ref="H275">GetCSVIndex(A2,252+2646)</f>
        <v/>
      </c>
      <c r="I275" s="29" t="str" cm="1">
        <f t="array" ref="I275">GetCSVIndex(A2,315+2646)</f>
        <v/>
      </c>
      <c r="J275" s="25"/>
      <c r="K275" s="45">
        <v>34</v>
      </c>
      <c r="L275" s="29" t="e" cm="1">
        <f t="array" ref="L275">CHOOSE(GetCSVIndex(A2,135+2646)+1,"","Station","Block","","Delay")</f>
        <v>#VALUE!</v>
      </c>
      <c r="M275" s="29" t="str" cm="1">
        <f t="array" ref="M275">GetCSVIndex(A2,136+2646)</f>
        <v/>
      </c>
      <c r="N275" s="27" t="str" cm="1">
        <f t="array" ref="N275">GetCSVIndex(A2,284+2646)</f>
        <v/>
      </c>
      <c r="O275" s="43" t="str" cm="1">
        <f t="array" ref="O275">GetCSVIndex(A2,347+2646)</f>
        <v/>
      </c>
    </row>
    <row r="276" spans="1:15" ht="21" customHeight="1" x14ac:dyDescent="0.25">
      <c r="A276" s="36" t="s">
        <v>27</v>
      </c>
      <c r="B276" s="25"/>
      <c r="C276" s="26" t="str" cm="1">
        <f t="array" ref="C276">CONCATENATE(GetCSVIndex(A2,249+2646),":", GetCSVIndex(A2,250+2646),":", GetCSVIndex(A2,251+2646))</f>
        <v>::</v>
      </c>
      <c r="D276" s="26"/>
      <c r="E276" s="45">
        <v>3</v>
      </c>
      <c r="F276" s="29" t="e" cm="1">
        <f t="array" ref="F276">CHOOSE(GetCSVIndex(A2,42+2646)+1,"","Station","Block","","Delay")</f>
        <v>#VALUE!</v>
      </c>
      <c r="G276" s="29" t="str" cm="1">
        <f t="array" ref="G276">GetCSVIndex(A2,43+2646)</f>
        <v/>
      </c>
      <c r="H276" s="45" t="str" cm="1">
        <f t="array" ref="H276">GetCSVIndex(A2,253+2646)</f>
        <v/>
      </c>
      <c r="I276" s="29" t="str" cm="1">
        <f t="array" ref="I276">GetCSVIndex(A2,316+2646)</f>
        <v/>
      </c>
      <c r="J276" s="25"/>
      <c r="K276" s="45">
        <v>35</v>
      </c>
      <c r="L276" s="29" t="e" cm="1">
        <f t="array" ref="L276">CHOOSE(GetCSVIndex(A2,138+2646)+1,"","Station","Block","","Delay")</f>
        <v>#VALUE!</v>
      </c>
      <c r="M276" s="29" t="str" cm="1">
        <f t="array" ref="M276">GetCSVIndex(A2,139+2646)</f>
        <v/>
      </c>
      <c r="N276" s="27" t="str" cm="1">
        <f t="array" ref="N276">GetCSVIndex(A2,285+2646)</f>
        <v/>
      </c>
      <c r="O276" s="43" t="str" cm="1">
        <f t="array" ref="O276">GetCSVIndex(A2,348+2646)</f>
        <v/>
      </c>
    </row>
    <row r="277" spans="1:15" ht="21" customHeight="1" x14ac:dyDescent="0.25">
      <c r="A277" s="36"/>
      <c r="B277" s="25"/>
      <c r="C277" s="25"/>
      <c r="D277" s="25"/>
      <c r="E277" s="45">
        <v>4</v>
      </c>
      <c r="F277" s="29" t="e" cm="1">
        <f t="array" ref="F277">CHOOSE(GetCSVIndex(A2,45+2646)+1,"","Station","Block","","Delay")</f>
        <v>#VALUE!</v>
      </c>
      <c r="G277" s="29" t="str" cm="1">
        <f t="array" ref="G277">GetCSVIndex(A2,46+2646)</f>
        <v/>
      </c>
      <c r="H277" s="45" t="str" cm="1">
        <f t="array" ref="H277">GetCSVIndex(A2,254+2646)</f>
        <v/>
      </c>
      <c r="I277" s="29" t="str" cm="1">
        <f t="array" ref="I277">GetCSVIndex(A2,317+2646)</f>
        <v/>
      </c>
      <c r="J277" s="25"/>
      <c r="K277" s="45">
        <v>36</v>
      </c>
      <c r="L277" s="29" t="e" cm="1">
        <f t="array" ref="L277">CHOOSE(GetCSVIndex(A2,141+2646)+1,"","Station","Block","","Delay")</f>
        <v>#VALUE!</v>
      </c>
      <c r="M277" s="29" t="str" cm="1">
        <f t="array" ref="M277">GetCSVIndex(A2,142+2646)</f>
        <v/>
      </c>
      <c r="N277" s="27" t="str" cm="1">
        <f t="array" ref="N277">GetCSVIndex(A2,286+2646)</f>
        <v/>
      </c>
      <c r="O277" s="43" t="str" cm="1">
        <f t="array" ref="O277">GetCSVIndex(A2,349+2646)</f>
        <v/>
      </c>
    </row>
    <row r="278" spans="1:15" ht="21" customHeight="1" x14ac:dyDescent="0.25">
      <c r="A278" s="37" t="s">
        <v>28</v>
      </c>
      <c r="B278" s="28"/>
      <c r="C278" s="29" t="str" cm="1">
        <f t="array" ref="C278">IF(GetCSVIndex(A2,14+2646)&lt;&gt;"65535",CONCATENATE(GetCSVIndex(A2,229+2646),":", GetCSVIndex(A2,239+2646)),"OFF")</f>
        <v>:</v>
      </c>
      <c r="D278" s="25"/>
      <c r="E278" s="45">
        <v>5</v>
      </c>
      <c r="F278" s="29" t="e" cm="1">
        <f t="array" ref="F278">CHOOSE(GetCSVIndex(A2,48+2646)+1,"","Station","Block","","Delay")</f>
        <v>#VALUE!</v>
      </c>
      <c r="G278" s="29" t="str" cm="1">
        <f t="array" ref="G278">GetCSVIndex(A2,49+2646)</f>
        <v/>
      </c>
      <c r="H278" s="45" t="str" cm="1">
        <f t="array" ref="H278">GetCSVIndex(A2,255+2646)</f>
        <v/>
      </c>
      <c r="I278" s="29" t="str" cm="1">
        <f t="array" ref="I278">GetCSVIndex(A2,318+2646)</f>
        <v/>
      </c>
      <c r="J278" s="25"/>
      <c r="K278" s="45">
        <v>37</v>
      </c>
      <c r="L278" s="29" t="e" cm="1">
        <f t="array" ref="L278">CHOOSE(GetCSVIndex(A2,144+2646)+1,"","Station","Block","","Delay")</f>
        <v>#VALUE!</v>
      </c>
      <c r="M278" s="29" t="str" cm="1">
        <f t="array" ref="M278">GetCSVIndex(A2,145+2646)</f>
        <v/>
      </c>
      <c r="N278" s="27" t="str" cm="1">
        <f t="array" ref="N278">GetCSVIndex(A2,287+2646)</f>
        <v/>
      </c>
      <c r="O278" s="43" t="str" cm="1">
        <f t="array" ref="O278">GetCSVIndex(A2,350+2646)</f>
        <v/>
      </c>
    </row>
    <row r="279" spans="1:15" ht="21" customHeight="1" x14ac:dyDescent="0.25">
      <c r="A279" s="38" t="s">
        <v>29</v>
      </c>
      <c r="B279" s="30"/>
      <c r="C279" s="29" t="str" cm="1">
        <f t="array" ref="C279">IF(GetCSVIndex(A2,15+2646)&lt;&gt;"65535",CONCATENATE(GetCSVIndex(A2,231+2646),":", GetCSVIndex(A2,241+2646)),"OFF")</f>
        <v>:</v>
      </c>
      <c r="D279" s="25"/>
      <c r="E279" s="45">
        <v>6</v>
      </c>
      <c r="F279" s="29" t="e" cm="1">
        <f t="array" ref="F279">CHOOSE(GetCSVIndex(A2,51+2646)+1,"","Station","Block","","Delay")</f>
        <v>#VALUE!</v>
      </c>
      <c r="G279" s="29" t="str" cm="1">
        <f t="array" ref="G279">GetCSVIndex(A2,52+2646)</f>
        <v/>
      </c>
      <c r="H279" s="45" t="str" cm="1">
        <f t="array" ref="H279">GetCSVIndex(A2,256+2646)</f>
        <v/>
      </c>
      <c r="I279" s="29" t="str" cm="1">
        <f t="array" ref="I279">GetCSVIndex(A2,319+2646)</f>
        <v/>
      </c>
      <c r="J279" s="25"/>
      <c r="K279" s="45">
        <v>38</v>
      </c>
      <c r="L279" s="29" t="e" cm="1">
        <f t="array" ref="L279">CHOOSE(GetCSVIndex(A2,147+2646)+1,"","Station","Block","","Delay")</f>
        <v>#VALUE!</v>
      </c>
      <c r="M279" s="29" t="str" cm="1">
        <f t="array" ref="M279">GetCSVIndex(A2,148+2646)</f>
        <v/>
      </c>
      <c r="N279" s="27" t="str" cm="1">
        <f t="array" ref="N279">GetCSVIndex(A2,288+2646)</f>
        <v/>
      </c>
      <c r="O279" s="43" t="str" cm="1">
        <f t="array" ref="O279">GetCSVIndex(A2,351+2646)</f>
        <v/>
      </c>
    </row>
    <row r="280" spans="1:15" ht="21" customHeight="1" x14ac:dyDescent="0.25">
      <c r="A280" s="38" t="s">
        <v>30</v>
      </c>
      <c r="B280" s="30"/>
      <c r="C280" s="29" t="str" cm="1">
        <f t="array" ref="C280">IF(GetCSVIndex(A2,16+2646)&lt;&gt;"65535",CONCATENATE(GetCSVIndex(A2,232+2646),":", GetCSVIndex(A2,242+2646)),"OFF")</f>
        <v>:</v>
      </c>
      <c r="D280" s="25"/>
      <c r="E280" s="45">
        <v>7</v>
      </c>
      <c r="F280" s="29" t="e" cm="1">
        <f t="array" ref="F280">CHOOSE(GetCSVIndex(A2,54+2646)+1,"","Station","Block","","Delay")</f>
        <v>#VALUE!</v>
      </c>
      <c r="G280" s="29" t="str" cm="1">
        <f t="array" ref="G280">GetCSVIndex(A2,55+2646)</f>
        <v/>
      </c>
      <c r="H280" s="45" t="str" cm="1">
        <f t="array" ref="H280">GetCSVIndex(A2,257+2646)</f>
        <v/>
      </c>
      <c r="I280" s="29" t="str" cm="1">
        <f t="array" ref="I280">GetCSVIndex(A2,320+2646)</f>
        <v/>
      </c>
      <c r="J280" s="25"/>
      <c r="K280" s="45">
        <v>39</v>
      </c>
      <c r="L280" s="29" t="e" cm="1">
        <f t="array" ref="L280">CHOOSE(GetCSVIndex(A2,150+2646)+1,"","Station","Block","","Delay")</f>
        <v>#VALUE!</v>
      </c>
      <c r="M280" s="29" t="str" cm="1">
        <f t="array" ref="M280">GetCSVIndex(A2,151+2646)</f>
        <v/>
      </c>
      <c r="N280" s="27" t="str" cm="1">
        <f t="array" ref="N280">GetCSVIndex(A2,289+2646)</f>
        <v/>
      </c>
      <c r="O280" s="43" t="str" cm="1">
        <f t="array" ref="O280">GetCSVIndex(A2,352+2646)</f>
        <v/>
      </c>
    </row>
    <row r="281" spans="1:15" ht="21" customHeight="1" x14ac:dyDescent="0.25">
      <c r="A281" s="38" t="s">
        <v>31</v>
      </c>
      <c r="B281" s="30"/>
      <c r="C281" s="29" t="str" cm="1">
        <f t="array" ref="C281">IF(GetCSVIndex(A2,17+2646)&lt;&gt;"65535",CONCATENATE(GetCSVIndex(A2,233+2646),":", GetCSVIndex(A2,243+2646)),"OFF")</f>
        <v>:</v>
      </c>
      <c r="D281" s="25"/>
      <c r="E281" s="45">
        <v>8</v>
      </c>
      <c r="F281" s="29" t="e" cm="1">
        <f t="array" ref="F281">CHOOSE(GetCSVIndex(A2,57+2646)+1,"","Station","Block","","Delay")</f>
        <v>#VALUE!</v>
      </c>
      <c r="G281" s="29" t="str" cm="1">
        <f t="array" ref="G281">GetCSVIndex(A2,58+2646)</f>
        <v/>
      </c>
      <c r="H281" s="45" t="str" cm="1">
        <f t="array" ref="H281">GetCSVIndex(A2,258+2646)</f>
        <v/>
      </c>
      <c r="I281" s="29" t="str" cm="1">
        <f t="array" ref="I281">GetCSVIndex(A2,321+2646)</f>
        <v/>
      </c>
      <c r="J281" s="25"/>
      <c r="K281" s="45">
        <v>40</v>
      </c>
      <c r="L281" s="29" t="e" cm="1">
        <f t="array" ref="L281">CHOOSE(GetCSVIndex(A2,153+2646)+1,"","Station","Block","","Delay")</f>
        <v>#VALUE!</v>
      </c>
      <c r="M281" s="29" t="str" cm="1">
        <f t="array" ref="M281">GetCSVIndex(A2,154+2646)</f>
        <v/>
      </c>
      <c r="N281" s="27" t="str" cm="1">
        <f t="array" ref="N281">GetCSVIndex(A2,290+2646)</f>
        <v/>
      </c>
      <c r="O281" s="43" t="str" cm="1">
        <f t="array" ref="O281">GetCSVIndex(A2,353+2646)</f>
        <v/>
      </c>
    </row>
    <row r="282" spans="1:15" ht="21" customHeight="1" x14ac:dyDescent="0.25">
      <c r="A282" s="38" t="s">
        <v>32</v>
      </c>
      <c r="B282" s="30"/>
      <c r="C282" s="29" t="str" cm="1">
        <f t="array" ref="C282">IF(GetCSVIndex(A2,18+2646)&lt;&gt;"65535",CONCATENATE(GetCSVIndex(A2,234+2646),":", GetCSVIndex(A2,244+2646)),"OFF")</f>
        <v>:</v>
      </c>
      <c r="D282" s="25"/>
      <c r="E282" s="45">
        <v>9</v>
      </c>
      <c r="F282" s="29" t="e" cm="1">
        <f t="array" ref="F282">CHOOSE(GetCSVIndex(A2,60+2646)+1,"","Station","Block","","Delay")</f>
        <v>#VALUE!</v>
      </c>
      <c r="G282" s="29" t="str" cm="1">
        <f t="array" ref="G282">GetCSVIndex(A2,61+2646)</f>
        <v/>
      </c>
      <c r="H282" s="45" t="str" cm="1">
        <f t="array" ref="H282">GetCSVIndex(A2,259+2646)</f>
        <v/>
      </c>
      <c r="I282" s="29" t="str" cm="1">
        <f t="array" ref="I282">GetCSVIndex(A2,322+2646)</f>
        <v/>
      </c>
      <c r="J282" s="25"/>
      <c r="K282" s="45">
        <v>41</v>
      </c>
      <c r="L282" s="29" t="e" cm="1">
        <f t="array" ref="L282">CHOOSE(GetCSVIndex(A2,156+2646)+1,"","Station","Block","","Delay")</f>
        <v>#VALUE!</v>
      </c>
      <c r="M282" s="29" t="str" cm="1">
        <f t="array" ref="M282">GetCSVIndex(A2,157+2646)</f>
        <v/>
      </c>
      <c r="N282" s="27" t="str" cm="1">
        <f t="array" ref="N282">GetCSVIndex(A2,291+2646)</f>
        <v/>
      </c>
      <c r="O282" s="43" t="str" cm="1">
        <f t="array" ref="O282">GetCSVIndex(A2,354+2646)</f>
        <v/>
      </c>
    </row>
    <row r="283" spans="1:15" ht="21" customHeight="1" x14ac:dyDescent="0.25">
      <c r="A283" s="38" t="s">
        <v>33</v>
      </c>
      <c r="B283" s="30"/>
      <c r="C283" s="29" t="str" cm="1">
        <f t="array" ref="C283">IF(GetCSVIndex(A2,19+2646)&lt;&gt;"65535",CONCATENATE(GetCSVIndex(A2,235+2646),":", GetCSVIndex(A2,245+2646)),"OFF")</f>
        <v>:</v>
      </c>
      <c r="D283" s="25"/>
      <c r="E283" s="45">
        <v>10</v>
      </c>
      <c r="F283" s="29" t="e" cm="1">
        <f t="array" ref="F283">CHOOSE(GetCSVIndex(A2,63+2646)+1,"","Station","Block","","Delay")</f>
        <v>#VALUE!</v>
      </c>
      <c r="G283" s="29" t="str" cm="1">
        <f t="array" ref="G283">GetCSVIndex(A2,64+2646)</f>
        <v/>
      </c>
      <c r="H283" s="45" t="str" cm="1">
        <f t="array" ref="H283">GetCSVIndex(A2,260+2646)</f>
        <v/>
      </c>
      <c r="I283" s="29" t="str" cm="1">
        <f t="array" ref="I283">GetCSVIndex(A2,323+2646)</f>
        <v/>
      </c>
      <c r="J283" s="25"/>
      <c r="K283" s="45">
        <v>42</v>
      </c>
      <c r="L283" s="29" t="e" cm="1">
        <f t="array" ref="L283">CHOOSE(GetCSVIndex(A2,159+2646)+1,"","Station","Block","","Delay")</f>
        <v>#VALUE!</v>
      </c>
      <c r="M283" s="29" t="str" cm="1">
        <f t="array" ref="M283">GetCSVIndex(A2,160+2646)</f>
        <v/>
      </c>
      <c r="N283" s="27" t="str" cm="1">
        <f t="array" ref="N283">GetCSVIndex(A2,292+2646)</f>
        <v/>
      </c>
      <c r="O283" s="43" t="str" cm="1">
        <f t="array" ref="O283">GetCSVIndex(A2,355+2646)</f>
        <v/>
      </c>
    </row>
    <row r="284" spans="1:15" ht="21" customHeight="1" x14ac:dyDescent="0.25">
      <c r="A284" s="38" t="s">
        <v>34</v>
      </c>
      <c r="B284" s="30"/>
      <c r="C284" s="29" t="str" cm="1">
        <f t="array" ref="C284">IF(GetCSVIndex(A2,20+2646)&lt;&gt;"65535",CONCATENATE(GetCSVIndex(A2,236+2646),":", GetCSVIndex(A2,246+2646)),"OFF")</f>
        <v>:</v>
      </c>
      <c r="D284" s="25"/>
      <c r="E284" s="45">
        <v>11</v>
      </c>
      <c r="F284" s="29" t="e" cm="1">
        <f t="array" ref="F284">CHOOSE(GetCSVIndex(A2,66+2646)+1,"","Station","Block","","Delay")</f>
        <v>#VALUE!</v>
      </c>
      <c r="G284" s="29" t="str" cm="1">
        <f t="array" ref="G284">GetCSVIndex(A2,67+2646)</f>
        <v/>
      </c>
      <c r="H284" s="45" t="str" cm="1">
        <f t="array" ref="H284">GetCSVIndex(A2,261+2646)</f>
        <v/>
      </c>
      <c r="I284" s="29" t="str" cm="1">
        <f t="array" ref="I284">GetCSVIndex(A2,324+2646)</f>
        <v/>
      </c>
      <c r="J284" s="25"/>
      <c r="K284" s="45">
        <v>43</v>
      </c>
      <c r="L284" s="29" t="e" cm="1">
        <f t="array" ref="L284">CHOOSE(GetCSVIndex(A2,162+2646)+1,"","Station","Block","","Delay")</f>
        <v>#VALUE!</v>
      </c>
      <c r="M284" s="29" t="str" cm="1">
        <f t="array" ref="M284">GetCSVIndex(A2,163+2646)</f>
        <v/>
      </c>
      <c r="N284" s="27" t="str" cm="1">
        <f t="array" ref="N284">GetCSVIndex(A2,293+2646)</f>
        <v/>
      </c>
      <c r="O284" s="43" t="str" cm="1">
        <f t="array" ref="O284">GetCSVIndex(A2,356+2646)</f>
        <v/>
      </c>
    </row>
    <row r="285" spans="1:15" ht="21" customHeight="1" x14ac:dyDescent="0.25">
      <c r="A285" s="38" t="s">
        <v>35</v>
      </c>
      <c r="B285" s="30"/>
      <c r="C285" s="29" t="str" cm="1">
        <f t="array" ref="C285">IF(GetCSVIndex(A2,21+2646)&lt;&gt;"65535",CONCATENATE(GetCSVIndex(A2,237+2646),":", GetCSVIndex(A2,247+2646)),"OFF")</f>
        <v>:</v>
      </c>
      <c r="D285" s="25"/>
      <c r="E285" s="45">
        <v>12</v>
      </c>
      <c r="F285" s="29" t="e" cm="1">
        <f t="array" ref="F285">CHOOSE(GetCSVIndex(A2,69+2646)+1,"","Station","Block","","Delay")</f>
        <v>#VALUE!</v>
      </c>
      <c r="G285" s="29" t="str" cm="1">
        <f t="array" ref="G285">GetCSVIndex(A2,70+2646)</f>
        <v/>
      </c>
      <c r="H285" s="45" t="str" cm="1">
        <f t="array" ref="H285">GetCSVIndex(A2,262+2646)</f>
        <v/>
      </c>
      <c r="I285" s="29" t="str" cm="1">
        <f t="array" ref="I285">GetCSVIndex(A2,325+2646)</f>
        <v/>
      </c>
      <c r="J285" s="25"/>
      <c r="K285" s="45">
        <v>44</v>
      </c>
      <c r="L285" s="29" t="e" cm="1">
        <f t="array" ref="L285">CHOOSE(GetCSVIndex(A2,165+2646)+1,"","Station","Block","","Delay")</f>
        <v>#VALUE!</v>
      </c>
      <c r="M285" s="29" t="str" cm="1">
        <f t="array" ref="M285">GetCSVIndex(A2,166+2646)</f>
        <v/>
      </c>
      <c r="N285" s="27" t="str" cm="1">
        <f t="array" ref="N285">GetCSVIndex(A2,294+2646)</f>
        <v/>
      </c>
      <c r="O285" s="43" t="str" cm="1">
        <f t="array" ref="O285">GetCSVIndex(A2,357+2646)</f>
        <v/>
      </c>
    </row>
    <row r="286" spans="1:15" ht="21" customHeight="1" x14ac:dyDescent="0.25">
      <c r="A286" s="38" t="s">
        <v>36</v>
      </c>
      <c r="B286" s="30"/>
      <c r="C286" s="29" t="str" cm="1">
        <f t="array" ref="C286">IF(GetCSVIndex(A2,22+2646)&lt;&gt;"65535",CONCATENATE(GetCSVIndex(A2,238+2646),":", GetCSVIndex(A2,248+2646)),"OFF")</f>
        <v>:</v>
      </c>
      <c r="D286" s="25"/>
      <c r="E286" s="45">
        <v>13</v>
      </c>
      <c r="F286" s="29" t="e" cm="1">
        <f t="array" ref="F286">CHOOSE(GetCSVIndex(A2,72+2646)+1,"","Station","Block","","Delay")</f>
        <v>#VALUE!</v>
      </c>
      <c r="G286" s="29" t="str" cm="1">
        <f t="array" ref="G286">GetCSVIndex(A2,73+2646)</f>
        <v/>
      </c>
      <c r="H286" s="45" t="str" cm="1">
        <f t="array" ref="H286">GetCSVIndex(A2,263+2646)</f>
        <v/>
      </c>
      <c r="I286" s="29" t="str" cm="1">
        <f t="array" ref="I286">GetCSVIndex(A2,326+2646)</f>
        <v/>
      </c>
      <c r="J286" s="25"/>
      <c r="K286" s="45">
        <v>45</v>
      </c>
      <c r="L286" s="29" t="e" cm="1">
        <f t="array" ref="L286">CHOOSE(GetCSVIndex(A2,168+2646)+1,"","Station","Block","","Delay")</f>
        <v>#VALUE!</v>
      </c>
      <c r="M286" s="29" t="str" cm="1">
        <f t="array" ref="M286">GetCSVIndex(A2,169+2646)</f>
        <v/>
      </c>
      <c r="N286" s="27" t="str" cm="1">
        <f t="array" ref="N286">GetCSVIndex(A2,295+2646)</f>
        <v/>
      </c>
      <c r="O286" s="43" t="str" cm="1">
        <f t="array" ref="O286">GetCSVIndex(A2,358+2646)</f>
        <v/>
      </c>
    </row>
    <row r="287" spans="1:15" ht="21" customHeight="1" x14ac:dyDescent="0.25">
      <c r="A287" s="36" t="s">
        <v>37</v>
      </c>
      <c r="B287" s="25"/>
      <c r="C287" s="29" t="str" cm="1">
        <f t="array" ref="C287">IF(GetCSVIndex(A2,23+2646)&lt;&gt;"65535",CONCATENATE(GetCSVIndex(A2,230+2646),":", GetCSVIndex(A2,240+2646)),"OFF")</f>
        <v>:</v>
      </c>
      <c r="D287" s="25"/>
      <c r="E287" s="45">
        <v>14</v>
      </c>
      <c r="F287" s="29" t="e" cm="1">
        <f t="array" ref="F287">CHOOSE(GetCSVIndex(A2,75+2646)+1,"","Station","Block","","Delay")</f>
        <v>#VALUE!</v>
      </c>
      <c r="G287" s="29" t="str" cm="1">
        <f t="array" ref="G287">GetCSVIndex(A2,76+2646)</f>
        <v/>
      </c>
      <c r="H287" s="45" t="str" cm="1">
        <f t="array" ref="H287">GetCSVIndex(A2,264+2646)</f>
        <v/>
      </c>
      <c r="I287" s="29" t="str" cm="1">
        <f t="array" ref="I287">GetCSVIndex(A2,327+2646)</f>
        <v/>
      </c>
      <c r="J287" s="25"/>
      <c r="K287" s="45">
        <v>46</v>
      </c>
      <c r="L287" s="29" t="e" cm="1">
        <f t="array" ref="L287">CHOOSE(GetCSVIndex(A2,171+2646)+1,"","Station","Block","","Delay")</f>
        <v>#VALUE!</v>
      </c>
      <c r="M287" s="29" t="str" cm="1">
        <f t="array" ref="M287">GetCSVIndex(A2,172+2646)</f>
        <v/>
      </c>
      <c r="N287" s="27" t="str" cm="1">
        <f t="array" ref="N287">GetCSVIndex(A2,296+2646)</f>
        <v/>
      </c>
      <c r="O287" s="43" t="str" cm="1">
        <f t="array" ref="O287">GetCSVIndex(A2,359+2646)</f>
        <v/>
      </c>
    </row>
    <row r="288" spans="1:15" ht="21" customHeight="1" x14ac:dyDescent="0.25">
      <c r="A288" s="39"/>
      <c r="B288" s="40"/>
      <c r="C288" s="41"/>
      <c r="D288" s="26"/>
      <c r="E288" s="45">
        <v>15</v>
      </c>
      <c r="F288" s="29" t="e" cm="1">
        <f t="array" ref="F288">CHOOSE(GetCSVIndex(A2,78+2646)+1,"","Station","Block","","Delay")</f>
        <v>#VALUE!</v>
      </c>
      <c r="G288" s="29" t="str" cm="1">
        <f t="array" ref="G288">GetCSVIndex(A2,79+2646)</f>
        <v/>
      </c>
      <c r="H288" s="45" t="str" cm="1">
        <f t="array" ref="H288">GetCSVIndex(A2,265+2646)</f>
        <v/>
      </c>
      <c r="I288" s="29" t="str" cm="1">
        <f t="array" ref="I288">GetCSVIndex(A2,328+2646)</f>
        <v/>
      </c>
      <c r="J288" s="26"/>
      <c r="K288" s="45">
        <v>47</v>
      </c>
      <c r="L288" s="29" t="e" cm="1">
        <f t="array" ref="L288">CHOOSE(GetCSVIndex(A2,174+2646)+1,"","Station","Block","","Delay")</f>
        <v>#VALUE!</v>
      </c>
      <c r="M288" s="29" t="str" cm="1">
        <f t="array" ref="M288">GetCSVIndex(A2,175+2646)</f>
        <v/>
      </c>
      <c r="N288" s="27" t="str" cm="1">
        <f t="array" ref="N288">GetCSVIndex(A2,297+2646)</f>
        <v/>
      </c>
      <c r="O288" s="43" t="str" cm="1">
        <f t="array" ref="O288">GetCSVIndex(A2,360+2646)</f>
        <v/>
      </c>
    </row>
    <row r="289" spans="1:15" ht="21" customHeight="1" x14ac:dyDescent="0.25">
      <c r="A289" s="42"/>
      <c r="B289" s="25"/>
      <c r="C289" s="25"/>
      <c r="D289" s="26"/>
      <c r="E289" s="45">
        <v>16</v>
      </c>
      <c r="F289" s="29" t="e" cm="1">
        <f t="array" ref="F289">CHOOSE(GetCSVIndex(A2,81+2646)+1,"","Station","Block","","Delay")</f>
        <v>#VALUE!</v>
      </c>
      <c r="G289" s="29" t="str" cm="1">
        <f t="array" ref="G289">GetCSVIndex(A2,82+2646)</f>
        <v/>
      </c>
      <c r="H289" s="45" t="str" cm="1">
        <f t="array" ref="H289">GetCSVIndex(A2,266+2646)</f>
        <v/>
      </c>
      <c r="I289" s="29" t="str" cm="1">
        <f t="array" ref="I289">GetCSVIndex(A2,329+2646)</f>
        <v/>
      </c>
      <c r="J289" s="25"/>
      <c r="K289" s="45">
        <v>48</v>
      </c>
      <c r="L289" s="29" t="e" cm="1">
        <f t="array" ref="L289">CHOOSE(GetCSVIndex(A2,177+2646)+1,"","Station","Block","","Delay")</f>
        <v>#VALUE!</v>
      </c>
      <c r="M289" s="29" t="str" cm="1">
        <f t="array" ref="M289">GetCSVIndex(A2,178+2646)</f>
        <v/>
      </c>
      <c r="N289" s="27" t="str" cm="1">
        <f t="array" ref="N289">GetCSVIndex(A2,298+2646)</f>
        <v/>
      </c>
      <c r="O289" s="43" t="str" cm="1">
        <f t="array" ref="O289">GetCSVIndex(A2,361+2646)</f>
        <v/>
      </c>
    </row>
    <row r="290" spans="1:15" ht="21" customHeight="1" x14ac:dyDescent="0.25">
      <c r="A290" s="42"/>
      <c r="B290" s="25"/>
      <c r="C290" s="25"/>
      <c r="D290" s="26"/>
      <c r="E290" s="45">
        <v>17</v>
      </c>
      <c r="F290" s="29" t="e" cm="1">
        <f t="array" ref="F290">CHOOSE(GetCSVIndex(A2,84+2646)+1,"","Station","Block","","Delay")</f>
        <v>#VALUE!</v>
      </c>
      <c r="G290" s="29" t="str" cm="1">
        <f t="array" ref="G290">GetCSVIndex(A2,85+2646)</f>
        <v/>
      </c>
      <c r="H290" s="45" t="str" cm="1">
        <f t="array" ref="H290">GetCSVIndex(A2,267+2646)</f>
        <v/>
      </c>
      <c r="I290" s="29" t="str" cm="1">
        <f t="array" ref="I290">GetCSVIndex(A2,330+2646)</f>
        <v/>
      </c>
      <c r="J290" s="26"/>
      <c r="K290" s="45">
        <v>49</v>
      </c>
      <c r="L290" s="29" t="e" cm="1">
        <f t="array" ref="L290">CHOOSE(GetCSVIndex(A2,180+2646)+1,"","Station","Block","","Delay")</f>
        <v>#VALUE!</v>
      </c>
      <c r="M290" s="29" t="str" cm="1">
        <f t="array" ref="M290">GetCSVIndex(A2,181+2646)</f>
        <v/>
      </c>
      <c r="N290" s="27" t="str" cm="1">
        <f t="array" ref="N290">GetCSVIndex(A2,299+2646)</f>
        <v/>
      </c>
      <c r="O290" s="43" t="str" cm="1">
        <f t="array" ref="O290">GetCSVIndex(A2,362+2646)</f>
        <v/>
      </c>
    </row>
    <row r="291" spans="1:15" ht="21" customHeight="1" x14ac:dyDescent="0.25">
      <c r="A291" s="42"/>
      <c r="B291" s="25"/>
      <c r="C291" s="25"/>
      <c r="D291" s="26"/>
      <c r="E291" s="45">
        <v>18</v>
      </c>
      <c r="F291" s="29" t="e" cm="1">
        <f t="array" ref="F291">CHOOSE(GetCSVIndex(A2,87+2646)+1,"","Station","Block","","Delay")</f>
        <v>#VALUE!</v>
      </c>
      <c r="G291" s="29" t="str" cm="1">
        <f t="array" ref="G291">GetCSVIndex(A2,88+2646)</f>
        <v/>
      </c>
      <c r="H291" s="45" t="str" cm="1">
        <f t="array" ref="H291">GetCSVIndex(A2,268+2646)</f>
        <v/>
      </c>
      <c r="I291" s="29" t="str" cm="1">
        <f t="array" ref="I291">GetCSVIndex(A2,331+2646)</f>
        <v/>
      </c>
      <c r="J291" s="26"/>
      <c r="K291" s="45">
        <v>50</v>
      </c>
      <c r="L291" s="29" t="e" cm="1">
        <f t="array" ref="L291">CHOOSE(GetCSVIndex(A2,183+2646)+1,"","Station","Block","","Delay")</f>
        <v>#VALUE!</v>
      </c>
      <c r="M291" s="29" t="str" cm="1">
        <f t="array" ref="M291">GetCSVIndex(A2,184+2646)</f>
        <v/>
      </c>
      <c r="N291" s="27" t="str" cm="1">
        <f t="array" ref="N291">GetCSVIndex(A2,300+2646)</f>
        <v/>
      </c>
      <c r="O291" s="43" t="str" cm="1">
        <f t="array" ref="O291">GetCSVIndex(A2,363+2646)</f>
        <v/>
      </c>
    </row>
    <row r="292" spans="1:15" ht="21" customHeight="1" x14ac:dyDescent="0.25">
      <c r="A292" s="42"/>
      <c r="B292" s="25"/>
      <c r="C292" s="25"/>
      <c r="D292" s="26"/>
      <c r="E292" s="45">
        <v>19</v>
      </c>
      <c r="F292" s="29" t="e" cm="1">
        <f t="array" ref="F292">CHOOSE(GetCSVIndex(A2,90+2646)+1,"","Station","Block","","Delay")</f>
        <v>#VALUE!</v>
      </c>
      <c r="G292" s="29" t="str" cm="1">
        <f t="array" ref="G292">GetCSVIndex(A2,91+2646)</f>
        <v/>
      </c>
      <c r="H292" s="45" t="str" cm="1">
        <f t="array" ref="H292">GetCSVIndex(A2,269+2646)</f>
        <v/>
      </c>
      <c r="I292" s="29" t="str" cm="1">
        <f t="array" ref="I292">GetCSVIndex(A2,332+2646)</f>
        <v/>
      </c>
      <c r="J292" s="26"/>
      <c r="K292" s="45">
        <v>51</v>
      </c>
      <c r="L292" s="29" t="e" cm="1">
        <f t="array" ref="L292">CHOOSE(GetCSVIndex(A2,186+2646)+1,"","Station","Block","","Delay")</f>
        <v>#VALUE!</v>
      </c>
      <c r="M292" s="29" t="str" cm="1">
        <f t="array" ref="M292">GetCSVIndex(A2,187+2646)</f>
        <v/>
      </c>
      <c r="N292" s="27" t="str" cm="1">
        <f t="array" ref="N292">GetCSVIndex(A2,301+2646)</f>
        <v/>
      </c>
      <c r="O292" s="43" t="str" cm="1">
        <f t="array" ref="O292">GetCSVIndex(A2,364+2646)</f>
        <v/>
      </c>
    </row>
    <row r="293" spans="1:15" ht="21" customHeight="1" x14ac:dyDescent="0.25">
      <c r="A293" s="42"/>
      <c r="B293" s="25"/>
      <c r="C293" s="25"/>
      <c r="D293" s="26"/>
      <c r="E293" s="45">
        <v>20</v>
      </c>
      <c r="F293" s="29" t="e" cm="1">
        <f t="array" ref="F293">CHOOSE(GetCSVIndex(A2,93+2646)+1,"","Station","Block","","Delay")</f>
        <v>#VALUE!</v>
      </c>
      <c r="G293" s="29" t="str" cm="1">
        <f t="array" ref="G293">GetCSVIndex(A2,94+2646)</f>
        <v/>
      </c>
      <c r="H293" s="45" t="str" cm="1">
        <f t="array" ref="H293">GetCSVIndex(A2,270+2646)</f>
        <v/>
      </c>
      <c r="I293" s="29" t="str" cm="1">
        <f t="array" ref="I293">GetCSVIndex(A2,333+2646)</f>
        <v/>
      </c>
      <c r="J293" s="26"/>
      <c r="K293" s="45">
        <v>52</v>
      </c>
      <c r="L293" s="29" t="e" cm="1">
        <f t="array" ref="L293">CHOOSE(GetCSVIndex(A2,189+2646)+1,"","Station","Block","","Delay")</f>
        <v>#VALUE!</v>
      </c>
      <c r="M293" s="29" t="str" cm="1">
        <f t="array" ref="M293">GetCSVIndex(A2,190+2646)</f>
        <v/>
      </c>
      <c r="N293" s="27" t="str" cm="1">
        <f t="array" ref="N293">GetCSVIndex(A2,302+2646)</f>
        <v/>
      </c>
      <c r="O293" s="43" t="str" cm="1">
        <f t="array" ref="O293">GetCSVIndex(A2,365+2646)</f>
        <v/>
      </c>
    </row>
    <row r="294" spans="1:15" ht="21" customHeight="1" x14ac:dyDescent="0.25">
      <c r="A294" s="42"/>
      <c r="B294" s="25"/>
      <c r="C294" s="25"/>
      <c r="D294" s="26"/>
      <c r="E294" s="45">
        <v>21</v>
      </c>
      <c r="F294" s="29" t="e" cm="1">
        <f t="array" ref="F294">CHOOSE(GetCSVIndex(A2,96+2646)+1,"","Station","Block","","Delay")</f>
        <v>#VALUE!</v>
      </c>
      <c r="G294" s="29" t="str" cm="1">
        <f t="array" ref="G294">GetCSVIndex(A2,97+2646)</f>
        <v/>
      </c>
      <c r="H294" s="45" t="str" cm="1">
        <f t="array" ref="H294">GetCSVIndex(A2,271+2646)</f>
        <v/>
      </c>
      <c r="I294" s="29" t="str" cm="1">
        <f t="array" ref="I294">GetCSVIndex(A2,334+2646)</f>
        <v/>
      </c>
      <c r="J294" s="26"/>
      <c r="K294" s="45">
        <v>53</v>
      </c>
      <c r="L294" s="29" t="e" cm="1">
        <f t="array" ref="L294">CHOOSE(GetCSVIndex(A2,192+2646)+1,"","Station","Block","","Delay")</f>
        <v>#VALUE!</v>
      </c>
      <c r="M294" s="29" t="str" cm="1">
        <f t="array" ref="M294">GetCSVIndex(A2,193+2646)</f>
        <v/>
      </c>
      <c r="N294" s="27" t="str" cm="1">
        <f t="array" ref="N294">GetCSVIndex(A2,303+2646)</f>
        <v/>
      </c>
      <c r="O294" s="43" t="str" cm="1">
        <f t="array" ref="O294">GetCSVIndex(A2,366+2646)</f>
        <v/>
      </c>
    </row>
    <row r="295" spans="1:15" ht="21" customHeight="1" x14ac:dyDescent="0.25">
      <c r="A295" s="42"/>
      <c r="B295" s="25"/>
      <c r="C295" s="25"/>
      <c r="D295" s="26"/>
      <c r="E295" s="45">
        <v>22</v>
      </c>
      <c r="F295" s="29" t="e" cm="1">
        <f t="array" ref="F295">CHOOSE(GetCSVIndex(A2,99+2646)+1,"","Station","Block","","Delay")</f>
        <v>#VALUE!</v>
      </c>
      <c r="G295" s="29" t="str" cm="1">
        <f t="array" ref="G295">GetCSVIndex(A2,100+2646)</f>
        <v/>
      </c>
      <c r="H295" s="45" t="str" cm="1">
        <f t="array" ref="H295">GetCSVIndex(A2,272+2646)</f>
        <v/>
      </c>
      <c r="I295" s="29" t="str" cm="1">
        <f t="array" ref="I295">GetCSVIndex(A2,335+2646)</f>
        <v/>
      </c>
      <c r="J295" s="26"/>
      <c r="K295" s="45">
        <v>54</v>
      </c>
      <c r="L295" s="29" t="e" cm="1">
        <f t="array" ref="L295">CHOOSE(GetCSVIndex(A2,195+2646)+1,"","Station","Block","","Delay")</f>
        <v>#VALUE!</v>
      </c>
      <c r="M295" s="29" t="str" cm="1">
        <f t="array" ref="M295">GetCSVIndex(A2,196+2646)</f>
        <v/>
      </c>
      <c r="N295" s="27" t="str" cm="1">
        <f t="array" ref="N295">GetCSVIndex(A2,304+2646)</f>
        <v/>
      </c>
      <c r="O295" s="43" t="str" cm="1">
        <f t="array" ref="O295">GetCSVIndex(A2,367+2646)</f>
        <v/>
      </c>
    </row>
    <row r="296" spans="1:15" ht="21" customHeight="1" x14ac:dyDescent="0.25">
      <c r="A296" s="42"/>
      <c r="B296" s="25"/>
      <c r="C296" s="25"/>
      <c r="D296" s="26"/>
      <c r="E296" s="45">
        <v>23</v>
      </c>
      <c r="F296" s="29" t="e" cm="1">
        <f t="array" ref="F296">CHOOSE(GetCSVIndex(A2,102+2646)+1,"","Station","Block","","Delay")</f>
        <v>#VALUE!</v>
      </c>
      <c r="G296" s="29" t="str" cm="1">
        <f t="array" ref="G296">GetCSVIndex(A2,103+2646)</f>
        <v/>
      </c>
      <c r="H296" s="45" t="str" cm="1">
        <f t="array" ref="H296">GetCSVIndex(A2,273+2646)</f>
        <v/>
      </c>
      <c r="I296" s="29" t="str" cm="1">
        <f t="array" ref="I296">GetCSVIndex(A2,336+2646)</f>
        <v/>
      </c>
      <c r="J296" s="26"/>
      <c r="K296" s="45">
        <v>55</v>
      </c>
      <c r="L296" s="29" t="e" cm="1">
        <f t="array" ref="L296">CHOOSE(GetCSVIndex(A2,198+2646)+1,"","Station","Block","","Delay")</f>
        <v>#VALUE!</v>
      </c>
      <c r="M296" s="29" t="str" cm="1">
        <f t="array" ref="M296">GetCSVIndex(A2,199+2646)</f>
        <v/>
      </c>
      <c r="N296" s="27" t="str" cm="1">
        <f t="array" ref="N296">GetCSVIndex(A2,305+2646)</f>
        <v/>
      </c>
      <c r="O296" s="43" t="str" cm="1">
        <f t="array" ref="O296">GetCSVIndex(A2,368+2646)</f>
        <v/>
      </c>
    </row>
    <row r="297" spans="1:15" ht="21" customHeight="1" x14ac:dyDescent="0.25">
      <c r="A297" s="42"/>
      <c r="B297" s="25"/>
      <c r="C297" s="25"/>
      <c r="D297" s="26"/>
      <c r="E297" s="45">
        <v>24</v>
      </c>
      <c r="F297" s="29" t="e" cm="1">
        <f t="array" ref="F297">CHOOSE(GetCSVIndex(A2,105+2646)+1,"","Station","Block","","Delay")</f>
        <v>#VALUE!</v>
      </c>
      <c r="G297" s="29" t="str" cm="1">
        <f t="array" ref="G297">GetCSVIndex(A2,106+2646)</f>
        <v/>
      </c>
      <c r="H297" s="45" t="str" cm="1">
        <f t="array" ref="H297">GetCSVIndex(A2,274+2646)</f>
        <v/>
      </c>
      <c r="I297" s="29" t="str" cm="1">
        <f t="array" ref="I297">GetCSVIndex(A2,337+2646)</f>
        <v/>
      </c>
      <c r="J297" s="26"/>
      <c r="K297" s="45">
        <v>56</v>
      </c>
      <c r="L297" s="29" t="e" cm="1">
        <f t="array" ref="L297">CHOOSE(GetCSVIndex(A2,201+2646)+1,"","Station","Block","","Delay")</f>
        <v>#VALUE!</v>
      </c>
      <c r="M297" s="29" t="str" cm="1">
        <f t="array" ref="M297">GetCSVIndex(A2,202+2646)</f>
        <v/>
      </c>
      <c r="N297" s="27" t="str" cm="1">
        <f t="array" ref="N297">GetCSVIndex(A2,306+2646)</f>
        <v/>
      </c>
      <c r="O297" s="43" t="str" cm="1">
        <f t="array" ref="O297">GetCSVIndex(A2,369+2646)</f>
        <v/>
      </c>
    </row>
    <row r="298" spans="1:15" ht="21" customHeight="1" x14ac:dyDescent="0.25">
      <c r="A298" s="42"/>
      <c r="B298" s="25"/>
      <c r="C298" s="25"/>
      <c r="D298" s="26"/>
      <c r="E298" s="45">
        <v>25</v>
      </c>
      <c r="F298" s="29" t="e" cm="1">
        <f t="array" ref="F298">CHOOSE(GetCSVIndex(A2,108+2646)+1,"","Station","Block","","Delay")</f>
        <v>#VALUE!</v>
      </c>
      <c r="G298" s="29" t="str" cm="1">
        <f t="array" ref="G298">GetCSVIndex(A2,109+2646)</f>
        <v/>
      </c>
      <c r="H298" s="45" t="str" cm="1">
        <f t="array" ref="H298">GetCSVIndex(A2,275+2646)</f>
        <v/>
      </c>
      <c r="I298" s="29" t="str" cm="1">
        <f t="array" ref="I298">GetCSVIndex(A2,338+2646)</f>
        <v/>
      </c>
      <c r="J298" s="26"/>
      <c r="K298" s="45">
        <v>57</v>
      </c>
      <c r="L298" s="29" t="e" cm="1">
        <f t="array" ref="L298">CHOOSE(GetCSVIndex(A2,204+2646)+1,"","Station","Block","","Delay")</f>
        <v>#VALUE!</v>
      </c>
      <c r="M298" s="29" t="str" cm="1">
        <f t="array" ref="M298">GetCSVIndex(A2,205+2646)</f>
        <v/>
      </c>
      <c r="N298" s="27" t="str" cm="1">
        <f t="array" ref="N298">GetCSVIndex(A2,307+2646)</f>
        <v/>
      </c>
      <c r="O298" s="43" t="str" cm="1">
        <f t="array" ref="O298">GetCSVIndex(A2,370+2646)</f>
        <v/>
      </c>
    </row>
    <row r="299" spans="1:15" ht="21" customHeight="1" x14ac:dyDescent="0.25">
      <c r="A299" s="42"/>
      <c r="B299" s="25"/>
      <c r="C299" s="25"/>
      <c r="D299" s="26"/>
      <c r="E299" s="45">
        <v>26</v>
      </c>
      <c r="F299" s="29" t="e" cm="1">
        <f t="array" ref="F299">CHOOSE(GetCSVIndex(A2,111+2646)+1,"","Station","Block","","Delay")</f>
        <v>#VALUE!</v>
      </c>
      <c r="G299" s="29" t="str" cm="1">
        <f t="array" ref="G299">GetCSVIndex(A2,112+2646)</f>
        <v/>
      </c>
      <c r="H299" s="45" t="str" cm="1">
        <f t="array" ref="H299">GetCSVIndex(A2,276+2646)</f>
        <v/>
      </c>
      <c r="I299" s="29" t="str" cm="1">
        <f t="array" ref="I299">GetCSVIndex(A2,339+2646)</f>
        <v/>
      </c>
      <c r="J299" s="26"/>
      <c r="K299" s="45">
        <v>58</v>
      </c>
      <c r="L299" s="29" t="e" cm="1">
        <f t="array" ref="L299">CHOOSE(GetCSVIndex(A2,207+2646)+1,"","Station","Block","","Delay")</f>
        <v>#VALUE!</v>
      </c>
      <c r="M299" s="29" t="str" cm="1">
        <f t="array" ref="M299">GetCSVIndex(A2,208+2646)</f>
        <v/>
      </c>
      <c r="N299" s="27" t="str" cm="1">
        <f t="array" ref="N299">GetCSVIndex(A2,308+2646)</f>
        <v/>
      </c>
      <c r="O299" s="43" t="str" cm="1">
        <f t="array" ref="O299">GetCSVIndex(A2,371+2646)</f>
        <v/>
      </c>
    </row>
    <row r="300" spans="1:15" ht="21" customHeight="1" x14ac:dyDescent="0.25">
      <c r="A300" s="42"/>
      <c r="B300" s="25"/>
      <c r="C300" s="25"/>
      <c r="D300" s="26"/>
      <c r="E300" s="45">
        <v>27</v>
      </c>
      <c r="F300" s="29" t="e" cm="1">
        <f t="array" ref="F300">CHOOSE(GetCSVIndex(A2,114+2646)+1,"","Station","Block","","Delay")</f>
        <v>#VALUE!</v>
      </c>
      <c r="G300" s="29" t="str" cm="1">
        <f t="array" ref="G300">GetCSVIndex(A2,115+2646)</f>
        <v/>
      </c>
      <c r="H300" s="45" t="str" cm="1">
        <f t="array" ref="H300">GetCSVIndex(A2,277+2646)</f>
        <v/>
      </c>
      <c r="I300" s="29" t="str" cm="1">
        <f t="array" ref="I300">GetCSVIndex(A2,340+2646)</f>
        <v/>
      </c>
      <c r="J300" s="26"/>
      <c r="K300" s="45">
        <v>59</v>
      </c>
      <c r="L300" s="29" t="e" cm="1">
        <f t="array" ref="L300">CHOOSE(GetCSVIndex(A2,210+2646)+1,"","Station","Block","","Delay")</f>
        <v>#VALUE!</v>
      </c>
      <c r="M300" s="29" t="str" cm="1">
        <f t="array" ref="M300">GetCSVIndex(A2,211+2646)</f>
        <v/>
      </c>
      <c r="N300" s="27" t="str" cm="1">
        <f t="array" ref="N300">GetCSVIndex(A2,309+2646)</f>
        <v/>
      </c>
      <c r="O300" s="43" t="str" cm="1">
        <f t="array" ref="O300">GetCSVIndex(A2,372+2646)</f>
        <v/>
      </c>
    </row>
    <row r="301" spans="1:15" ht="21" customHeight="1" x14ac:dyDescent="0.25">
      <c r="A301" s="42"/>
      <c r="B301" s="25"/>
      <c r="C301" s="25"/>
      <c r="D301" s="26"/>
      <c r="E301" s="45">
        <v>28</v>
      </c>
      <c r="F301" s="29" t="e" cm="1">
        <f t="array" ref="F301">CHOOSE(GetCSVIndex(A2,117+2646)+1,"","Station","Block","","Delay")</f>
        <v>#VALUE!</v>
      </c>
      <c r="G301" s="29" t="str" cm="1">
        <f t="array" ref="G301">GetCSVIndex(A2,118+2646)</f>
        <v/>
      </c>
      <c r="H301" s="45" t="str" cm="1">
        <f t="array" ref="H301">GetCSVIndex(A2,278+2646)</f>
        <v/>
      </c>
      <c r="I301" s="29" t="str" cm="1">
        <f t="array" ref="I301">GetCSVIndex(A2,341+2646)</f>
        <v/>
      </c>
      <c r="J301" s="26"/>
      <c r="K301" s="45">
        <v>60</v>
      </c>
      <c r="L301" s="29" t="e" cm="1">
        <f t="array" ref="L301">CHOOSE(GetCSVIndex(A2,213+2646)+1,"","Station","Block","","Delay")</f>
        <v>#VALUE!</v>
      </c>
      <c r="M301" s="29" t="str" cm="1">
        <f t="array" ref="M301">GetCSVIndex(A2,214+2646)</f>
        <v/>
      </c>
      <c r="N301" s="27" t="str" cm="1">
        <f t="array" ref="N301">GetCSVIndex(A2,310+2646)</f>
        <v/>
      </c>
      <c r="O301" s="43" t="str" cm="1">
        <f t="array" ref="O301">GetCSVIndex(A2,373+2646)</f>
        <v/>
      </c>
    </row>
    <row r="302" spans="1:15" ht="21" customHeight="1" x14ac:dyDescent="0.25">
      <c r="A302" s="42"/>
      <c r="B302" s="25"/>
      <c r="C302" s="25"/>
      <c r="D302" s="26"/>
      <c r="E302" s="45">
        <v>29</v>
      </c>
      <c r="F302" s="29" t="e" cm="1">
        <f t="array" ref="F302">CHOOSE(GetCSVIndex(A2,120+2646)+1,"","Station","Block","","Delay")</f>
        <v>#VALUE!</v>
      </c>
      <c r="G302" s="29" t="str" cm="1">
        <f t="array" ref="G302">GetCSVIndex(A2,121+2646)</f>
        <v/>
      </c>
      <c r="H302" s="45" t="str" cm="1">
        <f t="array" ref="H302">GetCSVIndex(A2,279+2646)</f>
        <v/>
      </c>
      <c r="I302" s="29" t="str" cm="1">
        <f t="array" ref="I302">GetCSVIndex(A2,342+2646)</f>
        <v/>
      </c>
      <c r="J302" s="26"/>
      <c r="K302" s="45">
        <v>61</v>
      </c>
      <c r="L302" s="29" t="e" cm="1">
        <f t="array" ref="L302">CHOOSE(GetCSVIndex(A2,216+2646)+1,"","Station","Block","","Delay")</f>
        <v>#VALUE!</v>
      </c>
      <c r="M302" s="29" t="str" cm="1">
        <f t="array" ref="M302">GetCSVIndex(A2,217+2646)</f>
        <v/>
      </c>
      <c r="N302" s="27" t="str" cm="1">
        <f t="array" ref="N302">GetCSVIndex(A2,311+2646)</f>
        <v/>
      </c>
      <c r="O302" s="43" t="str" cm="1">
        <f t="array" ref="O302">GetCSVIndex(A2,374+2646)</f>
        <v/>
      </c>
    </row>
    <row r="303" spans="1:15" ht="21" customHeight="1" x14ac:dyDescent="0.25">
      <c r="A303" s="42"/>
      <c r="B303" s="25"/>
      <c r="C303" s="25"/>
      <c r="D303" s="26"/>
      <c r="E303" s="45">
        <v>30</v>
      </c>
      <c r="F303" s="29" t="e" cm="1">
        <f t="array" ref="F303">CHOOSE(GetCSVIndex(A2,123+2646)+1,"","Station","Block","","Delay")</f>
        <v>#VALUE!</v>
      </c>
      <c r="G303" s="29" t="str" cm="1">
        <f t="array" ref="G303">GetCSVIndex(A2,124+2646)</f>
        <v/>
      </c>
      <c r="H303" s="45" t="str" cm="1">
        <f t="array" ref="H303">GetCSVIndex(A2,280+2646)</f>
        <v/>
      </c>
      <c r="I303" s="29" t="str" cm="1">
        <f t="array" ref="I303">GetCSVIndex(A2,343+2646)</f>
        <v/>
      </c>
      <c r="J303" s="26"/>
      <c r="K303" s="45">
        <v>62</v>
      </c>
      <c r="L303" s="29" t="e" cm="1">
        <f t="array" ref="L303">CHOOSE(GetCSVIndex(A2,219+2646)+1,"","Station","Block","","Delay")</f>
        <v>#VALUE!</v>
      </c>
      <c r="M303" s="29" t="str" cm="1">
        <f t="array" ref="M303">GetCSVIndex(A2,220+2646)</f>
        <v/>
      </c>
      <c r="N303" s="27" t="str" cm="1">
        <f t="array" ref="N303">GetCSVIndex(A2,312+2646)</f>
        <v/>
      </c>
      <c r="O303" s="43" t="str" cm="1">
        <f t="array" ref="O303">GetCSVIndex(A2,375+2646)</f>
        <v/>
      </c>
    </row>
    <row r="304" spans="1:15" ht="21" customHeight="1" x14ac:dyDescent="0.25">
      <c r="A304" s="42"/>
      <c r="B304" s="25"/>
      <c r="C304" s="25"/>
      <c r="D304" s="26"/>
      <c r="E304" s="45">
        <v>31</v>
      </c>
      <c r="F304" s="29" t="e" cm="1">
        <f t="array" ref="F304">CHOOSE(GetCSVIndex(A2,126+2646)+1,"","Station","Block","","Delay")</f>
        <v>#VALUE!</v>
      </c>
      <c r="G304" s="29" t="str" cm="1">
        <f t="array" ref="G304">GetCSVIndex(A2,127+2646)</f>
        <v/>
      </c>
      <c r="H304" s="45" t="str" cm="1">
        <f t="array" ref="H304">GetCSVIndex(A2,281+2646)</f>
        <v/>
      </c>
      <c r="I304" s="29" t="str" cm="1">
        <f t="array" ref="I304">GetCSVIndex(A2,344+2646)</f>
        <v/>
      </c>
      <c r="J304" s="26"/>
      <c r="K304" s="45">
        <v>63</v>
      </c>
      <c r="L304" s="29" t="e" cm="1">
        <f t="array" ref="L304">CHOOSE(GetCSVIndex(A2,222+2646)+1,"","Station","Block","","Delay")</f>
        <v>#VALUE!</v>
      </c>
      <c r="M304" s="29" t="str" cm="1">
        <f t="array" ref="M304">GetCSVIndex(A2,223+2646)</f>
        <v/>
      </c>
      <c r="N304" s="27" t="str" cm="1">
        <f t="array" ref="N304">GetCSVIndex(A2,313+2646)</f>
        <v/>
      </c>
      <c r="O304" s="43" t="str" cm="1">
        <f t="array" ref="O304">GetCSVIndex(A2,376+2646)</f>
        <v/>
      </c>
    </row>
    <row r="305" spans="1:15" ht="21" customHeight="1" x14ac:dyDescent="0.25">
      <c r="A305" s="37"/>
      <c r="B305" s="28"/>
      <c r="C305" s="29"/>
      <c r="D305" s="29"/>
      <c r="E305" s="45">
        <v>32</v>
      </c>
      <c r="F305" s="29" t="e" cm="1">
        <f t="array" ref="F305">CHOOSE(GetCSVIndex(A2,129+2646)+1,"","Station","Block","","Delay")</f>
        <v>#VALUE!</v>
      </c>
      <c r="G305" s="29" t="str" cm="1">
        <f t="array" ref="G305">GetCSVIndex(A2,130+2646)</f>
        <v/>
      </c>
      <c r="H305" s="45" t="str" cm="1">
        <f t="array" ref="H305">GetCSVIndex(A2,282+2646)</f>
        <v/>
      </c>
      <c r="I305" s="29" t="str" cm="1">
        <f t="array" ref="I305">GetCSVIndex(A2,345+2646)</f>
        <v/>
      </c>
      <c r="J305" s="29"/>
      <c r="K305" s="45">
        <v>64</v>
      </c>
      <c r="L305" s="29" t="e" cm="1">
        <f t="array" ref="L305">CHOOSE(GetCSVIndex(A2,225+2646)+1,"","Station","Block","","Delay")</f>
        <v>#VALUE!</v>
      </c>
      <c r="M305" s="29" t="str" cm="1">
        <f t="array" ref="M305">GetCSVIndex(A2,226+2646)</f>
        <v/>
      </c>
      <c r="N305" s="27" t="str" cm="1">
        <f t="array" ref="N305">GetCSVIndex(A2,314+2646)</f>
        <v/>
      </c>
      <c r="O305" s="43" t="str" cm="1">
        <f t="array" ref="O305">GetCSVIndex(A2,377+2646)</f>
        <v/>
      </c>
    </row>
    <row r="306" spans="1:15" ht="23.25" customHeight="1" x14ac:dyDescent="0.25">
      <c r="A306" s="51" t="str" cm="1">
        <f t="array" ref="A306">CONCATENATE("Schedule  Program Number : ", GetCSVIndex(A2,5+3024))</f>
        <v xml:space="preserve">Schedule  Program Number : </v>
      </c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3"/>
    </row>
    <row r="307" spans="1:15" ht="21" customHeight="1" x14ac:dyDescent="0.25">
      <c r="A307" s="20" t="s">
        <v>44</v>
      </c>
      <c r="B307" s="22" t="str" cm="1">
        <f t="array" ref="B307">GetCSVIndex(A2,5+3024)</f>
        <v/>
      </c>
      <c r="C307" s="18"/>
      <c r="D307" s="18"/>
      <c r="E307" s="18"/>
      <c r="F307" s="18"/>
      <c r="G307" s="18" t="s">
        <v>19</v>
      </c>
      <c r="H307" s="18" t="e" cm="1">
        <f t="array" ref="H307">CHOOSE(GetCSVIndex(A2,7+3024)+1, "Days of Week", "Odd/Even", "Interval","Manual")</f>
        <v>#VALUE!</v>
      </c>
      <c r="I307" s="18"/>
      <c r="J307" s="15"/>
      <c r="K307" s="15"/>
      <c r="L307" s="15"/>
      <c r="M307" s="15"/>
      <c r="N307" s="15"/>
      <c r="O307" s="16"/>
    </row>
    <row r="308" spans="1:15" ht="18" customHeight="1" x14ac:dyDescent="0.25">
      <c r="A308" s="21" t="s">
        <v>20</v>
      </c>
      <c r="B308" s="19" t="e" cm="1">
        <f t="array" ref="B308">CHOOSE(GetCSVIndex(A2,24+3024)+1, "Program", "Global", "Monthly","Solar Sync")</f>
        <v>#VALUE!</v>
      </c>
      <c r="C308" s="19"/>
      <c r="D308" s="19"/>
      <c r="E308" s="19"/>
      <c r="F308" s="19" t="s">
        <v>21</v>
      </c>
      <c r="G308" s="19" t="e" cm="1">
        <f t="array" ref="G308">IF(CHOOSE(GetCSVIndex(A2,7+3024)+1,IF(_xlfn.BITAND(GetCSVIndex(A2,8+3024), 2^0)=0, 0, 1),IF(_xlfn.BITAND(GetCSVIndex(A2,9+3024), 2^0)=0, 0, 1),IF(_xlfn.BITAND(GetCSVIndex(A2,10+3024), 2^0)=0, 0, 1)) =1,"Mon","")</f>
        <v>#VALUE!</v>
      </c>
      <c r="H308" s="19" t="e" cm="1">
        <f t="array" ref="H308">CONCATENATE(IF(CHOOSE(GetCSVIndex(A2,7+3024)+1,IF(_xlfn.BITAND(GetCSVIndex(A2,8+3024), 2^1)=0, 0, 1),IF(_xlfn.BITAND(GetCSVIndex(A2,9+3024), 2^1)=0, 0, 1),IF(_xlfn.BITAND(GetCSVIndex(A2,10+3024), 2^1)=0, 0, 1)) =1,"Tue       ","       "),IF(CHOOSE(GetCSVIndex(A2,7+3024)+1,IF(_xlfn.BITAND(GetCSVIndex(A2,8+3024), 2^2)=0, 0, 1),IF(_xlfn.BITAND(GetCSVIndex(A2,9+3024), 2^2)=0, 0, 1),IF(_xlfn.BITAND(GetCSVIndex(A2,10+3024), 2^2)=0, 0, 1)) =1,"Wed",""),IF(CHOOSE(GetCSVIndex(A2,7+3024)+1,IF(_xlfn.BITAND(GetCSVIndex(A2,8+3024), 2^3)=0, 0, 1),IF(_xlfn.BITAND(GetCSVIndex(A2,9+3024), 2^3)=0, 0, 1),IF(_xlfn.BITAND(GetCSVIndex(A2,10+3024), 2^3)=0, 0, 1)) =1,"       Thu","       "))</f>
        <v>#VALUE!</v>
      </c>
      <c r="I308" s="32" t="e" cm="1">
        <f t="array" ref="I308">CONCATENATE(IF(CHOOSE(GetCSVIndex(A2,7+3024)+1,IF(_xlfn.BITAND(GetCSVIndex(A2,8+3024), 2^4)=0, 0, 1),IF(_xlfn.BITAND(GetCSVIndex(A2,9+3024), 2^4)=0, 0, 1),IF(_xlfn.BITAND(GetCSVIndex(A2,10+3024), 2^4)=0, 0, 1)) =1,"Fri       ","       "),IF(CHOOSE(GetCSVIndex(A2,7+3024)+1,IF(_xlfn.BITAND(GetCSVIndex(A2,8+3024), 2^5)=0, 0, 1),IF(_xlfn.BITAND(GetCSVIndex(A2,9+3024), 2^5)=0, 0, 1),IF(_xlfn.BITAND(GetCSVIndex(A2,10+3024), 2^5)=0, 0, 1)) =1,"Sat",""),IF(CHOOSE(GetCSVIndex(A2,7+3024)+1,IF(_xlfn.BITAND(GetCSVIndex(A2,8+3024), 2^6)=0, 0, 1),IF(_xlfn.BITAND(GetCSVIndex(A2,9+3024), 2^6)=0, 0, 1),IF(_xlfn.BITAND(GetCSVIndex(A2,10+3024), 2^6)=0, 0, 1)) =1,"       Sun","       "))</f>
        <v>#VALUE!</v>
      </c>
      <c r="J308" s="19"/>
      <c r="K308" s="19"/>
      <c r="L308" s="32" t="s">
        <v>22</v>
      </c>
      <c r="M308" s="19"/>
      <c r="N308" s="19" t="str" cm="1">
        <f t="array" ref="N308">IF(GetCSVIndex(A2,26+3024)="1","Enable","Disable")</f>
        <v>Disable</v>
      </c>
      <c r="O308" s="24"/>
    </row>
    <row r="309" spans="1:15" ht="18" customHeight="1" x14ac:dyDescent="0.25">
      <c r="A309" s="21" t="str" cm="1">
        <f t="array" ref="A309">CONCATENATE("Program ", GetCSVIndex(A2,5+3024))</f>
        <v xml:space="preserve">Program </v>
      </c>
      <c r="B309" s="23" t="str" cm="1">
        <f t="array" ref="B309">CONCATENATE(GetCSVIndex(A2,25+3024)," %")</f>
        <v xml:space="preserve"> %</v>
      </c>
      <c r="C309" s="19"/>
      <c r="D309" s="19"/>
      <c r="E309" s="19"/>
      <c r="F309" s="19" t="str" cm="1">
        <f t="array" ref="F309">IF(GetCSVIndex(A2,7)="2","Water Every"," ")</f>
        <v xml:space="preserve"> </v>
      </c>
      <c r="G309" s="47" t="str" cm="1">
        <f t="array" ref="G309">IF(GetCSVIndex(A2,7+3024)="2",GetCSVIndex(A2,11+3024)," ")</f>
        <v xml:space="preserve"> </v>
      </c>
      <c r="H309" s="19" t="str" cm="1">
        <f t="array" ref="H309">IF(GetCSVIndex(A2,7+3024)="2","Days"," ")</f>
        <v xml:space="preserve"> </v>
      </c>
      <c r="I309" s="32" t="str" cm="1">
        <f t="array" ref="I309">IF(GetCSVIndex(A2,7+3024)="2","Water After"," ")</f>
        <v xml:space="preserve"> </v>
      </c>
      <c r="J309" s="19"/>
      <c r="K309" s="19" t="str" cm="1">
        <f t="array" ref="K309">IF(GetCSVIndex(A2,7+3024)="2",GetCSVIndex(A2,12+3024)," ")</f>
        <v xml:space="preserve"> </v>
      </c>
      <c r="L309" s="47" t="str" cm="1">
        <f t="array" ref="L309">IF(GetCSVIndex(A2,7+3024)="2","Days"," ")</f>
        <v xml:space="preserve"> </v>
      </c>
      <c r="M309" s="32"/>
      <c r="N309" s="32"/>
      <c r="O309" s="24"/>
    </row>
    <row r="310" spans="1:15" ht="21" customHeight="1" x14ac:dyDescent="0.25">
      <c r="A310" s="20" t="s">
        <v>23</v>
      </c>
      <c r="B310" s="18" t="s">
        <v>24</v>
      </c>
      <c r="C310" s="18" t="str" cm="1">
        <f t="array" ref="C310">CHOOSE(GetCSVIndex(A2,13)+1, "Auto", "Start to End","Manual")</f>
        <v>Start to End</v>
      </c>
      <c r="D310" s="31"/>
      <c r="E310" s="17" t="s">
        <v>38</v>
      </c>
      <c r="F310" s="18" t="s">
        <v>39</v>
      </c>
      <c r="G310" s="18" t="s">
        <v>40</v>
      </c>
      <c r="H310" s="18" t="s">
        <v>41</v>
      </c>
      <c r="I310" s="18" t="s">
        <v>43</v>
      </c>
      <c r="J310" s="31"/>
      <c r="K310" s="17" t="s">
        <v>38</v>
      </c>
      <c r="L310" s="18" t="s">
        <v>39</v>
      </c>
      <c r="M310" s="18" t="s">
        <v>40</v>
      </c>
      <c r="N310" s="22" t="s">
        <v>41</v>
      </c>
      <c r="O310" s="44" t="s">
        <v>42</v>
      </c>
    </row>
    <row r="311" spans="1:15" ht="21" customHeight="1" x14ac:dyDescent="0.25">
      <c r="A311" s="36" t="s">
        <v>25</v>
      </c>
      <c r="B311" s="46" t="str" cm="1">
        <f t="array" ref="B311">IF(GetCSVIndex(A2,6+3024)="1","Over","Stack")</f>
        <v>Stack</v>
      </c>
      <c r="C311" s="26" t="str" cm="1">
        <f t="array" ref="C311">GetCSVIndex(A2,29+3024)</f>
        <v/>
      </c>
      <c r="D311" s="25"/>
      <c r="E311" s="45">
        <v>1</v>
      </c>
      <c r="F311" s="29" t="e" cm="1">
        <f t="array" ref="F311">CHOOSE(GetCSVIndex(A2,36+3024)+1,"","Station","Block","","Delay")</f>
        <v>#VALUE!</v>
      </c>
      <c r="G311" s="29" t="str" cm="1">
        <f t="array" ref="G311">GetCSVIndex(A2,37+3024)</f>
        <v/>
      </c>
      <c r="H311" s="45" t="str" cm="1">
        <f t="array" ref="H311">GetCSVIndex(A2,3+3024)</f>
        <v/>
      </c>
      <c r="I311" s="29" t="str" cm="1">
        <f t="array" ref="I311">GetCSVIndex(A2,1+3024)</f>
        <v/>
      </c>
      <c r="J311" s="25"/>
      <c r="K311" s="45">
        <v>33</v>
      </c>
      <c r="L311" s="29" t="e" cm="1">
        <f t="array" ref="L311">CHOOSE(GetCSVIndex(A2,132+3024)+1,"","Station","Block","","Delay")</f>
        <v>#VALUE!</v>
      </c>
      <c r="M311" s="29" t="str" cm="1">
        <f t="array" ref="M311">GetCSVIndex(A2,133+3024)</f>
        <v/>
      </c>
      <c r="N311" s="27" t="str" cm="1">
        <f t="array" ref="N311">GetCSVIndex(A2,283+3024)</f>
        <v/>
      </c>
      <c r="O311" s="43" t="str" cm="1">
        <f t="array" ref="O311">GetCSVIndex(A2,346+3024)</f>
        <v/>
      </c>
    </row>
    <row r="312" spans="1:15" ht="21" customHeight="1" x14ac:dyDescent="0.25">
      <c r="A312" s="36" t="s">
        <v>26</v>
      </c>
      <c r="B312" s="25" t="str" cm="1">
        <f t="array" ref="B312">IF(GetCSVIndex(A2,2+3024)="1092:15","Not Set",CONCATENATE("From     ",GetCSVIndex(A2,2+3024)))</f>
        <v xml:space="preserve">From     </v>
      </c>
      <c r="C312" s="26" t="str" cm="1">
        <f t="array" ref="C312">IF(GetCSVIndex(C4,1+16)="1092:15","Not Set",CONCATENATE("To     ",GetCSVIndex(C4,1+16)))</f>
        <v xml:space="preserve">To     </v>
      </c>
      <c r="D312" s="25"/>
      <c r="E312" s="45">
        <v>2</v>
      </c>
      <c r="F312" s="29" t="e" cm="1">
        <f t="array" ref="F312">CHOOSE(GetCSVIndex(A2,39+3024)+1,"","Station","Block","","Delay")</f>
        <v>#VALUE!</v>
      </c>
      <c r="G312" s="29" t="str" cm="1">
        <f t="array" ref="G312">GetCSVIndex(A2,40+3024)</f>
        <v/>
      </c>
      <c r="H312" s="45" t="str" cm="1">
        <f t="array" ref="H312">GetCSVIndex(A2,252+3024)</f>
        <v/>
      </c>
      <c r="I312" s="29" t="str" cm="1">
        <f t="array" ref="I312">GetCSVIndex(A2,315+3024)</f>
        <v/>
      </c>
      <c r="J312" s="25"/>
      <c r="K312" s="45">
        <v>34</v>
      </c>
      <c r="L312" s="29" t="e" cm="1">
        <f t="array" ref="L312">CHOOSE(GetCSVIndex(A2,135+3024)+1,"","Station","Block","","Delay")</f>
        <v>#VALUE!</v>
      </c>
      <c r="M312" s="29" t="str" cm="1">
        <f t="array" ref="M312">GetCSVIndex(A2,136+3024)</f>
        <v/>
      </c>
      <c r="N312" s="27" t="str" cm="1">
        <f t="array" ref="N312">GetCSVIndex(A2,284+3024)</f>
        <v/>
      </c>
      <c r="O312" s="43" t="str" cm="1">
        <f t="array" ref="O312">GetCSVIndex(A2,347+3024)</f>
        <v/>
      </c>
    </row>
    <row r="313" spans="1:15" ht="21" customHeight="1" x14ac:dyDescent="0.25">
      <c r="A313" s="36" t="s">
        <v>27</v>
      </c>
      <c r="B313" s="25"/>
      <c r="C313" s="26" t="str" cm="1">
        <f t="array" ref="C313">CONCATENATE(GetCSVIndex(A2,249+3024),":", GetCSVIndex(A2,250+3024),":", GetCSVIndex(A2,251+3024))</f>
        <v>::</v>
      </c>
      <c r="D313" s="26"/>
      <c r="E313" s="45">
        <v>3</v>
      </c>
      <c r="F313" s="29" t="e" cm="1">
        <f t="array" ref="F313">CHOOSE(GetCSVIndex(A2,42+3024)+1,"","Station","Block","","Delay")</f>
        <v>#VALUE!</v>
      </c>
      <c r="G313" s="29" t="str" cm="1">
        <f t="array" ref="G313">GetCSVIndex(A2,43+3024)</f>
        <v/>
      </c>
      <c r="H313" s="45" t="str" cm="1">
        <f t="array" ref="H313">GetCSVIndex(A2,253+3024)</f>
        <v/>
      </c>
      <c r="I313" s="29" t="str" cm="1">
        <f t="array" ref="I313">GetCSVIndex(A2,316+3024)</f>
        <v/>
      </c>
      <c r="J313" s="25"/>
      <c r="K313" s="45">
        <v>35</v>
      </c>
      <c r="L313" s="29" t="e" cm="1">
        <f t="array" ref="L313">CHOOSE(GetCSVIndex(A2,138+3024)+1,"","Station","Block","","Delay")</f>
        <v>#VALUE!</v>
      </c>
      <c r="M313" s="29" t="str" cm="1">
        <f t="array" ref="M313">GetCSVIndex(A2,139+3024)</f>
        <v/>
      </c>
      <c r="N313" s="27" t="str" cm="1">
        <f t="array" ref="N313">GetCSVIndex(A2,285+3024)</f>
        <v/>
      </c>
      <c r="O313" s="43" t="str" cm="1">
        <f t="array" ref="O313">GetCSVIndex(A2,348+3024)</f>
        <v/>
      </c>
    </row>
    <row r="314" spans="1:15" ht="21" customHeight="1" x14ac:dyDescent="0.25">
      <c r="A314" s="36"/>
      <c r="B314" s="25"/>
      <c r="C314" s="25"/>
      <c r="D314" s="25"/>
      <c r="E314" s="45">
        <v>4</v>
      </c>
      <c r="F314" s="29" t="e" cm="1">
        <f t="array" ref="F314">CHOOSE(GetCSVIndex(A2,45+3024)+1,"","Station","Block","","Delay")</f>
        <v>#VALUE!</v>
      </c>
      <c r="G314" s="29" t="str" cm="1">
        <f t="array" ref="G314">GetCSVIndex(A2,46+3024)</f>
        <v/>
      </c>
      <c r="H314" s="45" t="str" cm="1">
        <f t="array" ref="H314">GetCSVIndex(A2,254+3024)</f>
        <v/>
      </c>
      <c r="I314" s="29" t="str" cm="1">
        <f t="array" ref="I314">GetCSVIndex(A2,317+3024)</f>
        <v/>
      </c>
      <c r="J314" s="25"/>
      <c r="K314" s="45">
        <v>36</v>
      </c>
      <c r="L314" s="29" t="e" cm="1">
        <f t="array" ref="L314">CHOOSE(GetCSVIndex(A2,141+3024)+1,"","Station","Block","","Delay")</f>
        <v>#VALUE!</v>
      </c>
      <c r="M314" s="29" t="str" cm="1">
        <f t="array" ref="M314">GetCSVIndex(A2,142+3024)</f>
        <v/>
      </c>
      <c r="N314" s="27" t="str" cm="1">
        <f t="array" ref="N314">GetCSVIndex(A2,286+3024)</f>
        <v/>
      </c>
      <c r="O314" s="43" t="str" cm="1">
        <f t="array" ref="O314">GetCSVIndex(A2,349+3024)</f>
        <v/>
      </c>
    </row>
    <row r="315" spans="1:15" ht="21" customHeight="1" x14ac:dyDescent="0.25">
      <c r="A315" s="37" t="s">
        <v>28</v>
      </c>
      <c r="B315" s="28"/>
      <c r="C315" s="29" t="str" cm="1">
        <f t="array" ref="C315">IF(GetCSVIndex(A2,14+3024)&lt;&gt;"65535",CONCATENATE(GetCSVIndex(A2,229+3024),":", GetCSVIndex(A2,239+3024)),"OFF")</f>
        <v>:</v>
      </c>
      <c r="D315" s="25"/>
      <c r="E315" s="45">
        <v>5</v>
      </c>
      <c r="F315" s="29" t="e" cm="1">
        <f t="array" ref="F315">CHOOSE(GetCSVIndex(A2,48+3024)+1,"","Station","Block","","Delay")</f>
        <v>#VALUE!</v>
      </c>
      <c r="G315" s="29" t="str" cm="1">
        <f t="array" ref="G315">GetCSVIndex(A2,49+3024)</f>
        <v/>
      </c>
      <c r="H315" s="45" t="str" cm="1">
        <f t="array" ref="H315">GetCSVIndex(A2,255+3024)</f>
        <v/>
      </c>
      <c r="I315" s="29" t="str" cm="1">
        <f t="array" ref="I315">GetCSVIndex(A2,318+3024)</f>
        <v/>
      </c>
      <c r="J315" s="25"/>
      <c r="K315" s="45">
        <v>37</v>
      </c>
      <c r="L315" s="29" t="e" cm="1">
        <f t="array" ref="L315">CHOOSE(GetCSVIndex(A2,144+3024)+1,"","Station","Block","","Delay")</f>
        <v>#VALUE!</v>
      </c>
      <c r="M315" s="29" t="str" cm="1">
        <f t="array" ref="M315">GetCSVIndex(A2,145+3024)</f>
        <v/>
      </c>
      <c r="N315" s="27" t="str" cm="1">
        <f t="array" ref="N315">GetCSVIndex(A2,287+3024)</f>
        <v/>
      </c>
      <c r="O315" s="43" t="str" cm="1">
        <f t="array" ref="O315">GetCSVIndex(A2,350+3024)</f>
        <v/>
      </c>
    </row>
    <row r="316" spans="1:15" ht="21" customHeight="1" x14ac:dyDescent="0.25">
      <c r="A316" s="38" t="s">
        <v>29</v>
      </c>
      <c r="B316" s="30"/>
      <c r="C316" s="29" t="str" cm="1">
        <f t="array" ref="C316">IF(GetCSVIndex(A2,15+3024)&lt;&gt;"65535",CONCATENATE(GetCSVIndex(A2,231+3024),":", GetCSVIndex(A2,241+3024)),"OFF")</f>
        <v>:</v>
      </c>
      <c r="D316" s="25"/>
      <c r="E316" s="45">
        <v>6</v>
      </c>
      <c r="F316" s="29" t="e" cm="1">
        <f t="array" ref="F316">CHOOSE(GetCSVIndex(A2,51+3024)+1,"","Station","Block","","Delay")</f>
        <v>#VALUE!</v>
      </c>
      <c r="G316" s="29" t="str" cm="1">
        <f t="array" ref="G316">GetCSVIndex(A2,52+3024)</f>
        <v/>
      </c>
      <c r="H316" s="45" t="str" cm="1">
        <f t="array" ref="H316">GetCSVIndex(A2,256+3024)</f>
        <v/>
      </c>
      <c r="I316" s="29" t="str" cm="1">
        <f t="array" ref="I316">GetCSVIndex(A2,319+3024)</f>
        <v/>
      </c>
      <c r="J316" s="25"/>
      <c r="K316" s="45">
        <v>38</v>
      </c>
      <c r="L316" s="29" t="e" cm="1">
        <f t="array" ref="L316">CHOOSE(GetCSVIndex(A2,147+3024)+1,"","Station","Block","","Delay")</f>
        <v>#VALUE!</v>
      </c>
      <c r="M316" s="29" t="str" cm="1">
        <f t="array" ref="M316">GetCSVIndex(A2,148+3024)</f>
        <v/>
      </c>
      <c r="N316" s="27" t="str" cm="1">
        <f t="array" ref="N316">GetCSVIndex(A2,288+3024)</f>
        <v/>
      </c>
      <c r="O316" s="43" t="str" cm="1">
        <f t="array" ref="O316">GetCSVIndex(A2,351+3024)</f>
        <v/>
      </c>
    </row>
    <row r="317" spans="1:15" ht="21" customHeight="1" x14ac:dyDescent="0.25">
      <c r="A317" s="38" t="s">
        <v>30</v>
      </c>
      <c r="B317" s="30"/>
      <c r="C317" s="29" t="str" cm="1">
        <f t="array" ref="C317">IF(GetCSVIndex(A2,16+3024)&lt;&gt;"65535",CONCATENATE(GetCSVIndex(A2,232+3024),":", GetCSVIndex(A2,242+3024)),"OFF")</f>
        <v>:</v>
      </c>
      <c r="D317" s="25"/>
      <c r="E317" s="45">
        <v>7</v>
      </c>
      <c r="F317" s="29" t="e" cm="1">
        <f t="array" ref="F317">CHOOSE(GetCSVIndex(A2,54+3024)+1,"","Station","Block","","Delay")</f>
        <v>#VALUE!</v>
      </c>
      <c r="G317" s="29" t="str" cm="1">
        <f t="array" ref="G317">GetCSVIndex(A2,55+3024)</f>
        <v/>
      </c>
      <c r="H317" s="45" t="str" cm="1">
        <f t="array" ref="H317">GetCSVIndex(A2,257+3024)</f>
        <v/>
      </c>
      <c r="I317" s="29" t="str" cm="1">
        <f t="array" ref="I317">GetCSVIndex(A2,320+3024)</f>
        <v/>
      </c>
      <c r="J317" s="25"/>
      <c r="K317" s="45">
        <v>39</v>
      </c>
      <c r="L317" s="29" t="e" cm="1">
        <f t="array" ref="L317">CHOOSE(GetCSVIndex(A2,150+3024)+1,"","Station","Block","","Delay")</f>
        <v>#VALUE!</v>
      </c>
      <c r="M317" s="29" t="str" cm="1">
        <f t="array" ref="M317">GetCSVIndex(A2,151+3024)</f>
        <v/>
      </c>
      <c r="N317" s="27" t="str" cm="1">
        <f t="array" ref="N317">GetCSVIndex(A2,289+3024)</f>
        <v/>
      </c>
      <c r="O317" s="43" t="str" cm="1">
        <f t="array" ref="O317">GetCSVIndex(A2,352+3024)</f>
        <v/>
      </c>
    </row>
    <row r="318" spans="1:15" ht="21" customHeight="1" x14ac:dyDescent="0.25">
      <c r="A318" s="38" t="s">
        <v>31</v>
      </c>
      <c r="B318" s="30"/>
      <c r="C318" s="29" t="str" cm="1">
        <f t="array" ref="C318">IF(GetCSVIndex(A2,17+3024)&lt;&gt;"65535",CONCATENATE(GetCSVIndex(A2,233+3024),":", GetCSVIndex(A2,243+3024)),"OFF")</f>
        <v>:</v>
      </c>
      <c r="D318" s="25"/>
      <c r="E318" s="45">
        <v>8</v>
      </c>
      <c r="F318" s="29" t="e" cm="1">
        <f t="array" ref="F318">CHOOSE(GetCSVIndex(A2,57+3024)+1,"","Station","Block","","Delay")</f>
        <v>#VALUE!</v>
      </c>
      <c r="G318" s="29" t="str" cm="1">
        <f t="array" ref="G318">GetCSVIndex(A2,58+3024)</f>
        <v/>
      </c>
      <c r="H318" s="45" t="str" cm="1">
        <f t="array" ref="H318">GetCSVIndex(A2,258+3024)</f>
        <v/>
      </c>
      <c r="I318" s="29" t="str" cm="1">
        <f t="array" ref="I318">GetCSVIndex(A2,321+3024)</f>
        <v/>
      </c>
      <c r="J318" s="25"/>
      <c r="K318" s="45">
        <v>40</v>
      </c>
      <c r="L318" s="29" t="e" cm="1">
        <f t="array" ref="L318">CHOOSE(GetCSVIndex(A2,153+3024)+1,"","Station","Block","","Delay")</f>
        <v>#VALUE!</v>
      </c>
      <c r="M318" s="29" t="str" cm="1">
        <f t="array" ref="M318">GetCSVIndex(A2,154+3024)</f>
        <v/>
      </c>
      <c r="N318" s="27" t="str" cm="1">
        <f t="array" ref="N318">GetCSVIndex(A2,290+3024)</f>
        <v/>
      </c>
      <c r="O318" s="43" t="str" cm="1">
        <f t="array" ref="O318">GetCSVIndex(A2,353+3024)</f>
        <v/>
      </c>
    </row>
    <row r="319" spans="1:15" ht="21" customHeight="1" x14ac:dyDescent="0.25">
      <c r="A319" s="38" t="s">
        <v>32</v>
      </c>
      <c r="B319" s="30"/>
      <c r="C319" s="29" t="str" cm="1">
        <f t="array" ref="C319">IF(GetCSVIndex(A2,18+3024)&lt;&gt;"65535",CONCATENATE(GetCSVIndex(A2,234+3024),":", GetCSVIndex(A2,244+3024)),"OFF")</f>
        <v>:</v>
      </c>
      <c r="D319" s="25"/>
      <c r="E319" s="45">
        <v>9</v>
      </c>
      <c r="F319" s="29" t="e" cm="1">
        <f t="array" ref="F319">CHOOSE(GetCSVIndex(A2,60+3024)+1,"","Station","Block","","Delay")</f>
        <v>#VALUE!</v>
      </c>
      <c r="G319" s="29" t="str" cm="1">
        <f t="array" ref="G319">GetCSVIndex(A2,61+3024)</f>
        <v/>
      </c>
      <c r="H319" s="45" t="str" cm="1">
        <f t="array" ref="H319">GetCSVIndex(A2,259+3024)</f>
        <v/>
      </c>
      <c r="I319" s="29" t="str" cm="1">
        <f t="array" ref="I319">GetCSVIndex(A2,322+3024)</f>
        <v/>
      </c>
      <c r="J319" s="25"/>
      <c r="K319" s="45">
        <v>41</v>
      </c>
      <c r="L319" s="29" t="e" cm="1">
        <f t="array" ref="L319">CHOOSE(GetCSVIndex(A2,156+3024)+1,"","Station","Block","","Delay")</f>
        <v>#VALUE!</v>
      </c>
      <c r="M319" s="29" t="str" cm="1">
        <f t="array" ref="M319">GetCSVIndex(A2,157+3024)</f>
        <v/>
      </c>
      <c r="N319" s="27" t="str" cm="1">
        <f t="array" ref="N319">GetCSVIndex(A2,291+3024)</f>
        <v/>
      </c>
      <c r="O319" s="43" t="str" cm="1">
        <f t="array" ref="O319">GetCSVIndex(A2,354+3024)</f>
        <v/>
      </c>
    </row>
    <row r="320" spans="1:15" ht="21" customHeight="1" x14ac:dyDescent="0.25">
      <c r="A320" s="38" t="s">
        <v>33</v>
      </c>
      <c r="B320" s="30"/>
      <c r="C320" s="29" t="str" cm="1">
        <f t="array" ref="C320">IF(GetCSVIndex(A2,19+3024)&lt;&gt;"65535",CONCATENATE(GetCSVIndex(A2,235+3024),":", GetCSVIndex(A2,245+3024)),"OFF")</f>
        <v>:</v>
      </c>
      <c r="D320" s="25"/>
      <c r="E320" s="45">
        <v>10</v>
      </c>
      <c r="F320" s="29" t="e" cm="1">
        <f t="array" ref="F320">CHOOSE(GetCSVIndex(A2,63+3024)+1,"","Station","Block","","Delay")</f>
        <v>#VALUE!</v>
      </c>
      <c r="G320" s="29" t="str" cm="1">
        <f t="array" ref="G320">GetCSVIndex(A2,64+3024)</f>
        <v/>
      </c>
      <c r="H320" s="45" t="str" cm="1">
        <f t="array" ref="H320">GetCSVIndex(A2,260+3024)</f>
        <v/>
      </c>
      <c r="I320" s="29" t="str" cm="1">
        <f t="array" ref="I320">GetCSVIndex(A2,323+3024)</f>
        <v/>
      </c>
      <c r="J320" s="25"/>
      <c r="K320" s="45">
        <v>42</v>
      </c>
      <c r="L320" s="29" t="e" cm="1">
        <f t="array" ref="L320">CHOOSE(GetCSVIndex(A2,159+3024)+1,"","Station","Block","","Delay")</f>
        <v>#VALUE!</v>
      </c>
      <c r="M320" s="29" t="str" cm="1">
        <f t="array" ref="M320">GetCSVIndex(A2,160+3024)</f>
        <v/>
      </c>
      <c r="N320" s="27" t="str" cm="1">
        <f t="array" ref="N320">GetCSVIndex(A2,292+3024)</f>
        <v/>
      </c>
      <c r="O320" s="43" t="str" cm="1">
        <f t="array" ref="O320">GetCSVIndex(A2,355+3024)</f>
        <v/>
      </c>
    </row>
    <row r="321" spans="1:15" ht="21" customHeight="1" x14ac:dyDescent="0.25">
      <c r="A321" s="38" t="s">
        <v>34</v>
      </c>
      <c r="B321" s="30"/>
      <c r="C321" s="29" t="str" cm="1">
        <f t="array" ref="C321">IF(GetCSVIndex(A2,20+3024)&lt;&gt;"65535",CONCATENATE(GetCSVIndex(A2,236+3024),":", GetCSVIndex(A2,246+3024)),"OFF")</f>
        <v>:</v>
      </c>
      <c r="D321" s="25"/>
      <c r="E321" s="45">
        <v>11</v>
      </c>
      <c r="F321" s="29" t="e" cm="1">
        <f t="array" ref="F321">CHOOSE(GetCSVIndex(A2,66+3024)+1,"","Station","Block","","Delay")</f>
        <v>#VALUE!</v>
      </c>
      <c r="G321" s="29" t="str" cm="1">
        <f t="array" ref="G321">GetCSVIndex(A2,67+3024)</f>
        <v/>
      </c>
      <c r="H321" s="45" t="str" cm="1">
        <f t="array" ref="H321">GetCSVIndex(A2,261+3024)</f>
        <v/>
      </c>
      <c r="I321" s="29" t="str" cm="1">
        <f t="array" ref="I321">GetCSVIndex(A2,324+3024)</f>
        <v/>
      </c>
      <c r="J321" s="25"/>
      <c r="K321" s="45">
        <v>43</v>
      </c>
      <c r="L321" s="29" t="e" cm="1">
        <f t="array" ref="L321">CHOOSE(GetCSVIndex(A2,162+3024)+1,"","Station","Block","","Delay")</f>
        <v>#VALUE!</v>
      </c>
      <c r="M321" s="29" t="str" cm="1">
        <f t="array" ref="M321">GetCSVIndex(A2,163+3024)</f>
        <v/>
      </c>
      <c r="N321" s="27" t="str" cm="1">
        <f t="array" ref="N321">GetCSVIndex(A2,293+3024)</f>
        <v/>
      </c>
      <c r="O321" s="43" t="str" cm="1">
        <f t="array" ref="O321">GetCSVIndex(A2,356+3024)</f>
        <v/>
      </c>
    </row>
    <row r="322" spans="1:15" ht="21" customHeight="1" x14ac:dyDescent="0.25">
      <c r="A322" s="38" t="s">
        <v>35</v>
      </c>
      <c r="B322" s="30"/>
      <c r="C322" s="29" t="str" cm="1">
        <f t="array" ref="C322">IF(GetCSVIndex(A2,21+3024)&lt;&gt;"65535",CONCATENATE(GetCSVIndex(A2,237+3024),":", GetCSVIndex(A2,247+3024)),"OFF")</f>
        <v>:</v>
      </c>
      <c r="D322" s="25"/>
      <c r="E322" s="45">
        <v>12</v>
      </c>
      <c r="F322" s="29" t="e" cm="1">
        <f t="array" ref="F322">CHOOSE(GetCSVIndex(A2,69+3024)+1,"","Station","Block","","Delay")</f>
        <v>#VALUE!</v>
      </c>
      <c r="G322" s="29" t="str" cm="1">
        <f t="array" ref="G322">GetCSVIndex(A2,70+3024)</f>
        <v/>
      </c>
      <c r="H322" s="45" t="str" cm="1">
        <f t="array" ref="H322">GetCSVIndex(A2,262+3024)</f>
        <v/>
      </c>
      <c r="I322" s="29" t="str" cm="1">
        <f t="array" ref="I322">GetCSVIndex(A2,325+3024)</f>
        <v/>
      </c>
      <c r="J322" s="25"/>
      <c r="K322" s="45">
        <v>44</v>
      </c>
      <c r="L322" s="29" t="e" cm="1">
        <f t="array" ref="L322">CHOOSE(GetCSVIndex(A2,165+3024)+1,"","Station","Block","","Delay")</f>
        <v>#VALUE!</v>
      </c>
      <c r="M322" s="29" t="str" cm="1">
        <f t="array" ref="M322">GetCSVIndex(A2,166+3024)</f>
        <v/>
      </c>
      <c r="N322" s="27" t="str" cm="1">
        <f t="array" ref="N322">GetCSVIndex(A2,294+3024)</f>
        <v/>
      </c>
      <c r="O322" s="43" t="str" cm="1">
        <f t="array" ref="O322">GetCSVIndex(A2,357+3024)</f>
        <v/>
      </c>
    </row>
    <row r="323" spans="1:15" ht="21" customHeight="1" x14ac:dyDescent="0.25">
      <c r="A323" s="38" t="s">
        <v>36</v>
      </c>
      <c r="B323" s="30"/>
      <c r="C323" s="29" t="str" cm="1">
        <f t="array" ref="C323">IF(GetCSVIndex(A2,22+3024)&lt;&gt;"65535",CONCATENATE(GetCSVIndex(A2,238+3024),":", GetCSVIndex(A2,248+3024)),"OFF")</f>
        <v>:</v>
      </c>
      <c r="D323" s="25"/>
      <c r="E323" s="45">
        <v>13</v>
      </c>
      <c r="F323" s="29" t="e" cm="1">
        <f t="array" ref="F323">CHOOSE(GetCSVIndex(A2,72+3024)+1,"","Station","Block","","Delay")</f>
        <v>#VALUE!</v>
      </c>
      <c r="G323" s="29" t="str" cm="1">
        <f t="array" ref="G323">GetCSVIndex(A2,73+3024)</f>
        <v/>
      </c>
      <c r="H323" s="45" t="str" cm="1">
        <f t="array" ref="H323">GetCSVIndex(A2,263+3024)</f>
        <v/>
      </c>
      <c r="I323" s="29" t="str" cm="1">
        <f t="array" ref="I323">GetCSVIndex(A2,326+3024)</f>
        <v/>
      </c>
      <c r="J323" s="25"/>
      <c r="K323" s="45">
        <v>45</v>
      </c>
      <c r="L323" s="29" t="e" cm="1">
        <f t="array" ref="L323">CHOOSE(GetCSVIndex(A2,168+3024)+1,"","Station","Block","","Delay")</f>
        <v>#VALUE!</v>
      </c>
      <c r="M323" s="29" t="str" cm="1">
        <f t="array" ref="M323">GetCSVIndex(A2,169+3024)</f>
        <v/>
      </c>
      <c r="N323" s="27" t="str" cm="1">
        <f t="array" ref="N323">GetCSVIndex(A2,295+3024)</f>
        <v/>
      </c>
      <c r="O323" s="43" t="str" cm="1">
        <f t="array" ref="O323">GetCSVIndex(A2,358+3024)</f>
        <v/>
      </c>
    </row>
    <row r="324" spans="1:15" ht="21" customHeight="1" x14ac:dyDescent="0.25">
      <c r="A324" s="36" t="s">
        <v>37</v>
      </c>
      <c r="B324" s="25"/>
      <c r="C324" s="29" t="str" cm="1">
        <f t="array" ref="C324">IF(GetCSVIndex(A2,23+3024)&lt;&gt;"65535",CONCATENATE(GetCSVIndex(A2,230+3024),":", GetCSVIndex(A2,240+3024)),"OFF")</f>
        <v>:</v>
      </c>
      <c r="D324" s="25"/>
      <c r="E324" s="45">
        <v>14</v>
      </c>
      <c r="F324" s="29" t="e" cm="1">
        <f t="array" ref="F324">CHOOSE(GetCSVIndex(A2,75+3024)+1,"","Station","Block","","Delay")</f>
        <v>#VALUE!</v>
      </c>
      <c r="G324" s="29" t="str" cm="1">
        <f t="array" ref="G324">GetCSVIndex(A2,76+3024)</f>
        <v/>
      </c>
      <c r="H324" s="45" t="str" cm="1">
        <f t="array" ref="H324">GetCSVIndex(A2,264+3024)</f>
        <v/>
      </c>
      <c r="I324" s="29" t="str" cm="1">
        <f t="array" ref="I324">GetCSVIndex(A2,327+3024)</f>
        <v/>
      </c>
      <c r="J324" s="25"/>
      <c r="K324" s="45">
        <v>46</v>
      </c>
      <c r="L324" s="29" t="e" cm="1">
        <f t="array" ref="L324">CHOOSE(GetCSVIndex(A2,171+3024)+1,"","Station","Block","","Delay")</f>
        <v>#VALUE!</v>
      </c>
      <c r="M324" s="29" t="str" cm="1">
        <f t="array" ref="M324">GetCSVIndex(A2,172+3024)</f>
        <v/>
      </c>
      <c r="N324" s="27" t="str" cm="1">
        <f t="array" ref="N324">GetCSVIndex(A2,296+3024)</f>
        <v/>
      </c>
      <c r="O324" s="43" t="str" cm="1">
        <f t="array" ref="O324">GetCSVIndex(A2,359+3024)</f>
        <v/>
      </c>
    </row>
    <row r="325" spans="1:15" ht="21" customHeight="1" x14ac:dyDescent="0.25">
      <c r="A325" s="39"/>
      <c r="B325" s="40"/>
      <c r="C325" s="41"/>
      <c r="D325" s="26"/>
      <c r="E325" s="45">
        <v>15</v>
      </c>
      <c r="F325" s="29" t="e" cm="1">
        <f t="array" ref="F325">CHOOSE(GetCSVIndex(A2,78+3024)+1,"","Station","Block","","Delay")</f>
        <v>#VALUE!</v>
      </c>
      <c r="G325" s="29" t="str" cm="1">
        <f t="array" ref="G325">GetCSVIndex(A2,79+3024)</f>
        <v/>
      </c>
      <c r="H325" s="45" t="str" cm="1">
        <f t="array" ref="H325">GetCSVIndex(A2,265+3024)</f>
        <v/>
      </c>
      <c r="I325" s="29" t="str" cm="1">
        <f t="array" ref="I325">GetCSVIndex(A2,328+3024)</f>
        <v/>
      </c>
      <c r="J325" s="26"/>
      <c r="K325" s="45">
        <v>47</v>
      </c>
      <c r="L325" s="29" t="e" cm="1">
        <f t="array" ref="L325">CHOOSE(GetCSVIndex(A2,174+3024)+1,"","Station","Block","","Delay")</f>
        <v>#VALUE!</v>
      </c>
      <c r="M325" s="29" t="str" cm="1">
        <f t="array" ref="M325">GetCSVIndex(A2,175+3024)</f>
        <v/>
      </c>
      <c r="N325" s="27" t="str" cm="1">
        <f t="array" ref="N325">GetCSVIndex(A2,297+3024)</f>
        <v/>
      </c>
      <c r="O325" s="43" t="str" cm="1">
        <f t="array" ref="O325">GetCSVIndex(A2,360+3024)</f>
        <v/>
      </c>
    </row>
    <row r="326" spans="1:15" ht="21" customHeight="1" x14ac:dyDescent="0.25">
      <c r="A326" s="42"/>
      <c r="B326" s="25"/>
      <c r="C326" s="25"/>
      <c r="D326" s="26"/>
      <c r="E326" s="45">
        <v>16</v>
      </c>
      <c r="F326" s="29" t="e" cm="1">
        <f t="array" ref="F326">CHOOSE(GetCSVIndex(A2,81+3024)+1,"","Station","Block","","Delay")</f>
        <v>#VALUE!</v>
      </c>
      <c r="G326" s="29" t="str" cm="1">
        <f t="array" ref="G326">GetCSVIndex(A2,82+3024)</f>
        <v/>
      </c>
      <c r="H326" s="45" t="str" cm="1">
        <f t="array" ref="H326">GetCSVIndex(A2,266+3024)</f>
        <v/>
      </c>
      <c r="I326" s="29" t="str" cm="1">
        <f t="array" ref="I326">GetCSVIndex(A2,329+3024)</f>
        <v/>
      </c>
      <c r="J326" s="25"/>
      <c r="K326" s="45">
        <v>48</v>
      </c>
      <c r="L326" s="29" t="e" cm="1">
        <f t="array" ref="L326">CHOOSE(GetCSVIndex(A2,177+3024)+1,"","Station","Block","","Delay")</f>
        <v>#VALUE!</v>
      </c>
      <c r="M326" s="29" t="str" cm="1">
        <f t="array" ref="M326">GetCSVIndex(A2,178+3024)</f>
        <v/>
      </c>
      <c r="N326" s="27" t="str" cm="1">
        <f t="array" ref="N326">GetCSVIndex(A2,298+3024)</f>
        <v/>
      </c>
      <c r="O326" s="43" t="str" cm="1">
        <f t="array" ref="O326">GetCSVIndex(A2,361+3024)</f>
        <v/>
      </c>
    </row>
    <row r="327" spans="1:15" ht="21" customHeight="1" x14ac:dyDescent="0.25">
      <c r="A327" s="42"/>
      <c r="B327" s="25"/>
      <c r="C327" s="25"/>
      <c r="D327" s="26"/>
      <c r="E327" s="45">
        <v>17</v>
      </c>
      <c r="F327" s="29" t="e" cm="1">
        <f t="array" ref="F327">CHOOSE(GetCSVIndex(A2,84+3024)+1,"","Station","Block","","Delay")</f>
        <v>#VALUE!</v>
      </c>
      <c r="G327" s="29" t="str" cm="1">
        <f t="array" ref="G327">GetCSVIndex(A2,85+3024)</f>
        <v/>
      </c>
      <c r="H327" s="45" t="str" cm="1">
        <f t="array" ref="H327">GetCSVIndex(A2,267+3024)</f>
        <v/>
      </c>
      <c r="I327" s="29" t="str" cm="1">
        <f t="array" ref="I327">GetCSVIndex(A2,330+3024)</f>
        <v/>
      </c>
      <c r="J327" s="26"/>
      <c r="K327" s="45">
        <v>49</v>
      </c>
      <c r="L327" s="29" t="e" cm="1">
        <f t="array" ref="L327">CHOOSE(GetCSVIndex(A2,180+3024)+1,"","Station","Block","","Delay")</f>
        <v>#VALUE!</v>
      </c>
      <c r="M327" s="29" t="str" cm="1">
        <f t="array" ref="M327">GetCSVIndex(A2,181+3024)</f>
        <v/>
      </c>
      <c r="N327" s="27" t="str" cm="1">
        <f t="array" ref="N327">GetCSVIndex(A2,299+3024)</f>
        <v/>
      </c>
      <c r="O327" s="43" t="str" cm="1">
        <f t="array" ref="O327">GetCSVIndex(A2,362+3024)</f>
        <v/>
      </c>
    </row>
    <row r="328" spans="1:15" ht="21" customHeight="1" x14ac:dyDescent="0.25">
      <c r="A328" s="42"/>
      <c r="B328" s="25"/>
      <c r="C328" s="25"/>
      <c r="D328" s="26"/>
      <c r="E328" s="45">
        <v>18</v>
      </c>
      <c r="F328" s="29" t="e" cm="1">
        <f t="array" ref="F328">CHOOSE(GetCSVIndex(A2,87+3024)+1,"","Station","Block","","Delay")</f>
        <v>#VALUE!</v>
      </c>
      <c r="G328" s="29" t="str" cm="1">
        <f t="array" ref="G328">GetCSVIndex(A2,88+3024)</f>
        <v/>
      </c>
      <c r="H328" s="45" t="str" cm="1">
        <f t="array" ref="H328">GetCSVIndex(A2,268+3024)</f>
        <v/>
      </c>
      <c r="I328" s="29" t="str" cm="1">
        <f t="array" ref="I328">GetCSVIndex(A2,331+3024)</f>
        <v/>
      </c>
      <c r="J328" s="26"/>
      <c r="K328" s="45">
        <v>50</v>
      </c>
      <c r="L328" s="29" t="e" cm="1">
        <f t="array" ref="L328">CHOOSE(GetCSVIndex(A2,183+3024)+1,"","Station","Block","","Delay")</f>
        <v>#VALUE!</v>
      </c>
      <c r="M328" s="29" t="str" cm="1">
        <f t="array" ref="M328">GetCSVIndex(A2,184+3024)</f>
        <v/>
      </c>
      <c r="N328" s="27" t="str" cm="1">
        <f t="array" ref="N328">GetCSVIndex(A2,300+3024)</f>
        <v/>
      </c>
      <c r="O328" s="43" t="str" cm="1">
        <f t="array" ref="O328">GetCSVIndex(A2,363+3024)</f>
        <v/>
      </c>
    </row>
    <row r="329" spans="1:15" ht="21" customHeight="1" x14ac:dyDescent="0.25">
      <c r="A329" s="42"/>
      <c r="B329" s="25"/>
      <c r="C329" s="25"/>
      <c r="D329" s="26"/>
      <c r="E329" s="45">
        <v>19</v>
      </c>
      <c r="F329" s="29" t="e" cm="1">
        <f t="array" ref="F329">CHOOSE(GetCSVIndex(A2,90+3024)+1,"","Station","Block","","Delay")</f>
        <v>#VALUE!</v>
      </c>
      <c r="G329" s="29" t="str" cm="1">
        <f t="array" ref="G329">GetCSVIndex(A2,91+3024)</f>
        <v/>
      </c>
      <c r="H329" s="45" t="str" cm="1">
        <f t="array" ref="H329">GetCSVIndex(A2,269+3024)</f>
        <v/>
      </c>
      <c r="I329" s="29" t="str" cm="1">
        <f t="array" ref="I329">GetCSVIndex(A2,332+3024)</f>
        <v/>
      </c>
      <c r="J329" s="26"/>
      <c r="K329" s="45">
        <v>51</v>
      </c>
      <c r="L329" s="29" t="e" cm="1">
        <f t="array" ref="L329">CHOOSE(GetCSVIndex(A2,186+3024)+1,"","Station","Block","","Delay")</f>
        <v>#VALUE!</v>
      </c>
      <c r="M329" s="29" t="str" cm="1">
        <f t="array" ref="M329">GetCSVIndex(A2,187+3024)</f>
        <v/>
      </c>
      <c r="N329" s="27" t="str" cm="1">
        <f t="array" ref="N329">GetCSVIndex(A2,301+3024)</f>
        <v/>
      </c>
      <c r="O329" s="43" t="str" cm="1">
        <f t="array" ref="O329">GetCSVIndex(A2,364+3024)</f>
        <v/>
      </c>
    </row>
    <row r="330" spans="1:15" ht="21" customHeight="1" x14ac:dyDescent="0.25">
      <c r="A330" s="42"/>
      <c r="B330" s="25"/>
      <c r="C330" s="25"/>
      <c r="D330" s="26"/>
      <c r="E330" s="45">
        <v>20</v>
      </c>
      <c r="F330" s="29" t="e" cm="1">
        <f t="array" ref="F330">CHOOSE(GetCSVIndex(A2,93+3024)+1,"","Station","Block","","Delay")</f>
        <v>#VALUE!</v>
      </c>
      <c r="G330" s="29" t="str" cm="1">
        <f t="array" ref="G330">GetCSVIndex(A2,94+3024)</f>
        <v/>
      </c>
      <c r="H330" s="45" t="str" cm="1">
        <f t="array" ref="H330">GetCSVIndex(A2,270+3024)</f>
        <v/>
      </c>
      <c r="I330" s="29" t="str" cm="1">
        <f t="array" ref="I330">GetCSVIndex(A2,333+3024)</f>
        <v/>
      </c>
      <c r="J330" s="26"/>
      <c r="K330" s="45">
        <v>52</v>
      </c>
      <c r="L330" s="29" t="e" cm="1">
        <f t="array" ref="L330">CHOOSE(GetCSVIndex(A2,189+3024)+1,"","Station","Block","","Delay")</f>
        <v>#VALUE!</v>
      </c>
      <c r="M330" s="29" t="str" cm="1">
        <f t="array" ref="M330">GetCSVIndex(A2,190+3024)</f>
        <v/>
      </c>
      <c r="N330" s="27" t="str" cm="1">
        <f t="array" ref="N330">GetCSVIndex(A2,302+3024)</f>
        <v/>
      </c>
      <c r="O330" s="43" t="str" cm="1">
        <f t="array" ref="O330">GetCSVIndex(A2,365+3024)</f>
        <v/>
      </c>
    </row>
    <row r="331" spans="1:15" ht="21" customHeight="1" x14ac:dyDescent="0.25">
      <c r="A331" s="42"/>
      <c r="B331" s="25"/>
      <c r="C331" s="25"/>
      <c r="D331" s="26"/>
      <c r="E331" s="45">
        <v>21</v>
      </c>
      <c r="F331" s="29" t="e" cm="1">
        <f t="array" ref="F331">CHOOSE(GetCSVIndex(A2,96+3024)+1,"","Station","Block","","Delay")</f>
        <v>#VALUE!</v>
      </c>
      <c r="G331" s="29" t="str" cm="1">
        <f t="array" ref="G331">GetCSVIndex(A2,97+3024)</f>
        <v/>
      </c>
      <c r="H331" s="45" t="str" cm="1">
        <f t="array" ref="H331">GetCSVIndex(A2,271+3024)</f>
        <v/>
      </c>
      <c r="I331" s="29" t="str" cm="1">
        <f t="array" ref="I331">GetCSVIndex(A2,334+3024)</f>
        <v/>
      </c>
      <c r="J331" s="26"/>
      <c r="K331" s="45">
        <v>53</v>
      </c>
      <c r="L331" s="29" t="e" cm="1">
        <f t="array" ref="L331">CHOOSE(GetCSVIndex(A2,192+3024)+1,"","Station","Block","","Delay")</f>
        <v>#VALUE!</v>
      </c>
      <c r="M331" s="29" t="str" cm="1">
        <f t="array" ref="M331">GetCSVIndex(A2,193+3024)</f>
        <v/>
      </c>
      <c r="N331" s="27" t="str" cm="1">
        <f t="array" ref="N331">GetCSVIndex(A2,303+3024)</f>
        <v/>
      </c>
      <c r="O331" s="43" t="str" cm="1">
        <f t="array" ref="O331">GetCSVIndex(A2,366+3024)</f>
        <v/>
      </c>
    </row>
    <row r="332" spans="1:15" ht="21" customHeight="1" x14ac:dyDescent="0.25">
      <c r="A332" s="42"/>
      <c r="B332" s="25"/>
      <c r="C332" s="25"/>
      <c r="D332" s="26"/>
      <c r="E332" s="45">
        <v>22</v>
      </c>
      <c r="F332" s="29" t="e" cm="1">
        <f t="array" ref="F332">CHOOSE(GetCSVIndex(A2,99+3024)+1,"","Station","Block","","Delay")</f>
        <v>#VALUE!</v>
      </c>
      <c r="G332" s="29" t="str" cm="1">
        <f t="array" ref="G332">GetCSVIndex(A2,100+3024)</f>
        <v/>
      </c>
      <c r="H332" s="45" t="str" cm="1">
        <f t="array" ref="H332">GetCSVIndex(A2,272+3024)</f>
        <v/>
      </c>
      <c r="I332" s="29" t="str" cm="1">
        <f t="array" ref="I332">GetCSVIndex(A2,335+3024)</f>
        <v/>
      </c>
      <c r="J332" s="26"/>
      <c r="K332" s="45">
        <v>54</v>
      </c>
      <c r="L332" s="29" t="e" cm="1">
        <f t="array" ref="L332">CHOOSE(GetCSVIndex(A2,195+3024)+1,"","Station","Block","","Delay")</f>
        <v>#VALUE!</v>
      </c>
      <c r="M332" s="29" t="str" cm="1">
        <f t="array" ref="M332">GetCSVIndex(A2,196+3024)</f>
        <v/>
      </c>
      <c r="N332" s="27" t="str" cm="1">
        <f t="array" ref="N332">GetCSVIndex(A2,304+3024)</f>
        <v/>
      </c>
      <c r="O332" s="43" t="str" cm="1">
        <f t="array" ref="O332">GetCSVIndex(A2,367+3024)</f>
        <v/>
      </c>
    </row>
    <row r="333" spans="1:15" ht="21" customHeight="1" x14ac:dyDescent="0.25">
      <c r="A333" s="42"/>
      <c r="B333" s="25"/>
      <c r="C333" s="25"/>
      <c r="D333" s="26"/>
      <c r="E333" s="45">
        <v>23</v>
      </c>
      <c r="F333" s="29" t="e" cm="1">
        <f t="array" ref="F333">CHOOSE(GetCSVIndex(A2,102+3024)+1,"","Station","Block","","Delay")</f>
        <v>#VALUE!</v>
      </c>
      <c r="G333" s="29" t="str" cm="1">
        <f t="array" ref="G333">GetCSVIndex(A2,103+3024)</f>
        <v/>
      </c>
      <c r="H333" s="45" t="str" cm="1">
        <f t="array" ref="H333">GetCSVIndex(A2,273+3024)</f>
        <v/>
      </c>
      <c r="I333" s="29" t="str" cm="1">
        <f t="array" ref="I333">GetCSVIndex(A2,336+3024)</f>
        <v/>
      </c>
      <c r="J333" s="26"/>
      <c r="K333" s="45">
        <v>55</v>
      </c>
      <c r="L333" s="29" t="e" cm="1">
        <f t="array" ref="L333">CHOOSE(GetCSVIndex(A2,198+3024)+1,"","Station","Block","","Delay")</f>
        <v>#VALUE!</v>
      </c>
      <c r="M333" s="29" t="str" cm="1">
        <f t="array" ref="M333">GetCSVIndex(A2,199+3024)</f>
        <v/>
      </c>
      <c r="N333" s="27" t="str" cm="1">
        <f t="array" ref="N333">GetCSVIndex(A2,305+3024)</f>
        <v/>
      </c>
      <c r="O333" s="43" t="str" cm="1">
        <f t="array" ref="O333">GetCSVIndex(A2,368+3024)</f>
        <v/>
      </c>
    </row>
    <row r="334" spans="1:15" ht="21" customHeight="1" x14ac:dyDescent="0.25">
      <c r="A334" s="42"/>
      <c r="B334" s="25"/>
      <c r="C334" s="25"/>
      <c r="D334" s="26"/>
      <c r="E334" s="45">
        <v>24</v>
      </c>
      <c r="F334" s="29" t="e" cm="1">
        <f t="array" ref="F334">CHOOSE(GetCSVIndex(A2,105+3024)+1,"","Station","Block","","Delay")</f>
        <v>#VALUE!</v>
      </c>
      <c r="G334" s="29" t="str" cm="1">
        <f t="array" ref="G334">GetCSVIndex(A2,106+3024)</f>
        <v/>
      </c>
      <c r="H334" s="45" t="str" cm="1">
        <f t="array" ref="H334">GetCSVIndex(A2,274+3024)</f>
        <v/>
      </c>
      <c r="I334" s="29" t="str" cm="1">
        <f t="array" ref="I334">GetCSVIndex(A2,337+3024)</f>
        <v/>
      </c>
      <c r="J334" s="26"/>
      <c r="K334" s="45">
        <v>56</v>
      </c>
      <c r="L334" s="29" t="e" cm="1">
        <f t="array" ref="L334">CHOOSE(GetCSVIndex(A2,201+3024)+1,"","Station","Block","","Delay")</f>
        <v>#VALUE!</v>
      </c>
      <c r="M334" s="29" t="str" cm="1">
        <f t="array" ref="M334">GetCSVIndex(A2,202+3024)</f>
        <v/>
      </c>
      <c r="N334" s="27" t="str" cm="1">
        <f t="array" ref="N334">GetCSVIndex(A2,306+3024)</f>
        <v/>
      </c>
      <c r="O334" s="43" t="str" cm="1">
        <f t="array" ref="O334">GetCSVIndex(A2,369+3024)</f>
        <v/>
      </c>
    </row>
    <row r="335" spans="1:15" ht="21" customHeight="1" x14ac:dyDescent="0.25">
      <c r="A335" s="42"/>
      <c r="B335" s="25"/>
      <c r="C335" s="25"/>
      <c r="D335" s="26"/>
      <c r="E335" s="45">
        <v>25</v>
      </c>
      <c r="F335" s="29" t="e" cm="1">
        <f t="array" ref="F335">CHOOSE(GetCSVIndex(A2,108+3024)+1,"","Station","Block","","Delay")</f>
        <v>#VALUE!</v>
      </c>
      <c r="G335" s="29" t="str" cm="1">
        <f t="array" ref="G335">GetCSVIndex(A2,109+3024)</f>
        <v/>
      </c>
      <c r="H335" s="45" t="str" cm="1">
        <f t="array" ref="H335">GetCSVIndex(A2,275+3024)</f>
        <v/>
      </c>
      <c r="I335" s="29" t="str" cm="1">
        <f t="array" ref="I335">GetCSVIndex(A2,338+3024)</f>
        <v/>
      </c>
      <c r="J335" s="26"/>
      <c r="K335" s="45">
        <v>57</v>
      </c>
      <c r="L335" s="29" t="e" cm="1">
        <f t="array" ref="L335">CHOOSE(GetCSVIndex(A2,204+3024)+1,"","Station","Block","","Delay")</f>
        <v>#VALUE!</v>
      </c>
      <c r="M335" s="29" t="str" cm="1">
        <f t="array" ref="M335">GetCSVIndex(A2,205+3024)</f>
        <v/>
      </c>
      <c r="N335" s="27" t="str" cm="1">
        <f t="array" ref="N335">GetCSVIndex(A2,307+3024)</f>
        <v/>
      </c>
      <c r="O335" s="43" t="str" cm="1">
        <f t="array" ref="O335">GetCSVIndex(A2,370+3024)</f>
        <v/>
      </c>
    </row>
    <row r="336" spans="1:15" ht="21" customHeight="1" x14ac:dyDescent="0.25">
      <c r="A336" s="42"/>
      <c r="B336" s="25"/>
      <c r="C336" s="25"/>
      <c r="D336" s="26"/>
      <c r="E336" s="45">
        <v>26</v>
      </c>
      <c r="F336" s="29" t="e" cm="1">
        <f t="array" ref="F336">CHOOSE(GetCSVIndex(A2,111+3024)+1,"","Station","Block","","Delay")</f>
        <v>#VALUE!</v>
      </c>
      <c r="G336" s="29" t="str" cm="1">
        <f t="array" ref="G336">GetCSVIndex(A2,112+3024)</f>
        <v/>
      </c>
      <c r="H336" s="45" t="str" cm="1">
        <f t="array" ref="H336">GetCSVIndex(A2,276+3024)</f>
        <v/>
      </c>
      <c r="I336" s="29" t="str" cm="1">
        <f t="array" ref="I336">GetCSVIndex(A2,339+3024)</f>
        <v/>
      </c>
      <c r="J336" s="26"/>
      <c r="K336" s="45">
        <v>58</v>
      </c>
      <c r="L336" s="29" t="e" cm="1">
        <f t="array" ref="L336">CHOOSE(GetCSVIndex(A2,207+3024)+1,"","Station","Block","","Delay")</f>
        <v>#VALUE!</v>
      </c>
      <c r="M336" s="29" t="str" cm="1">
        <f t="array" ref="M336">GetCSVIndex(A2,208+3024)</f>
        <v/>
      </c>
      <c r="N336" s="27" t="str" cm="1">
        <f t="array" ref="N336">GetCSVIndex(A2,308+3024)</f>
        <v/>
      </c>
      <c r="O336" s="43" t="str" cm="1">
        <f t="array" ref="O336">GetCSVIndex(A2,371+3024)</f>
        <v/>
      </c>
    </row>
    <row r="337" spans="1:15" ht="21" customHeight="1" x14ac:dyDescent="0.25">
      <c r="A337" s="42"/>
      <c r="B337" s="25"/>
      <c r="C337" s="25"/>
      <c r="D337" s="26"/>
      <c r="E337" s="45">
        <v>27</v>
      </c>
      <c r="F337" s="29" t="e" cm="1">
        <f t="array" ref="F337">CHOOSE(GetCSVIndex(A2,114+3024)+1,"","Station","Block","","Delay")</f>
        <v>#VALUE!</v>
      </c>
      <c r="G337" s="29" t="str" cm="1">
        <f t="array" ref="G337">GetCSVIndex(A2,115+3024)</f>
        <v/>
      </c>
      <c r="H337" s="45" t="str" cm="1">
        <f t="array" ref="H337">GetCSVIndex(A2,277+3024)</f>
        <v/>
      </c>
      <c r="I337" s="29" t="str" cm="1">
        <f t="array" ref="I337">GetCSVIndex(A2,340+3024)</f>
        <v/>
      </c>
      <c r="J337" s="26"/>
      <c r="K337" s="45">
        <v>59</v>
      </c>
      <c r="L337" s="29" t="e" cm="1">
        <f t="array" ref="L337">CHOOSE(GetCSVIndex(A2,210+3024)+1,"","Station","Block","","Delay")</f>
        <v>#VALUE!</v>
      </c>
      <c r="M337" s="29" t="str" cm="1">
        <f t="array" ref="M337">GetCSVIndex(A2,211+3024)</f>
        <v/>
      </c>
      <c r="N337" s="27" t="str" cm="1">
        <f t="array" ref="N337">GetCSVIndex(A2,309+3024)</f>
        <v/>
      </c>
      <c r="O337" s="43" t="str" cm="1">
        <f t="array" ref="O337">GetCSVIndex(A2,372+3024)</f>
        <v/>
      </c>
    </row>
    <row r="338" spans="1:15" ht="21" customHeight="1" x14ac:dyDescent="0.25">
      <c r="A338" s="42"/>
      <c r="B338" s="25"/>
      <c r="C338" s="25"/>
      <c r="D338" s="26"/>
      <c r="E338" s="45">
        <v>28</v>
      </c>
      <c r="F338" s="29" t="e" cm="1">
        <f t="array" ref="F338">CHOOSE(GetCSVIndex(A2,117+3024)+1,"","Station","Block","","Delay")</f>
        <v>#VALUE!</v>
      </c>
      <c r="G338" s="29" t="str" cm="1">
        <f t="array" ref="G338">GetCSVIndex(A2,118+3024)</f>
        <v/>
      </c>
      <c r="H338" s="45" t="str" cm="1">
        <f t="array" ref="H338">GetCSVIndex(A2,278+3024)</f>
        <v/>
      </c>
      <c r="I338" s="29" t="str" cm="1">
        <f t="array" ref="I338">GetCSVIndex(A2,341+3024)</f>
        <v/>
      </c>
      <c r="J338" s="26"/>
      <c r="K338" s="45">
        <v>60</v>
      </c>
      <c r="L338" s="29" t="e" cm="1">
        <f t="array" ref="L338">CHOOSE(GetCSVIndex(A2,213+3024)+1,"","Station","Block","","Delay")</f>
        <v>#VALUE!</v>
      </c>
      <c r="M338" s="29" t="str" cm="1">
        <f t="array" ref="M338">GetCSVIndex(A2,214+3024)</f>
        <v/>
      </c>
      <c r="N338" s="27" t="str" cm="1">
        <f t="array" ref="N338">GetCSVIndex(A2,310+3024)</f>
        <v/>
      </c>
      <c r="O338" s="43" t="str" cm="1">
        <f t="array" ref="O338">GetCSVIndex(A2,373+3024)</f>
        <v/>
      </c>
    </row>
    <row r="339" spans="1:15" ht="21" customHeight="1" x14ac:dyDescent="0.25">
      <c r="A339" s="42"/>
      <c r="B339" s="25"/>
      <c r="C339" s="25"/>
      <c r="D339" s="26"/>
      <c r="E339" s="45">
        <v>29</v>
      </c>
      <c r="F339" s="29" t="e" cm="1">
        <f t="array" ref="F339">CHOOSE(GetCSVIndex(A2,120+3024)+1,"","Station","Block","","Delay")</f>
        <v>#VALUE!</v>
      </c>
      <c r="G339" s="29" t="str" cm="1">
        <f t="array" ref="G339">GetCSVIndex(A2,121+3024)</f>
        <v/>
      </c>
      <c r="H339" s="45" t="str" cm="1">
        <f t="array" ref="H339">GetCSVIndex(A2,279+3024)</f>
        <v/>
      </c>
      <c r="I339" s="29" t="str" cm="1">
        <f t="array" ref="I339">GetCSVIndex(A2,342+3024)</f>
        <v/>
      </c>
      <c r="J339" s="26"/>
      <c r="K339" s="45">
        <v>61</v>
      </c>
      <c r="L339" s="29" t="e" cm="1">
        <f t="array" ref="L339">CHOOSE(GetCSVIndex(A2,216+3024)+1,"","Station","Block","","Delay")</f>
        <v>#VALUE!</v>
      </c>
      <c r="M339" s="29" t="str" cm="1">
        <f t="array" ref="M339">GetCSVIndex(A2,217+3024)</f>
        <v/>
      </c>
      <c r="N339" s="27" t="str" cm="1">
        <f t="array" ref="N339">GetCSVIndex(A2,311+3024)</f>
        <v/>
      </c>
      <c r="O339" s="43" t="str" cm="1">
        <f t="array" ref="O339">GetCSVIndex(A2,374+3024)</f>
        <v/>
      </c>
    </row>
    <row r="340" spans="1:15" ht="21" customHeight="1" x14ac:dyDescent="0.25">
      <c r="A340" s="42"/>
      <c r="B340" s="25"/>
      <c r="C340" s="25"/>
      <c r="D340" s="26"/>
      <c r="E340" s="45">
        <v>30</v>
      </c>
      <c r="F340" s="29" t="e" cm="1">
        <f t="array" ref="F340">CHOOSE(GetCSVIndex(A2,123+3024)+1,"","Station","Block","","Delay")</f>
        <v>#VALUE!</v>
      </c>
      <c r="G340" s="29" t="str" cm="1">
        <f t="array" ref="G340">GetCSVIndex(A2,124+3024)</f>
        <v/>
      </c>
      <c r="H340" s="45" t="str" cm="1">
        <f t="array" ref="H340">GetCSVIndex(A2,280+3024)</f>
        <v/>
      </c>
      <c r="I340" s="29" t="str" cm="1">
        <f t="array" ref="I340">GetCSVIndex(A2,343+3024)</f>
        <v/>
      </c>
      <c r="J340" s="26"/>
      <c r="K340" s="45">
        <v>62</v>
      </c>
      <c r="L340" s="29" t="e" cm="1">
        <f t="array" ref="L340">CHOOSE(GetCSVIndex(A2,219+3024)+1,"","Station","Block","","Delay")</f>
        <v>#VALUE!</v>
      </c>
      <c r="M340" s="29" t="str" cm="1">
        <f t="array" ref="M340">GetCSVIndex(A2,220+3024)</f>
        <v/>
      </c>
      <c r="N340" s="27" t="str" cm="1">
        <f t="array" ref="N340">GetCSVIndex(A2,312+3024)</f>
        <v/>
      </c>
      <c r="O340" s="43" t="str" cm="1">
        <f t="array" ref="O340">GetCSVIndex(A2,375+3024)</f>
        <v/>
      </c>
    </row>
    <row r="341" spans="1:15" ht="21" customHeight="1" x14ac:dyDescent="0.25">
      <c r="A341" s="42"/>
      <c r="B341" s="25"/>
      <c r="C341" s="25"/>
      <c r="D341" s="26"/>
      <c r="E341" s="45">
        <v>31</v>
      </c>
      <c r="F341" s="29" t="e" cm="1">
        <f t="array" ref="F341">CHOOSE(GetCSVIndex(A2,126+3024)+1,"","Station","Block","","Delay")</f>
        <v>#VALUE!</v>
      </c>
      <c r="G341" s="29" t="str" cm="1">
        <f t="array" ref="G341">GetCSVIndex(A2,127+3024)</f>
        <v/>
      </c>
      <c r="H341" s="45" t="str" cm="1">
        <f t="array" ref="H341">GetCSVIndex(A2,281+3024)</f>
        <v/>
      </c>
      <c r="I341" s="29" t="str" cm="1">
        <f t="array" ref="I341">GetCSVIndex(A2,344+3024)</f>
        <v/>
      </c>
      <c r="J341" s="26"/>
      <c r="K341" s="45">
        <v>63</v>
      </c>
      <c r="L341" s="29" t="e" cm="1">
        <f t="array" ref="L341">CHOOSE(GetCSVIndex(A2,222+3024)+1,"","Station","Block","","Delay")</f>
        <v>#VALUE!</v>
      </c>
      <c r="M341" s="29" t="str" cm="1">
        <f t="array" ref="M341">GetCSVIndex(A2,223+3024)</f>
        <v/>
      </c>
      <c r="N341" s="27" t="str" cm="1">
        <f t="array" ref="N341">GetCSVIndex(A2,313+3024)</f>
        <v/>
      </c>
      <c r="O341" s="43" t="str" cm="1">
        <f t="array" ref="O341">GetCSVIndex(A2,376+3024)</f>
        <v/>
      </c>
    </row>
    <row r="342" spans="1:15" ht="21" customHeight="1" x14ac:dyDescent="0.25">
      <c r="A342" s="37"/>
      <c r="B342" s="28"/>
      <c r="C342" s="29"/>
      <c r="D342" s="29"/>
      <c r="E342" s="45">
        <v>32</v>
      </c>
      <c r="F342" s="29" t="e" cm="1">
        <f t="array" ref="F342">CHOOSE(GetCSVIndex(A2,129+3024)+1,"","Station","Block","","Delay")</f>
        <v>#VALUE!</v>
      </c>
      <c r="G342" s="29" t="str" cm="1">
        <f t="array" ref="G342">GetCSVIndex(A2,130+3024)</f>
        <v/>
      </c>
      <c r="H342" s="45" t="str" cm="1">
        <f t="array" ref="H342">GetCSVIndex(A2,282+3024)</f>
        <v/>
      </c>
      <c r="I342" s="29" t="str" cm="1">
        <f t="array" ref="I342">GetCSVIndex(A2,345+3024)</f>
        <v/>
      </c>
      <c r="J342" s="29"/>
      <c r="K342" s="45">
        <v>64</v>
      </c>
      <c r="L342" s="29" t="e" cm="1">
        <f t="array" ref="L342">CHOOSE(GetCSVIndex(A2,225+3024)+1,"","Station","Block","","Delay")</f>
        <v>#VALUE!</v>
      </c>
      <c r="M342" s="29" t="str" cm="1">
        <f t="array" ref="M342">GetCSVIndex(A2,226+3024)</f>
        <v/>
      </c>
      <c r="N342" s="27" t="str" cm="1">
        <f t="array" ref="N342">GetCSVIndex(A2,314+3024)</f>
        <v/>
      </c>
      <c r="O342" s="43" t="str" cm="1">
        <f t="array" ref="O342">GetCSVIndex(A2,377+3024)</f>
        <v/>
      </c>
    </row>
    <row r="343" spans="1:15" ht="23.25" customHeight="1" x14ac:dyDescent="0.25">
      <c r="A343" s="51" t="str" cm="1">
        <f t="array" ref="A343">CONCATENATE("Schedule  Program Number : ", GetCSVIndex(A2,5+3402))</f>
        <v xml:space="preserve">Schedule  Program Number : </v>
      </c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3"/>
    </row>
    <row r="344" spans="1:15" ht="21" customHeight="1" x14ac:dyDescent="0.25">
      <c r="A344" s="20" t="s">
        <v>44</v>
      </c>
      <c r="B344" s="22" t="str" cm="1">
        <f t="array" ref="B344">GetCSVIndex(A2,5+3402)</f>
        <v/>
      </c>
      <c r="C344" s="18"/>
      <c r="D344" s="18"/>
      <c r="E344" s="18"/>
      <c r="F344" s="18"/>
      <c r="G344" s="18" t="s">
        <v>19</v>
      </c>
      <c r="H344" s="18" t="e" cm="1">
        <f t="array" ref="H344">CHOOSE(GetCSVIndex(A2,7+3402)+1, "Days of Week", "Odd/Even", "Interval","Manual")</f>
        <v>#VALUE!</v>
      </c>
      <c r="I344" s="18"/>
      <c r="J344" s="15"/>
      <c r="K344" s="15"/>
      <c r="L344" s="15"/>
      <c r="M344" s="15"/>
      <c r="N344" s="15"/>
      <c r="O344" s="16"/>
    </row>
    <row r="345" spans="1:15" ht="18" customHeight="1" x14ac:dyDescent="0.25">
      <c r="A345" s="21" t="s">
        <v>20</v>
      </c>
      <c r="B345" s="19" t="e" cm="1">
        <f t="array" ref="B345">CHOOSE(GetCSVIndex(A2,24+3402)+1, "Program", "Global", "Monthly","Solar Sync")</f>
        <v>#VALUE!</v>
      </c>
      <c r="C345" s="19"/>
      <c r="D345" s="19"/>
      <c r="E345" s="19"/>
      <c r="F345" s="19" t="s">
        <v>21</v>
      </c>
      <c r="G345" s="19" t="e" cm="1">
        <f t="array" ref="G345">IF(CHOOSE(GetCSVIndex(A2,7+3402)+1,IF(_xlfn.BITAND(GetCSVIndex(A2,8+3402), 2^0)=0, 0, 1),IF(_xlfn.BITAND(GetCSVIndex(A2,9+3402), 2^0)=0, 0, 1),IF(_xlfn.BITAND(GetCSVIndex(A2,10+3402), 2^0)=0, 0, 1)) =1,"Mon","")</f>
        <v>#VALUE!</v>
      </c>
      <c r="H345" s="19" t="e" cm="1">
        <f t="array" ref="H345">CONCATENATE(IF(CHOOSE(GetCSVIndex(A2,7+3402)+1,IF(_xlfn.BITAND(GetCSVIndex(A2,8+3402), 2^1)=0, 0, 1),IF(_xlfn.BITAND(GetCSVIndex(A2,9+3402), 2^1)=0, 0, 1),IF(_xlfn.BITAND(GetCSVIndex(A2,10+3402), 2^1)=0, 0, 1)) =1,"Tue       ","       "),IF(CHOOSE(GetCSVIndex(A2,7+3402)+1,IF(_xlfn.BITAND(GetCSVIndex(A2,8+3402), 2^2)=0, 0, 1),IF(_xlfn.BITAND(GetCSVIndex(A2,9+3402), 2^2)=0, 0, 1),IF(_xlfn.BITAND(GetCSVIndex(A2,10+3402), 2^2)=0, 0, 1)) =1,"Wed",""),IF(CHOOSE(GetCSVIndex(A2,7+3402)+1,IF(_xlfn.BITAND(GetCSVIndex(A2,8+3402), 2^3)=0, 0, 1),IF(_xlfn.BITAND(GetCSVIndex(A2,9+3402), 2^3)=0, 0, 1),IF(_xlfn.BITAND(GetCSVIndex(A2,10+3402), 2^3)=0, 0, 1)) =1,"       Thu","       "))</f>
        <v>#VALUE!</v>
      </c>
      <c r="I345" s="32" t="e" cm="1">
        <f t="array" ref="I345">CONCATENATE(IF(CHOOSE(GetCSVIndex(A2,7+3402)+1,IF(_xlfn.BITAND(GetCSVIndex(A2,8+3402), 2^4)=0, 0, 1),IF(_xlfn.BITAND(GetCSVIndex(A2,9+3402), 2^4)=0, 0, 1),IF(_xlfn.BITAND(GetCSVIndex(A2,10+3402), 2^4)=0, 0, 1)) =1,"Fri       ","       "),IF(CHOOSE(GetCSVIndex(A2,7+3402)+1,IF(_xlfn.BITAND(GetCSVIndex(A2,8+3402), 2^5)=0, 0, 1),IF(_xlfn.BITAND(GetCSVIndex(A2,9+3402), 2^5)=0, 0, 1),IF(_xlfn.BITAND(GetCSVIndex(A2,10+3402), 2^5)=0, 0, 1)) =1,"Sat",""),IF(CHOOSE(GetCSVIndex(A2,7+3402)+1,IF(_xlfn.BITAND(GetCSVIndex(A2,8+3402), 2^6)=0, 0, 1),IF(_xlfn.BITAND(GetCSVIndex(A2,9+3402), 2^6)=0, 0, 1),IF(_xlfn.BITAND(GetCSVIndex(A2,10+3402), 2^6)=0, 0, 1)) =1,"       Sun","       "))</f>
        <v>#VALUE!</v>
      </c>
      <c r="J345" s="19"/>
      <c r="K345" s="19"/>
      <c r="L345" s="32" t="s">
        <v>22</v>
      </c>
      <c r="M345" s="19"/>
      <c r="N345" s="19" t="str" cm="1">
        <f t="array" ref="N345">IF(GetCSVIndex(A2,26+3402)="1","Enable","Disable")</f>
        <v>Disable</v>
      </c>
      <c r="O345" s="24"/>
    </row>
    <row r="346" spans="1:15" ht="18" customHeight="1" x14ac:dyDescent="0.25">
      <c r="A346" s="21" t="str" cm="1">
        <f t="array" ref="A346">CONCATENATE("Program ", GetCSVIndex(A2,5+3402))</f>
        <v xml:space="preserve">Program </v>
      </c>
      <c r="B346" s="23" t="str" cm="1">
        <f t="array" ref="B346">CONCATENATE(GetCSVIndex(A2,25+3402)," %")</f>
        <v xml:space="preserve"> %</v>
      </c>
      <c r="C346" s="19"/>
      <c r="D346" s="19"/>
      <c r="E346" s="19"/>
      <c r="F346" s="19" t="str" cm="1">
        <f t="array" ref="F346">IF(GetCSVIndex(A2,7)="2","Water Every"," ")</f>
        <v xml:space="preserve"> </v>
      </c>
      <c r="G346" s="47" t="str" cm="1">
        <f t="array" ref="G346">IF(GetCSVIndex(A2,7+3402)="2",GetCSVIndex(A2,11+3402)," ")</f>
        <v xml:space="preserve"> </v>
      </c>
      <c r="H346" s="19" t="str" cm="1">
        <f t="array" ref="H346">IF(GetCSVIndex(A2,7+3402)="2","Days"," ")</f>
        <v xml:space="preserve"> </v>
      </c>
      <c r="I346" s="32" t="str" cm="1">
        <f t="array" ref="I346">IF(GetCSVIndex(A2,7+3402)="2","Water After"," ")</f>
        <v xml:space="preserve"> </v>
      </c>
      <c r="J346" s="19"/>
      <c r="K346" s="19" t="str" cm="1">
        <f t="array" ref="K346">IF(GetCSVIndex(A2,7+3402)="2",GetCSVIndex(A2,12+3402)," ")</f>
        <v xml:space="preserve"> </v>
      </c>
      <c r="L346" s="47" t="str" cm="1">
        <f t="array" ref="L346">IF(GetCSVIndex(A2,7+3402)="2","Days"," ")</f>
        <v xml:space="preserve"> </v>
      </c>
      <c r="M346" s="32"/>
      <c r="N346" s="32"/>
      <c r="O346" s="24"/>
    </row>
    <row r="347" spans="1:15" ht="21" customHeight="1" x14ac:dyDescent="0.25">
      <c r="A347" s="20" t="s">
        <v>23</v>
      </c>
      <c r="B347" s="18" t="s">
        <v>24</v>
      </c>
      <c r="C347" s="18" t="str" cm="1">
        <f t="array" ref="C347">CHOOSE(GetCSVIndex(A2,13)+1, "Auto", "Start to End","Manual")</f>
        <v>Start to End</v>
      </c>
      <c r="D347" s="31"/>
      <c r="E347" s="17" t="s">
        <v>38</v>
      </c>
      <c r="F347" s="18" t="s">
        <v>39</v>
      </c>
      <c r="G347" s="18" t="s">
        <v>40</v>
      </c>
      <c r="H347" s="18" t="s">
        <v>41</v>
      </c>
      <c r="I347" s="18" t="s">
        <v>43</v>
      </c>
      <c r="J347" s="31"/>
      <c r="K347" s="17" t="s">
        <v>38</v>
      </c>
      <c r="L347" s="18" t="s">
        <v>39</v>
      </c>
      <c r="M347" s="18" t="s">
        <v>40</v>
      </c>
      <c r="N347" s="22" t="s">
        <v>41</v>
      </c>
      <c r="O347" s="44" t="s">
        <v>42</v>
      </c>
    </row>
    <row r="348" spans="1:15" ht="21" customHeight="1" x14ac:dyDescent="0.25">
      <c r="A348" s="36" t="s">
        <v>25</v>
      </c>
      <c r="B348" s="46" t="str" cm="1">
        <f t="array" ref="B348">IF(GetCSVIndex(A2,6+3402)="1","Over","Stack")</f>
        <v>Stack</v>
      </c>
      <c r="C348" s="26" t="str" cm="1">
        <f t="array" ref="C348">GetCSVIndex(A2,29+3402)</f>
        <v/>
      </c>
      <c r="D348" s="25"/>
      <c r="E348" s="45">
        <v>1</v>
      </c>
      <c r="F348" s="29" t="e" cm="1">
        <f t="array" ref="F348">CHOOSE(GetCSVIndex(A2,36+3402)+1,"","Station","Block","","Delay")</f>
        <v>#VALUE!</v>
      </c>
      <c r="G348" s="29" t="str" cm="1">
        <f t="array" ref="G348">GetCSVIndex(A2,37+3402)</f>
        <v/>
      </c>
      <c r="H348" s="45" t="str" cm="1">
        <f t="array" ref="H348">GetCSVIndex(A2,3+3402)</f>
        <v/>
      </c>
      <c r="I348" s="29" t="str" cm="1">
        <f t="array" ref="I348">GetCSVIndex(A2,1+3402)</f>
        <v/>
      </c>
      <c r="J348" s="25"/>
      <c r="K348" s="45">
        <v>33</v>
      </c>
      <c r="L348" s="29" t="e" cm="1">
        <f t="array" ref="L348">CHOOSE(GetCSVIndex(A2,132+3402)+1,"","Station","Block","","Delay")</f>
        <v>#VALUE!</v>
      </c>
      <c r="M348" s="29" t="str" cm="1">
        <f t="array" ref="M348">GetCSVIndex(A2,133+3402)</f>
        <v/>
      </c>
      <c r="N348" s="27" t="str" cm="1">
        <f t="array" ref="N348">GetCSVIndex(A2,283+3402)</f>
        <v/>
      </c>
      <c r="O348" s="43" t="str" cm="1">
        <f t="array" ref="O348">GetCSVIndex(A2,346+3402)</f>
        <v/>
      </c>
    </row>
    <row r="349" spans="1:15" ht="21" customHeight="1" x14ac:dyDescent="0.25">
      <c r="A349" s="36" t="s">
        <v>26</v>
      </c>
      <c r="B349" s="25" t="str" cm="1">
        <f t="array" ref="B349">IF(GetCSVIndex(A2,2+3402)="1092:15","Not Set",CONCATENATE("From     ",GetCSVIndex(A2,2+3402)))</f>
        <v xml:space="preserve">From     </v>
      </c>
      <c r="C349" s="26" t="str" cm="1">
        <f t="array" ref="C349">IF(GetCSVIndex(C4,1+18)="1092:15","Not Set",CONCATENATE("To     ",GetCSVIndex(C4,1+18)))</f>
        <v xml:space="preserve">To     </v>
      </c>
      <c r="D349" s="25"/>
      <c r="E349" s="45">
        <v>2</v>
      </c>
      <c r="F349" s="29" t="e" cm="1">
        <f t="array" ref="F349">CHOOSE(GetCSVIndex(A2,39+3402)+1,"","Station","Block","","Delay")</f>
        <v>#VALUE!</v>
      </c>
      <c r="G349" s="29" t="str" cm="1">
        <f t="array" ref="G349">GetCSVIndex(A2,40+3402)</f>
        <v/>
      </c>
      <c r="H349" s="45" t="str" cm="1">
        <f t="array" ref="H349">GetCSVIndex(A2,252+3402)</f>
        <v/>
      </c>
      <c r="I349" s="29" t="str" cm="1">
        <f t="array" ref="I349">GetCSVIndex(A2,315+3402)</f>
        <v/>
      </c>
      <c r="J349" s="25"/>
      <c r="K349" s="45">
        <v>34</v>
      </c>
      <c r="L349" s="29" t="e" cm="1">
        <f t="array" ref="L349">CHOOSE(GetCSVIndex(A2,135+3402)+1,"","Station","Block","","Delay")</f>
        <v>#VALUE!</v>
      </c>
      <c r="M349" s="29" t="str" cm="1">
        <f t="array" ref="M349">GetCSVIndex(A2,136+3402)</f>
        <v/>
      </c>
      <c r="N349" s="27" t="str" cm="1">
        <f t="array" ref="N349">GetCSVIndex(A2,284+3402)</f>
        <v/>
      </c>
      <c r="O349" s="43" t="str" cm="1">
        <f t="array" ref="O349">GetCSVIndex(A2,347+3402)</f>
        <v/>
      </c>
    </row>
    <row r="350" spans="1:15" ht="21" customHeight="1" x14ac:dyDescent="0.25">
      <c r="A350" s="36" t="s">
        <v>27</v>
      </c>
      <c r="B350" s="25"/>
      <c r="C350" s="26" t="str" cm="1">
        <f t="array" ref="C350">CONCATENATE(GetCSVIndex(A2,249+3402),":", GetCSVIndex(A2,250+3402),":", GetCSVIndex(A2,251+3402))</f>
        <v>::</v>
      </c>
      <c r="D350" s="26"/>
      <c r="E350" s="45">
        <v>3</v>
      </c>
      <c r="F350" s="29" t="e" cm="1">
        <f t="array" ref="F350">CHOOSE(GetCSVIndex(A2,42+3402)+1,"","Station","Block","","Delay")</f>
        <v>#VALUE!</v>
      </c>
      <c r="G350" s="29" t="str" cm="1">
        <f t="array" ref="G350">GetCSVIndex(A2,43+3402)</f>
        <v/>
      </c>
      <c r="H350" s="45" t="str" cm="1">
        <f t="array" ref="H350">GetCSVIndex(A2,253+3402)</f>
        <v/>
      </c>
      <c r="I350" s="29" t="str" cm="1">
        <f t="array" ref="I350">GetCSVIndex(A2,316+3402)</f>
        <v/>
      </c>
      <c r="J350" s="25"/>
      <c r="K350" s="45">
        <v>35</v>
      </c>
      <c r="L350" s="29" t="e" cm="1">
        <f t="array" ref="L350">CHOOSE(GetCSVIndex(A2,138+3402)+1,"","Station","Block","","Delay")</f>
        <v>#VALUE!</v>
      </c>
      <c r="M350" s="29" t="str" cm="1">
        <f t="array" ref="M350">GetCSVIndex(A2,139+3402)</f>
        <v/>
      </c>
      <c r="N350" s="27" t="str" cm="1">
        <f t="array" ref="N350">GetCSVIndex(A2,285+3402)</f>
        <v/>
      </c>
      <c r="O350" s="43" t="str" cm="1">
        <f t="array" ref="O350">GetCSVIndex(A2,348+3402)</f>
        <v/>
      </c>
    </row>
    <row r="351" spans="1:15" ht="21" customHeight="1" x14ac:dyDescent="0.25">
      <c r="A351" s="36"/>
      <c r="B351" s="25"/>
      <c r="C351" s="25"/>
      <c r="D351" s="25"/>
      <c r="E351" s="45">
        <v>4</v>
      </c>
      <c r="F351" s="29" t="e" cm="1">
        <f t="array" ref="F351">CHOOSE(GetCSVIndex(A2,45+3402)+1,"","Station","Block","","Delay")</f>
        <v>#VALUE!</v>
      </c>
      <c r="G351" s="29" t="str" cm="1">
        <f t="array" ref="G351">GetCSVIndex(A2,46+3402)</f>
        <v/>
      </c>
      <c r="H351" s="45" t="str" cm="1">
        <f t="array" ref="H351">GetCSVIndex(A2,254+3402)</f>
        <v/>
      </c>
      <c r="I351" s="29" t="str" cm="1">
        <f t="array" ref="I351">GetCSVIndex(A2,317+3402)</f>
        <v/>
      </c>
      <c r="J351" s="25"/>
      <c r="K351" s="45">
        <v>36</v>
      </c>
      <c r="L351" s="29" t="e" cm="1">
        <f t="array" ref="L351">CHOOSE(GetCSVIndex(A2,141+3402)+1,"","Station","Block","","Delay")</f>
        <v>#VALUE!</v>
      </c>
      <c r="M351" s="29" t="str" cm="1">
        <f t="array" ref="M351">GetCSVIndex(A2,142+3402)</f>
        <v/>
      </c>
      <c r="N351" s="27" t="str" cm="1">
        <f t="array" ref="N351">GetCSVIndex(A2,286+3402)</f>
        <v/>
      </c>
      <c r="O351" s="43" t="str" cm="1">
        <f t="array" ref="O351">GetCSVIndex(A2,349+3402)</f>
        <v/>
      </c>
    </row>
    <row r="352" spans="1:15" ht="21" customHeight="1" x14ac:dyDescent="0.25">
      <c r="A352" s="37" t="s">
        <v>28</v>
      </c>
      <c r="B352" s="28"/>
      <c r="C352" s="29" t="str" cm="1">
        <f t="array" ref="C352">IF(GetCSVIndex(A2,14+3402)&lt;&gt;"65535",CONCATENATE(GetCSVIndex(A2,229+3402),":", GetCSVIndex(A2,239+3402)),"OFF")</f>
        <v>:</v>
      </c>
      <c r="D352" s="25"/>
      <c r="E352" s="45">
        <v>5</v>
      </c>
      <c r="F352" s="29" t="e" cm="1">
        <f t="array" ref="F352">CHOOSE(GetCSVIndex(A2,48+3402)+1,"","Station","Block","","Delay")</f>
        <v>#VALUE!</v>
      </c>
      <c r="G352" s="29" t="str" cm="1">
        <f t="array" ref="G352">GetCSVIndex(A2,49+3402)</f>
        <v/>
      </c>
      <c r="H352" s="45" t="str" cm="1">
        <f t="array" ref="H352">GetCSVIndex(A2,255+3402)</f>
        <v/>
      </c>
      <c r="I352" s="29" t="str" cm="1">
        <f t="array" ref="I352">GetCSVIndex(A2,318+3402)</f>
        <v/>
      </c>
      <c r="J352" s="25"/>
      <c r="K352" s="45">
        <v>37</v>
      </c>
      <c r="L352" s="29" t="e" cm="1">
        <f t="array" ref="L352">CHOOSE(GetCSVIndex(A2,144+3402)+1,"","Station","Block","","Delay")</f>
        <v>#VALUE!</v>
      </c>
      <c r="M352" s="29" t="str" cm="1">
        <f t="array" ref="M352">GetCSVIndex(A2,145+3402)</f>
        <v/>
      </c>
      <c r="N352" s="27" t="str" cm="1">
        <f t="array" ref="N352">GetCSVIndex(A2,287+3402)</f>
        <v/>
      </c>
      <c r="O352" s="43" t="str" cm="1">
        <f t="array" ref="O352">GetCSVIndex(A2,350+3402)</f>
        <v/>
      </c>
    </row>
    <row r="353" spans="1:15" ht="21" customHeight="1" x14ac:dyDescent="0.25">
      <c r="A353" s="38" t="s">
        <v>29</v>
      </c>
      <c r="B353" s="30"/>
      <c r="C353" s="29" t="str" cm="1">
        <f t="array" ref="C353">IF(GetCSVIndex(A2,15+3402)&lt;&gt;"65535",CONCATENATE(GetCSVIndex(A2,231+3402),":", GetCSVIndex(A2,241+3402)),"OFF")</f>
        <v>:</v>
      </c>
      <c r="D353" s="25"/>
      <c r="E353" s="45">
        <v>6</v>
      </c>
      <c r="F353" s="29" t="e" cm="1">
        <f t="array" ref="F353">CHOOSE(GetCSVIndex(A2,51+3402)+1,"","Station","Block","","Delay")</f>
        <v>#VALUE!</v>
      </c>
      <c r="G353" s="29" t="str" cm="1">
        <f t="array" ref="G353">GetCSVIndex(A2,52+3402)</f>
        <v/>
      </c>
      <c r="H353" s="45" t="str" cm="1">
        <f t="array" ref="H353">GetCSVIndex(A2,256+3402)</f>
        <v/>
      </c>
      <c r="I353" s="29" t="str" cm="1">
        <f t="array" ref="I353">GetCSVIndex(A2,319+3402)</f>
        <v/>
      </c>
      <c r="J353" s="25"/>
      <c r="K353" s="45">
        <v>38</v>
      </c>
      <c r="L353" s="29" t="e" cm="1">
        <f t="array" ref="L353">CHOOSE(GetCSVIndex(A2,147+3402)+1,"","Station","Block","","Delay")</f>
        <v>#VALUE!</v>
      </c>
      <c r="M353" s="29" t="str" cm="1">
        <f t="array" ref="M353">GetCSVIndex(A2,148+3402)</f>
        <v/>
      </c>
      <c r="N353" s="27" t="str" cm="1">
        <f t="array" ref="N353">GetCSVIndex(A2,288+3402)</f>
        <v/>
      </c>
      <c r="O353" s="43" t="str" cm="1">
        <f t="array" ref="O353">GetCSVIndex(A2,351+3402)</f>
        <v/>
      </c>
    </row>
    <row r="354" spans="1:15" ht="21" customHeight="1" x14ac:dyDescent="0.25">
      <c r="A354" s="38" t="s">
        <v>30</v>
      </c>
      <c r="B354" s="30"/>
      <c r="C354" s="29" t="str" cm="1">
        <f t="array" ref="C354">IF(GetCSVIndex(A2,16+3402)&lt;&gt;"65535",CONCATENATE(GetCSVIndex(A2,232+3402),":", GetCSVIndex(A2,242+3402)),"OFF")</f>
        <v>:</v>
      </c>
      <c r="D354" s="25"/>
      <c r="E354" s="45">
        <v>7</v>
      </c>
      <c r="F354" s="29" t="e" cm="1">
        <f t="array" ref="F354">CHOOSE(GetCSVIndex(A2,54+3402)+1,"","Station","Block","","Delay")</f>
        <v>#VALUE!</v>
      </c>
      <c r="G354" s="29" t="str" cm="1">
        <f t="array" ref="G354">GetCSVIndex(A2,55+3402)</f>
        <v/>
      </c>
      <c r="H354" s="45" t="str" cm="1">
        <f t="array" ref="H354">GetCSVIndex(A2,257+3402)</f>
        <v/>
      </c>
      <c r="I354" s="29" t="str" cm="1">
        <f t="array" ref="I354">GetCSVIndex(A2,320+3402)</f>
        <v/>
      </c>
      <c r="J354" s="25"/>
      <c r="K354" s="45">
        <v>39</v>
      </c>
      <c r="L354" s="29" t="e" cm="1">
        <f t="array" ref="L354">CHOOSE(GetCSVIndex(A2,150+3402)+1,"","Station","Block","","Delay")</f>
        <v>#VALUE!</v>
      </c>
      <c r="M354" s="29" t="str" cm="1">
        <f t="array" ref="M354">GetCSVIndex(A2,151+3402)</f>
        <v/>
      </c>
      <c r="N354" s="27" t="str" cm="1">
        <f t="array" ref="N354">GetCSVIndex(A2,289+3402)</f>
        <v/>
      </c>
      <c r="O354" s="43" t="str" cm="1">
        <f t="array" ref="O354">GetCSVIndex(A2,352+3402)</f>
        <v/>
      </c>
    </row>
    <row r="355" spans="1:15" ht="21" customHeight="1" x14ac:dyDescent="0.25">
      <c r="A355" s="38" t="s">
        <v>31</v>
      </c>
      <c r="B355" s="30"/>
      <c r="C355" s="29" t="str" cm="1">
        <f t="array" ref="C355">IF(GetCSVIndex(A2,17+3402)&lt;&gt;"65535",CONCATENATE(GetCSVIndex(A2,233+3402),":", GetCSVIndex(A2,243+3402)),"OFF")</f>
        <v>:</v>
      </c>
      <c r="D355" s="25"/>
      <c r="E355" s="45">
        <v>8</v>
      </c>
      <c r="F355" s="29" t="e" cm="1">
        <f t="array" ref="F355">CHOOSE(GetCSVIndex(A2,57+3402)+1,"","Station","Block","","Delay")</f>
        <v>#VALUE!</v>
      </c>
      <c r="G355" s="29" t="str" cm="1">
        <f t="array" ref="G355">GetCSVIndex(A2,58+3402)</f>
        <v/>
      </c>
      <c r="H355" s="45" t="str" cm="1">
        <f t="array" ref="H355">GetCSVIndex(A2,258+3402)</f>
        <v/>
      </c>
      <c r="I355" s="29" t="str" cm="1">
        <f t="array" ref="I355">GetCSVIndex(A2,321+3402)</f>
        <v/>
      </c>
      <c r="J355" s="25"/>
      <c r="K355" s="45">
        <v>40</v>
      </c>
      <c r="L355" s="29" t="e" cm="1">
        <f t="array" ref="L355">CHOOSE(GetCSVIndex(A2,153+3402)+1,"","Station","Block","","Delay")</f>
        <v>#VALUE!</v>
      </c>
      <c r="M355" s="29" t="str" cm="1">
        <f t="array" ref="M355">GetCSVIndex(A2,154+3402)</f>
        <v/>
      </c>
      <c r="N355" s="27" t="str" cm="1">
        <f t="array" ref="N355">GetCSVIndex(A2,290+3402)</f>
        <v/>
      </c>
      <c r="O355" s="43" t="str" cm="1">
        <f t="array" ref="O355">GetCSVIndex(A2,353+3402)</f>
        <v/>
      </c>
    </row>
    <row r="356" spans="1:15" ht="21" customHeight="1" x14ac:dyDescent="0.25">
      <c r="A356" s="38" t="s">
        <v>32</v>
      </c>
      <c r="B356" s="30"/>
      <c r="C356" s="29" t="str" cm="1">
        <f t="array" ref="C356">IF(GetCSVIndex(A2,18+3402)&lt;&gt;"65535",CONCATENATE(GetCSVIndex(A2,234+3402),":", GetCSVIndex(A2,244+3402)),"OFF")</f>
        <v>:</v>
      </c>
      <c r="D356" s="25"/>
      <c r="E356" s="45">
        <v>9</v>
      </c>
      <c r="F356" s="29" t="e" cm="1">
        <f t="array" ref="F356">CHOOSE(GetCSVIndex(A2,60+3402)+1,"","Station","Block","","Delay")</f>
        <v>#VALUE!</v>
      </c>
      <c r="G356" s="29" t="str" cm="1">
        <f t="array" ref="G356">GetCSVIndex(A2,61+3402)</f>
        <v/>
      </c>
      <c r="H356" s="45" t="str" cm="1">
        <f t="array" ref="H356">GetCSVIndex(A2,259+3402)</f>
        <v/>
      </c>
      <c r="I356" s="29" t="str" cm="1">
        <f t="array" ref="I356">GetCSVIndex(A2,322+3402)</f>
        <v/>
      </c>
      <c r="J356" s="25"/>
      <c r="K356" s="45">
        <v>41</v>
      </c>
      <c r="L356" s="29" t="e" cm="1">
        <f t="array" ref="L356">CHOOSE(GetCSVIndex(A2,156+3402)+1,"","Station","Block","","Delay")</f>
        <v>#VALUE!</v>
      </c>
      <c r="M356" s="29" t="str" cm="1">
        <f t="array" ref="M356">GetCSVIndex(A2,157+3402)</f>
        <v/>
      </c>
      <c r="N356" s="27" t="str" cm="1">
        <f t="array" ref="N356">GetCSVIndex(A2,291+3402)</f>
        <v/>
      </c>
      <c r="O356" s="43" t="str" cm="1">
        <f t="array" ref="O356">GetCSVIndex(A2,354+3402)</f>
        <v/>
      </c>
    </row>
    <row r="357" spans="1:15" ht="21" customHeight="1" x14ac:dyDescent="0.25">
      <c r="A357" s="38" t="s">
        <v>33</v>
      </c>
      <c r="B357" s="30"/>
      <c r="C357" s="29" t="str" cm="1">
        <f t="array" ref="C357">IF(GetCSVIndex(A2,19+3402)&lt;&gt;"65535",CONCATENATE(GetCSVIndex(A2,235+3402),":", GetCSVIndex(A2,245+3402)),"OFF")</f>
        <v>:</v>
      </c>
      <c r="D357" s="25"/>
      <c r="E357" s="45">
        <v>10</v>
      </c>
      <c r="F357" s="29" t="e" cm="1">
        <f t="array" ref="F357">CHOOSE(GetCSVIndex(A2,63+3402)+1,"","Station","Block","","Delay")</f>
        <v>#VALUE!</v>
      </c>
      <c r="G357" s="29" t="str" cm="1">
        <f t="array" ref="G357">GetCSVIndex(A2,64+3402)</f>
        <v/>
      </c>
      <c r="H357" s="45" t="str" cm="1">
        <f t="array" ref="H357">GetCSVIndex(A2,260+3402)</f>
        <v/>
      </c>
      <c r="I357" s="29" t="str" cm="1">
        <f t="array" ref="I357">GetCSVIndex(A2,323+3402)</f>
        <v/>
      </c>
      <c r="J357" s="25"/>
      <c r="K357" s="45">
        <v>42</v>
      </c>
      <c r="L357" s="29" t="e" cm="1">
        <f t="array" ref="L357">CHOOSE(GetCSVIndex(A2,159+3402)+1,"","Station","Block","","Delay")</f>
        <v>#VALUE!</v>
      </c>
      <c r="M357" s="29" t="str" cm="1">
        <f t="array" ref="M357">GetCSVIndex(A2,160+3402)</f>
        <v/>
      </c>
      <c r="N357" s="27" t="str" cm="1">
        <f t="array" ref="N357">GetCSVIndex(A2,292+3402)</f>
        <v/>
      </c>
      <c r="O357" s="43" t="str" cm="1">
        <f t="array" ref="O357">GetCSVIndex(A2,355+3402)</f>
        <v/>
      </c>
    </row>
    <row r="358" spans="1:15" ht="21" customHeight="1" x14ac:dyDescent="0.25">
      <c r="A358" s="38" t="s">
        <v>34</v>
      </c>
      <c r="B358" s="30"/>
      <c r="C358" s="29" t="str" cm="1">
        <f t="array" ref="C358">IF(GetCSVIndex(A2,20+3402)&lt;&gt;"65535",CONCATENATE(GetCSVIndex(A2,236+3402),":", GetCSVIndex(A2,246+3402)),"OFF")</f>
        <v>:</v>
      </c>
      <c r="D358" s="25"/>
      <c r="E358" s="45">
        <v>11</v>
      </c>
      <c r="F358" s="29" t="e" cm="1">
        <f t="array" ref="F358">CHOOSE(GetCSVIndex(A2,66+3402)+1,"","Station","Block","","Delay")</f>
        <v>#VALUE!</v>
      </c>
      <c r="G358" s="29" t="str" cm="1">
        <f t="array" ref="G358">GetCSVIndex(A2,67+3402)</f>
        <v/>
      </c>
      <c r="H358" s="45" t="str" cm="1">
        <f t="array" ref="H358">GetCSVIndex(A2,261+3402)</f>
        <v/>
      </c>
      <c r="I358" s="29" t="str" cm="1">
        <f t="array" ref="I358">GetCSVIndex(A2,324+3402)</f>
        <v/>
      </c>
      <c r="J358" s="25"/>
      <c r="K358" s="45">
        <v>43</v>
      </c>
      <c r="L358" s="29" t="e" cm="1">
        <f t="array" ref="L358">CHOOSE(GetCSVIndex(A2,162+3402)+1,"","Station","Block","","Delay")</f>
        <v>#VALUE!</v>
      </c>
      <c r="M358" s="29" t="str" cm="1">
        <f t="array" ref="M358">GetCSVIndex(A2,163+3402)</f>
        <v/>
      </c>
      <c r="N358" s="27" t="str" cm="1">
        <f t="array" ref="N358">GetCSVIndex(A2,293+3402)</f>
        <v/>
      </c>
      <c r="O358" s="43" t="str" cm="1">
        <f t="array" ref="O358">GetCSVIndex(A2,356+3402)</f>
        <v/>
      </c>
    </row>
    <row r="359" spans="1:15" ht="21" customHeight="1" x14ac:dyDescent="0.25">
      <c r="A359" s="38" t="s">
        <v>35</v>
      </c>
      <c r="B359" s="30"/>
      <c r="C359" s="29" t="str" cm="1">
        <f t="array" ref="C359">IF(GetCSVIndex(A2,21+3402)&lt;&gt;"65535",CONCATENATE(GetCSVIndex(A2,237+3402),":", GetCSVIndex(A2,247+3402)),"OFF")</f>
        <v>:</v>
      </c>
      <c r="D359" s="25"/>
      <c r="E359" s="45">
        <v>12</v>
      </c>
      <c r="F359" s="29" t="e" cm="1">
        <f t="array" ref="F359">CHOOSE(GetCSVIndex(A2,69+3402)+1,"","Station","Block","","Delay")</f>
        <v>#VALUE!</v>
      </c>
      <c r="G359" s="29" t="str" cm="1">
        <f t="array" ref="G359">GetCSVIndex(A2,70+3402)</f>
        <v/>
      </c>
      <c r="H359" s="45" t="str" cm="1">
        <f t="array" ref="H359">GetCSVIndex(A2,262+3402)</f>
        <v/>
      </c>
      <c r="I359" s="29" t="str" cm="1">
        <f t="array" ref="I359">GetCSVIndex(A2,325+3402)</f>
        <v/>
      </c>
      <c r="J359" s="25"/>
      <c r="K359" s="45">
        <v>44</v>
      </c>
      <c r="L359" s="29" t="e" cm="1">
        <f t="array" ref="L359">CHOOSE(GetCSVIndex(A2,165+3402)+1,"","Station","Block","","Delay")</f>
        <v>#VALUE!</v>
      </c>
      <c r="M359" s="29" t="str" cm="1">
        <f t="array" ref="M359">GetCSVIndex(A2,166+3402)</f>
        <v/>
      </c>
      <c r="N359" s="27" t="str" cm="1">
        <f t="array" ref="N359">GetCSVIndex(A2,294+3402)</f>
        <v/>
      </c>
      <c r="O359" s="43" t="str" cm="1">
        <f t="array" ref="O359">GetCSVIndex(A2,357+3402)</f>
        <v/>
      </c>
    </row>
    <row r="360" spans="1:15" ht="21" customHeight="1" x14ac:dyDescent="0.25">
      <c r="A360" s="38" t="s">
        <v>36</v>
      </c>
      <c r="B360" s="30"/>
      <c r="C360" s="29" t="str" cm="1">
        <f t="array" ref="C360">IF(GetCSVIndex(A2,22+3402)&lt;&gt;"65535",CONCATENATE(GetCSVIndex(A2,238+3402),":", GetCSVIndex(A2,248+3402)),"OFF")</f>
        <v>:</v>
      </c>
      <c r="D360" s="25"/>
      <c r="E360" s="45">
        <v>13</v>
      </c>
      <c r="F360" s="29" t="e" cm="1">
        <f t="array" ref="F360">CHOOSE(GetCSVIndex(A2,72+3402)+1,"","Station","Block","","Delay")</f>
        <v>#VALUE!</v>
      </c>
      <c r="G360" s="29" t="str" cm="1">
        <f t="array" ref="G360">GetCSVIndex(A2,73+3402)</f>
        <v/>
      </c>
      <c r="H360" s="45" t="str" cm="1">
        <f t="array" ref="H360">GetCSVIndex(A2,263+3402)</f>
        <v/>
      </c>
      <c r="I360" s="29" t="str" cm="1">
        <f t="array" ref="I360">GetCSVIndex(A2,326+3402)</f>
        <v/>
      </c>
      <c r="J360" s="25"/>
      <c r="K360" s="45">
        <v>45</v>
      </c>
      <c r="L360" s="29" t="e" cm="1">
        <f t="array" ref="L360">CHOOSE(GetCSVIndex(A2,168+3402)+1,"","Station","Block","","Delay")</f>
        <v>#VALUE!</v>
      </c>
      <c r="M360" s="29" t="str" cm="1">
        <f t="array" ref="M360">GetCSVIndex(A2,169+3402)</f>
        <v/>
      </c>
      <c r="N360" s="27" t="str" cm="1">
        <f t="array" ref="N360">GetCSVIndex(A2,295+3402)</f>
        <v/>
      </c>
      <c r="O360" s="43" t="str" cm="1">
        <f t="array" ref="O360">GetCSVIndex(A2,358+3402)</f>
        <v/>
      </c>
    </row>
    <row r="361" spans="1:15" ht="21" customHeight="1" x14ac:dyDescent="0.25">
      <c r="A361" s="36" t="s">
        <v>37</v>
      </c>
      <c r="B361" s="25"/>
      <c r="C361" s="29" t="str" cm="1">
        <f t="array" ref="C361">IF(GetCSVIndex(A2,23+3402)&lt;&gt;"65535",CONCATENATE(GetCSVIndex(A2,230+3402),":", GetCSVIndex(A2,240+3402)),"OFF")</f>
        <v>:</v>
      </c>
      <c r="D361" s="25"/>
      <c r="E361" s="45">
        <v>14</v>
      </c>
      <c r="F361" s="29" t="e" cm="1">
        <f t="array" ref="F361">CHOOSE(GetCSVIndex(A2,75+3402)+1,"","Station","Block","","Delay")</f>
        <v>#VALUE!</v>
      </c>
      <c r="G361" s="29" t="str" cm="1">
        <f t="array" ref="G361">GetCSVIndex(A2,76+3402)</f>
        <v/>
      </c>
      <c r="H361" s="45" t="str" cm="1">
        <f t="array" ref="H361">GetCSVIndex(A2,264+3402)</f>
        <v/>
      </c>
      <c r="I361" s="29" t="str" cm="1">
        <f t="array" ref="I361">GetCSVIndex(A2,327+3402)</f>
        <v/>
      </c>
      <c r="J361" s="25"/>
      <c r="K361" s="45">
        <v>46</v>
      </c>
      <c r="L361" s="29" t="e" cm="1">
        <f t="array" ref="L361">CHOOSE(GetCSVIndex(A2,171+3402)+1,"","Station","Block","","Delay")</f>
        <v>#VALUE!</v>
      </c>
      <c r="M361" s="29" t="str" cm="1">
        <f t="array" ref="M361">GetCSVIndex(A2,172+3402)</f>
        <v/>
      </c>
      <c r="N361" s="27" t="str" cm="1">
        <f t="array" ref="N361">GetCSVIndex(A2,296+3402)</f>
        <v/>
      </c>
      <c r="O361" s="43" t="str" cm="1">
        <f t="array" ref="O361">GetCSVIndex(A2,359+3402)</f>
        <v/>
      </c>
    </row>
    <row r="362" spans="1:15" ht="21" customHeight="1" x14ac:dyDescent="0.25">
      <c r="A362" s="39"/>
      <c r="B362" s="40"/>
      <c r="C362" s="41"/>
      <c r="D362" s="26"/>
      <c r="E362" s="45">
        <v>15</v>
      </c>
      <c r="F362" s="29" t="e" cm="1">
        <f t="array" ref="F362">CHOOSE(GetCSVIndex(A2,78+3402)+1,"","Station","Block","","Delay")</f>
        <v>#VALUE!</v>
      </c>
      <c r="G362" s="29" t="str" cm="1">
        <f t="array" ref="G362">GetCSVIndex(A2,79+3402)</f>
        <v/>
      </c>
      <c r="H362" s="45" t="str" cm="1">
        <f t="array" ref="H362">GetCSVIndex(A2,265+3402)</f>
        <v/>
      </c>
      <c r="I362" s="29" t="str" cm="1">
        <f t="array" ref="I362">GetCSVIndex(A2,328+3402)</f>
        <v/>
      </c>
      <c r="J362" s="26"/>
      <c r="K362" s="45">
        <v>47</v>
      </c>
      <c r="L362" s="29" t="e" cm="1">
        <f t="array" ref="L362">CHOOSE(GetCSVIndex(A2,174+3402)+1,"","Station","Block","","Delay")</f>
        <v>#VALUE!</v>
      </c>
      <c r="M362" s="29" t="str" cm="1">
        <f t="array" ref="M362">GetCSVIndex(A2,175+3402)</f>
        <v/>
      </c>
      <c r="N362" s="27" t="str" cm="1">
        <f t="array" ref="N362">GetCSVIndex(A2,297+3402)</f>
        <v/>
      </c>
      <c r="O362" s="43" t="str" cm="1">
        <f t="array" ref="O362">GetCSVIndex(A2,360+3402)</f>
        <v/>
      </c>
    </row>
    <row r="363" spans="1:15" ht="21" customHeight="1" x14ac:dyDescent="0.25">
      <c r="A363" s="42"/>
      <c r="B363" s="25"/>
      <c r="C363" s="25"/>
      <c r="D363" s="26"/>
      <c r="E363" s="45">
        <v>16</v>
      </c>
      <c r="F363" s="29" t="e" cm="1">
        <f t="array" ref="F363">CHOOSE(GetCSVIndex(A2,81+3402)+1,"","Station","Block","","Delay")</f>
        <v>#VALUE!</v>
      </c>
      <c r="G363" s="29" t="str" cm="1">
        <f t="array" ref="G363">GetCSVIndex(A2,82+3402)</f>
        <v/>
      </c>
      <c r="H363" s="45" t="str" cm="1">
        <f t="array" ref="H363">GetCSVIndex(A2,266+3402)</f>
        <v/>
      </c>
      <c r="I363" s="29" t="str" cm="1">
        <f t="array" ref="I363">GetCSVIndex(A2,329+3402)</f>
        <v/>
      </c>
      <c r="J363" s="25"/>
      <c r="K363" s="45">
        <v>48</v>
      </c>
      <c r="L363" s="29" t="e" cm="1">
        <f t="array" ref="L363">CHOOSE(GetCSVIndex(A2,177+3402)+1,"","Station","Block","","Delay")</f>
        <v>#VALUE!</v>
      </c>
      <c r="M363" s="29" t="str" cm="1">
        <f t="array" ref="M363">GetCSVIndex(A2,178+3402)</f>
        <v/>
      </c>
      <c r="N363" s="27" t="str" cm="1">
        <f t="array" ref="N363">GetCSVIndex(A2,298+3402)</f>
        <v/>
      </c>
      <c r="O363" s="43" t="str" cm="1">
        <f t="array" ref="O363">GetCSVIndex(A2,361+3402)</f>
        <v/>
      </c>
    </row>
    <row r="364" spans="1:15" ht="21" customHeight="1" x14ac:dyDescent="0.25">
      <c r="A364" s="42"/>
      <c r="B364" s="25"/>
      <c r="C364" s="25"/>
      <c r="D364" s="26"/>
      <c r="E364" s="45">
        <v>17</v>
      </c>
      <c r="F364" s="29" t="e" cm="1">
        <f t="array" ref="F364">CHOOSE(GetCSVIndex(A2,84+3402)+1,"","Station","Block","","Delay")</f>
        <v>#VALUE!</v>
      </c>
      <c r="G364" s="29" t="str" cm="1">
        <f t="array" ref="G364">GetCSVIndex(A2,85+3402)</f>
        <v/>
      </c>
      <c r="H364" s="45" t="str" cm="1">
        <f t="array" ref="H364">GetCSVIndex(A2,267+3402)</f>
        <v/>
      </c>
      <c r="I364" s="29" t="str" cm="1">
        <f t="array" ref="I364">GetCSVIndex(A2,330+3402)</f>
        <v/>
      </c>
      <c r="J364" s="26"/>
      <c r="K364" s="45">
        <v>49</v>
      </c>
      <c r="L364" s="29" t="e" cm="1">
        <f t="array" ref="L364">CHOOSE(GetCSVIndex(A2,180+3402)+1,"","Station","Block","","Delay")</f>
        <v>#VALUE!</v>
      </c>
      <c r="M364" s="29" t="str" cm="1">
        <f t="array" ref="M364">GetCSVIndex(A2,181+3402)</f>
        <v/>
      </c>
      <c r="N364" s="27" t="str" cm="1">
        <f t="array" ref="N364">GetCSVIndex(A2,299+3402)</f>
        <v/>
      </c>
      <c r="O364" s="43" t="str" cm="1">
        <f t="array" ref="O364">GetCSVIndex(A2,362+3402)</f>
        <v/>
      </c>
    </row>
    <row r="365" spans="1:15" ht="21" customHeight="1" x14ac:dyDescent="0.25">
      <c r="A365" s="42"/>
      <c r="B365" s="25"/>
      <c r="C365" s="25"/>
      <c r="D365" s="26"/>
      <c r="E365" s="45">
        <v>18</v>
      </c>
      <c r="F365" s="29" t="e" cm="1">
        <f t="array" ref="F365">CHOOSE(GetCSVIndex(A2,87+3402)+1,"","Station","Block","","Delay")</f>
        <v>#VALUE!</v>
      </c>
      <c r="G365" s="29" t="str" cm="1">
        <f t="array" ref="G365">GetCSVIndex(A2,88+3402)</f>
        <v/>
      </c>
      <c r="H365" s="45" t="str" cm="1">
        <f t="array" ref="H365">GetCSVIndex(A2,268+3402)</f>
        <v/>
      </c>
      <c r="I365" s="29" t="str" cm="1">
        <f t="array" ref="I365">GetCSVIndex(A2,331+3402)</f>
        <v/>
      </c>
      <c r="J365" s="26"/>
      <c r="K365" s="45">
        <v>50</v>
      </c>
      <c r="L365" s="29" t="e" cm="1">
        <f t="array" ref="L365">CHOOSE(GetCSVIndex(A2,183+3402)+1,"","Station","Block","","Delay")</f>
        <v>#VALUE!</v>
      </c>
      <c r="M365" s="29" t="str" cm="1">
        <f t="array" ref="M365">GetCSVIndex(A2,184+3402)</f>
        <v/>
      </c>
      <c r="N365" s="27" t="str" cm="1">
        <f t="array" ref="N365">GetCSVIndex(A2,300+3402)</f>
        <v/>
      </c>
      <c r="O365" s="43" t="str" cm="1">
        <f t="array" ref="O365">GetCSVIndex(A2,363+3402)</f>
        <v/>
      </c>
    </row>
    <row r="366" spans="1:15" ht="21" customHeight="1" x14ac:dyDescent="0.25">
      <c r="A366" s="42"/>
      <c r="B366" s="25"/>
      <c r="C366" s="25"/>
      <c r="D366" s="26"/>
      <c r="E366" s="45">
        <v>19</v>
      </c>
      <c r="F366" s="29" t="e" cm="1">
        <f t="array" ref="F366">CHOOSE(GetCSVIndex(A2,90+3402)+1,"","Station","Block","","Delay")</f>
        <v>#VALUE!</v>
      </c>
      <c r="G366" s="29" t="str" cm="1">
        <f t="array" ref="G366">GetCSVIndex(A2,91+3402)</f>
        <v/>
      </c>
      <c r="H366" s="45" t="str" cm="1">
        <f t="array" ref="H366">GetCSVIndex(A2,269+3402)</f>
        <v/>
      </c>
      <c r="I366" s="29" t="str" cm="1">
        <f t="array" ref="I366">GetCSVIndex(A2,332+3402)</f>
        <v/>
      </c>
      <c r="J366" s="26"/>
      <c r="K366" s="45">
        <v>51</v>
      </c>
      <c r="L366" s="29" t="e" cm="1">
        <f t="array" ref="L366">CHOOSE(GetCSVIndex(A2,186+3402)+1,"","Station","Block","","Delay")</f>
        <v>#VALUE!</v>
      </c>
      <c r="M366" s="29" t="str" cm="1">
        <f t="array" ref="M366">GetCSVIndex(A2,187+3402)</f>
        <v/>
      </c>
      <c r="N366" s="27" t="str" cm="1">
        <f t="array" ref="N366">GetCSVIndex(A2,301+3402)</f>
        <v/>
      </c>
      <c r="O366" s="43" t="str" cm="1">
        <f t="array" ref="O366">GetCSVIndex(A2,364+3402)</f>
        <v/>
      </c>
    </row>
    <row r="367" spans="1:15" ht="21" customHeight="1" x14ac:dyDescent="0.25">
      <c r="A367" s="42"/>
      <c r="B367" s="25"/>
      <c r="C367" s="25"/>
      <c r="D367" s="26"/>
      <c r="E367" s="45">
        <v>20</v>
      </c>
      <c r="F367" s="29" t="e" cm="1">
        <f t="array" ref="F367">CHOOSE(GetCSVIndex(A2,93+3402)+1,"","Station","Block","","Delay")</f>
        <v>#VALUE!</v>
      </c>
      <c r="G367" s="29" t="str" cm="1">
        <f t="array" ref="G367">GetCSVIndex(A2,94+3402)</f>
        <v/>
      </c>
      <c r="H367" s="45" t="str" cm="1">
        <f t="array" ref="H367">GetCSVIndex(A2,270+3402)</f>
        <v/>
      </c>
      <c r="I367" s="29" t="str" cm="1">
        <f t="array" ref="I367">GetCSVIndex(A2,333+3402)</f>
        <v/>
      </c>
      <c r="J367" s="26"/>
      <c r="K367" s="45">
        <v>52</v>
      </c>
      <c r="L367" s="29" t="e" cm="1">
        <f t="array" ref="L367">CHOOSE(GetCSVIndex(A2,189+3402)+1,"","Station","Block","","Delay")</f>
        <v>#VALUE!</v>
      </c>
      <c r="M367" s="29" t="str" cm="1">
        <f t="array" ref="M367">GetCSVIndex(A2,190+3402)</f>
        <v/>
      </c>
      <c r="N367" s="27" t="str" cm="1">
        <f t="array" ref="N367">GetCSVIndex(A2,302+3402)</f>
        <v/>
      </c>
      <c r="O367" s="43" t="str" cm="1">
        <f t="array" ref="O367">GetCSVIndex(A2,365+3402)</f>
        <v/>
      </c>
    </row>
    <row r="368" spans="1:15" ht="21" customHeight="1" x14ac:dyDescent="0.25">
      <c r="A368" s="42"/>
      <c r="B368" s="25"/>
      <c r="C368" s="25"/>
      <c r="D368" s="26"/>
      <c r="E368" s="45">
        <v>21</v>
      </c>
      <c r="F368" s="29" t="e" cm="1">
        <f t="array" ref="F368">CHOOSE(GetCSVIndex(A2,96+3402)+1,"","Station","Block","","Delay")</f>
        <v>#VALUE!</v>
      </c>
      <c r="G368" s="29" t="str" cm="1">
        <f t="array" ref="G368">GetCSVIndex(A2,97+3402)</f>
        <v/>
      </c>
      <c r="H368" s="45" t="str" cm="1">
        <f t="array" ref="H368">GetCSVIndex(A2,271+3402)</f>
        <v/>
      </c>
      <c r="I368" s="29" t="str" cm="1">
        <f t="array" ref="I368">GetCSVIndex(A2,334+3402)</f>
        <v/>
      </c>
      <c r="J368" s="26"/>
      <c r="K368" s="45">
        <v>53</v>
      </c>
      <c r="L368" s="29" t="e" cm="1">
        <f t="array" ref="L368">CHOOSE(GetCSVIndex(A2,192+3402)+1,"","Station","Block","","Delay")</f>
        <v>#VALUE!</v>
      </c>
      <c r="M368" s="29" t="str" cm="1">
        <f t="array" ref="M368">GetCSVIndex(A2,193+3402)</f>
        <v/>
      </c>
      <c r="N368" s="27" t="str" cm="1">
        <f t="array" ref="N368">GetCSVIndex(A2,303+3402)</f>
        <v/>
      </c>
      <c r="O368" s="43" t="str" cm="1">
        <f t="array" ref="O368">GetCSVIndex(A2,366+3402)</f>
        <v/>
      </c>
    </row>
    <row r="369" spans="1:15" ht="21" customHeight="1" x14ac:dyDescent="0.25">
      <c r="A369" s="42"/>
      <c r="B369" s="25"/>
      <c r="C369" s="25"/>
      <c r="D369" s="26"/>
      <c r="E369" s="45">
        <v>22</v>
      </c>
      <c r="F369" s="29" t="e" cm="1">
        <f t="array" ref="F369">CHOOSE(GetCSVIndex(A2,99+3402)+1,"","Station","Block","","Delay")</f>
        <v>#VALUE!</v>
      </c>
      <c r="G369" s="29" t="str" cm="1">
        <f t="array" ref="G369">GetCSVIndex(A2,100+3402)</f>
        <v/>
      </c>
      <c r="H369" s="45" t="str" cm="1">
        <f t="array" ref="H369">GetCSVIndex(A2,272+3402)</f>
        <v/>
      </c>
      <c r="I369" s="29" t="str" cm="1">
        <f t="array" ref="I369">GetCSVIndex(A2,335+3402)</f>
        <v/>
      </c>
      <c r="J369" s="26"/>
      <c r="K369" s="45">
        <v>54</v>
      </c>
      <c r="L369" s="29" t="e" cm="1">
        <f t="array" ref="L369">CHOOSE(GetCSVIndex(A2,195+3402)+1,"","Station","Block","","Delay")</f>
        <v>#VALUE!</v>
      </c>
      <c r="M369" s="29" t="str" cm="1">
        <f t="array" ref="M369">GetCSVIndex(A2,196+3402)</f>
        <v/>
      </c>
      <c r="N369" s="27" t="str" cm="1">
        <f t="array" ref="N369">GetCSVIndex(A2,304+3402)</f>
        <v/>
      </c>
      <c r="O369" s="43" t="str" cm="1">
        <f t="array" ref="O369">GetCSVIndex(A2,367+3402)</f>
        <v/>
      </c>
    </row>
    <row r="370" spans="1:15" ht="21" customHeight="1" x14ac:dyDescent="0.25">
      <c r="A370" s="42"/>
      <c r="B370" s="25"/>
      <c r="C370" s="25"/>
      <c r="D370" s="26"/>
      <c r="E370" s="45">
        <v>23</v>
      </c>
      <c r="F370" s="29" t="e" cm="1">
        <f t="array" ref="F370">CHOOSE(GetCSVIndex(A2,102+3402)+1,"","Station","Block","","Delay")</f>
        <v>#VALUE!</v>
      </c>
      <c r="G370" s="29" t="str" cm="1">
        <f t="array" ref="G370">GetCSVIndex(A2,103+3402)</f>
        <v/>
      </c>
      <c r="H370" s="45" t="str" cm="1">
        <f t="array" ref="H370">GetCSVIndex(A2,273+3402)</f>
        <v/>
      </c>
      <c r="I370" s="29" t="str" cm="1">
        <f t="array" ref="I370">GetCSVIndex(A2,336+3402)</f>
        <v/>
      </c>
      <c r="J370" s="26"/>
      <c r="K370" s="45">
        <v>55</v>
      </c>
      <c r="L370" s="29" t="e" cm="1">
        <f t="array" ref="L370">CHOOSE(GetCSVIndex(A2,198+3402)+1,"","Station","Block","","Delay")</f>
        <v>#VALUE!</v>
      </c>
      <c r="M370" s="29" t="str" cm="1">
        <f t="array" ref="M370">GetCSVIndex(A2,199+3402)</f>
        <v/>
      </c>
      <c r="N370" s="27" t="str" cm="1">
        <f t="array" ref="N370">GetCSVIndex(A2,305+3402)</f>
        <v/>
      </c>
      <c r="O370" s="43" t="str" cm="1">
        <f t="array" ref="O370">GetCSVIndex(A2,368+3402)</f>
        <v/>
      </c>
    </row>
    <row r="371" spans="1:15" ht="21" customHeight="1" x14ac:dyDescent="0.25">
      <c r="A371" s="42"/>
      <c r="B371" s="25"/>
      <c r="C371" s="25"/>
      <c r="D371" s="26"/>
      <c r="E371" s="45">
        <v>24</v>
      </c>
      <c r="F371" s="29" t="e" cm="1">
        <f t="array" ref="F371">CHOOSE(GetCSVIndex(A2,105+3402)+1,"","Station","Block","","Delay")</f>
        <v>#VALUE!</v>
      </c>
      <c r="G371" s="29" t="str" cm="1">
        <f t="array" ref="G371">GetCSVIndex(A2,106+3402)</f>
        <v/>
      </c>
      <c r="H371" s="45" t="str" cm="1">
        <f t="array" ref="H371">GetCSVIndex(A2,274+3402)</f>
        <v/>
      </c>
      <c r="I371" s="29" t="str" cm="1">
        <f t="array" ref="I371">GetCSVIndex(A2,337+3402)</f>
        <v/>
      </c>
      <c r="J371" s="26"/>
      <c r="K371" s="45">
        <v>56</v>
      </c>
      <c r="L371" s="29" t="e" cm="1">
        <f t="array" ref="L371">CHOOSE(GetCSVIndex(A2,201+3402)+1,"","Station","Block","","Delay")</f>
        <v>#VALUE!</v>
      </c>
      <c r="M371" s="29" t="str" cm="1">
        <f t="array" ref="M371">GetCSVIndex(A2,202+3402)</f>
        <v/>
      </c>
      <c r="N371" s="27" t="str" cm="1">
        <f t="array" ref="N371">GetCSVIndex(A2,306+3402)</f>
        <v/>
      </c>
      <c r="O371" s="43" t="str" cm="1">
        <f t="array" ref="O371">GetCSVIndex(A2,369+3402)</f>
        <v/>
      </c>
    </row>
    <row r="372" spans="1:15" ht="21" customHeight="1" x14ac:dyDescent="0.25">
      <c r="A372" s="42"/>
      <c r="B372" s="25"/>
      <c r="C372" s="25"/>
      <c r="D372" s="26"/>
      <c r="E372" s="45">
        <v>25</v>
      </c>
      <c r="F372" s="29" t="e" cm="1">
        <f t="array" ref="F372">CHOOSE(GetCSVIndex(A2,108+3402)+1,"","Station","Block","","Delay")</f>
        <v>#VALUE!</v>
      </c>
      <c r="G372" s="29" t="str" cm="1">
        <f t="array" ref="G372">GetCSVIndex(A2,109+3402)</f>
        <v/>
      </c>
      <c r="H372" s="45" t="str" cm="1">
        <f t="array" ref="H372">GetCSVIndex(A2,275+3402)</f>
        <v/>
      </c>
      <c r="I372" s="29" t="str" cm="1">
        <f t="array" ref="I372">GetCSVIndex(A2,338+3402)</f>
        <v/>
      </c>
      <c r="J372" s="26"/>
      <c r="K372" s="45">
        <v>57</v>
      </c>
      <c r="L372" s="29" t="e" cm="1">
        <f t="array" ref="L372">CHOOSE(GetCSVIndex(A2,204+3402)+1,"","Station","Block","","Delay")</f>
        <v>#VALUE!</v>
      </c>
      <c r="M372" s="29" t="str" cm="1">
        <f t="array" ref="M372">GetCSVIndex(A2,205+3402)</f>
        <v/>
      </c>
      <c r="N372" s="27" t="str" cm="1">
        <f t="array" ref="N372">GetCSVIndex(A2,307+3402)</f>
        <v/>
      </c>
      <c r="O372" s="43" t="str" cm="1">
        <f t="array" ref="O372">GetCSVIndex(A2,370+3402)</f>
        <v/>
      </c>
    </row>
    <row r="373" spans="1:15" ht="21" customHeight="1" x14ac:dyDescent="0.25">
      <c r="A373" s="42"/>
      <c r="B373" s="25"/>
      <c r="C373" s="25"/>
      <c r="D373" s="26"/>
      <c r="E373" s="45">
        <v>26</v>
      </c>
      <c r="F373" s="29" t="e" cm="1">
        <f t="array" ref="F373">CHOOSE(GetCSVIndex(A2,111+3402)+1,"","Station","Block","","Delay")</f>
        <v>#VALUE!</v>
      </c>
      <c r="G373" s="29" t="str" cm="1">
        <f t="array" ref="G373">GetCSVIndex(A2,112+3402)</f>
        <v/>
      </c>
      <c r="H373" s="45" t="str" cm="1">
        <f t="array" ref="H373">GetCSVIndex(A2,276+3402)</f>
        <v/>
      </c>
      <c r="I373" s="29" t="str" cm="1">
        <f t="array" ref="I373">GetCSVIndex(A2,339+3402)</f>
        <v/>
      </c>
      <c r="J373" s="26"/>
      <c r="K373" s="45">
        <v>58</v>
      </c>
      <c r="L373" s="29" t="e" cm="1">
        <f t="array" ref="L373">CHOOSE(GetCSVIndex(A2,207+3402)+1,"","Station","Block","","Delay")</f>
        <v>#VALUE!</v>
      </c>
      <c r="M373" s="29" t="str" cm="1">
        <f t="array" ref="M373">GetCSVIndex(A2,208+3402)</f>
        <v/>
      </c>
      <c r="N373" s="27" t="str" cm="1">
        <f t="array" ref="N373">GetCSVIndex(A2,308+3402)</f>
        <v/>
      </c>
      <c r="O373" s="43" t="str" cm="1">
        <f t="array" ref="O373">GetCSVIndex(A2,371+3402)</f>
        <v/>
      </c>
    </row>
    <row r="374" spans="1:15" ht="21" customHeight="1" x14ac:dyDescent="0.25">
      <c r="A374" s="42"/>
      <c r="B374" s="25"/>
      <c r="C374" s="25"/>
      <c r="D374" s="26"/>
      <c r="E374" s="45">
        <v>27</v>
      </c>
      <c r="F374" s="29" t="e" cm="1">
        <f t="array" ref="F374">CHOOSE(GetCSVIndex(A2,114+3402)+1,"","Station","Block","","Delay")</f>
        <v>#VALUE!</v>
      </c>
      <c r="G374" s="29" t="str" cm="1">
        <f t="array" ref="G374">GetCSVIndex(A2,115+3402)</f>
        <v/>
      </c>
      <c r="H374" s="45" t="str" cm="1">
        <f t="array" ref="H374">GetCSVIndex(A2,277+3402)</f>
        <v/>
      </c>
      <c r="I374" s="29" t="str" cm="1">
        <f t="array" ref="I374">GetCSVIndex(A2,340+3402)</f>
        <v/>
      </c>
      <c r="J374" s="26"/>
      <c r="K374" s="45">
        <v>59</v>
      </c>
      <c r="L374" s="29" t="e" cm="1">
        <f t="array" ref="L374">CHOOSE(GetCSVIndex(A2,210+3402)+1,"","Station","Block","","Delay")</f>
        <v>#VALUE!</v>
      </c>
      <c r="M374" s="29" t="str" cm="1">
        <f t="array" ref="M374">GetCSVIndex(A2,211+3402)</f>
        <v/>
      </c>
      <c r="N374" s="27" t="str" cm="1">
        <f t="array" ref="N374">GetCSVIndex(A2,309+3402)</f>
        <v/>
      </c>
      <c r="O374" s="43" t="str" cm="1">
        <f t="array" ref="O374">GetCSVIndex(A2,372+3402)</f>
        <v/>
      </c>
    </row>
    <row r="375" spans="1:15" ht="21" customHeight="1" x14ac:dyDescent="0.25">
      <c r="A375" s="42"/>
      <c r="B375" s="25"/>
      <c r="C375" s="25"/>
      <c r="D375" s="26"/>
      <c r="E375" s="45">
        <v>28</v>
      </c>
      <c r="F375" s="29" t="e" cm="1">
        <f t="array" ref="F375">CHOOSE(GetCSVIndex(A2,117+3402)+1,"","Station","Block","","Delay")</f>
        <v>#VALUE!</v>
      </c>
      <c r="G375" s="29" t="str" cm="1">
        <f t="array" ref="G375">GetCSVIndex(A2,118+3402)</f>
        <v/>
      </c>
      <c r="H375" s="45" t="str" cm="1">
        <f t="array" ref="H375">GetCSVIndex(A2,278+3402)</f>
        <v/>
      </c>
      <c r="I375" s="29" t="str" cm="1">
        <f t="array" ref="I375">GetCSVIndex(A2,341+3402)</f>
        <v/>
      </c>
      <c r="J375" s="26"/>
      <c r="K375" s="45">
        <v>60</v>
      </c>
      <c r="L375" s="29" t="e" cm="1">
        <f t="array" ref="L375">CHOOSE(GetCSVIndex(A2,213+3402)+1,"","Station","Block","","Delay")</f>
        <v>#VALUE!</v>
      </c>
      <c r="M375" s="29" t="str" cm="1">
        <f t="array" ref="M375">GetCSVIndex(A2,214+3402)</f>
        <v/>
      </c>
      <c r="N375" s="27" t="str" cm="1">
        <f t="array" ref="N375">GetCSVIndex(A2,310+3402)</f>
        <v/>
      </c>
      <c r="O375" s="43" t="str" cm="1">
        <f t="array" ref="O375">GetCSVIndex(A2,373+3402)</f>
        <v/>
      </c>
    </row>
    <row r="376" spans="1:15" ht="21" customHeight="1" x14ac:dyDescent="0.25">
      <c r="A376" s="42"/>
      <c r="B376" s="25"/>
      <c r="C376" s="25"/>
      <c r="D376" s="26"/>
      <c r="E376" s="45">
        <v>29</v>
      </c>
      <c r="F376" s="29" t="e" cm="1">
        <f t="array" ref="F376">CHOOSE(GetCSVIndex(A2,120+3402)+1,"","Station","Block","","Delay")</f>
        <v>#VALUE!</v>
      </c>
      <c r="G376" s="29" t="str" cm="1">
        <f t="array" ref="G376">GetCSVIndex(A2,121+3402)</f>
        <v/>
      </c>
      <c r="H376" s="45" t="str" cm="1">
        <f t="array" ref="H376">GetCSVIndex(A2,279+3402)</f>
        <v/>
      </c>
      <c r="I376" s="29" t="str" cm="1">
        <f t="array" ref="I376">GetCSVIndex(A2,342+3402)</f>
        <v/>
      </c>
      <c r="J376" s="26"/>
      <c r="K376" s="45">
        <v>61</v>
      </c>
      <c r="L376" s="29" t="e" cm="1">
        <f t="array" ref="L376">CHOOSE(GetCSVIndex(A2,216+3402)+1,"","Station","Block","","Delay")</f>
        <v>#VALUE!</v>
      </c>
      <c r="M376" s="29" t="str" cm="1">
        <f t="array" ref="M376">GetCSVIndex(A2,217+3402)</f>
        <v/>
      </c>
      <c r="N376" s="27" t="str" cm="1">
        <f t="array" ref="N376">GetCSVIndex(A2,311+3402)</f>
        <v/>
      </c>
      <c r="O376" s="43" t="str" cm="1">
        <f t="array" ref="O376">GetCSVIndex(A2,374+3402)</f>
        <v/>
      </c>
    </row>
    <row r="377" spans="1:15" ht="21" customHeight="1" x14ac:dyDescent="0.25">
      <c r="A377" s="42"/>
      <c r="B377" s="25"/>
      <c r="C377" s="25"/>
      <c r="D377" s="26"/>
      <c r="E377" s="45">
        <v>30</v>
      </c>
      <c r="F377" s="29" t="e" cm="1">
        <f t="array" ref="F377">CHOOSE(GetCSVIndex(A2,123+3402)+1,"","Station","Block","","Delay")</f>
        <v>#VALUE!</v>
      </c>
      <c r="G377" s="29" t="str" cm="1">
        <f t="array" ref="G377">GetCSVIndex(A2,124+3402)</f>
        <v/>
      </c>
      <c r="H377" s="45" t="str" cm="1">
        <f t="array" ref="H377">GetCSVIndex(A2,280+3402)</f>
        <v/>
      </c>
      <c r="I377" s="29" t="str" cm="1">
        <f t="array" ref="I377">GetCSVIndex(A2,343+3402)</f>
        <v/>
      </c>
      <c r="J377" s="26"/>
      <c r="K377" s="45">
        <v>62</v>
      </c>
      <c r="L377" s="29" t="e" cm="1">
        <f t="array" ref="L377">CHOOSE(GetCSVIndex(A2,219+3402)+1,"","Station","Block","","Delay")</f>
        <v>#VALUE!</v>
      </c>
      <c r="M377" s="29" t="str" cm="1">
        <f t="array" ref="M377">GetCSVIndex(A2,220+3402)</f>
        <v/>
      </c>
      <c r="N377" s="27" t="str" cm="1">
        <f t="array" ref="N377">GetCSVIndex(A2,312+3402)</f>
        <v/>
      </c>
      <c r="O377" s="43" t="str" cm="1">
        <f t="array" ref="O377">GetCSVIndex(A2,375+3402)</f>
        <v/>
      </c>
    </row>
    <row r="378" spans="1:15" ht="21" customHeight="1" x14ac:dyDescent="0.25">
      <c r="A378" s="42"/>
      <c r="B378" s="25"/>
      <c r="C378" s="25"/>
      <c r="D378" s="26"/>
      <c r="E378" s="45">
        <v>31</v>
      </c>
      <c r="F378" s="29" t="e" cm="1">
        <f t="array" ref="F378">CHOOSE(GetCSVIndex(A2,126+3402)+1,"","Station","Block","","Delay")</f>
        <v>#VALUE!</v>
      </c>
      <c r="G378" s="29" t="str" cm="1">
        <f t="array" ref="G378">GetCSVIndex(A2,127+3402)</f>
        <v/>
      </c>
      <c r="H378" s="45" t="str" cm="1">
        <f t="array" ref="H378">GetCSVIndex(A2,281+3402)</f>
        <v/>
      </c>
      <c r="I378" s="29" t="str" cm="1">
        <f t="array" ref="I378">GetCSVIndex(A2,344+3402)</f>
        <v/>
      </c>
      <c r="J378" s="26"/>
      <c r="K378" s="45">
        <v>63</v>
      </c>
      <c r="L378" s="29" t="e" cm="1">
        <f t="array" ref="L378">CHOOSE(GetCSVIndex(A2,222+3402)+1,"","Station","Block","","Delay")</f>
        <v>#VALUE!</v>
      </c>
      <c r="M378" s="29" t="str" cm="1">
        <f t="array" ref="M378">GetCSVIndex(A2,223+3402)</f>
        <v/>
      </c>
      <c r="N378" s="27" t="str" cm="1">
        <f t="array" ref="N378">GetCSVIndex(A2,313+3402)</f>
        <v/>
      </c>
      <c r="O378" s="43" t="str" cm="1">
        <f t="array" ref="O378">GetCSVIndex(A2,376+3402)</f>
        <v/>
      </c>
    </row>
    <row r="379" spans="1:15" ht="21" customHeight="1" x14ac:dyDescent="0.25">
      <c r="A379" s="37"/>
      <c r="B379" s="28"/>
      <c r="C379" s="29"/>
      <c r="D379" s="29"/>
      <c r="E379" s="45">
        <v>32</v>
      </c>
      <c r="F379" s="29" t="e" cm="1">
        <f t="array" ref="F379">CHOOSE(GetCSVIndex(A2,129+3402)+1,"","Station","Block","","Delay")</f>
        <v>#VALUE!</v>
      </c>
      <c r="G379" s="29" t="str" cm="1">
        <f t="array" ref="G379">GetCSVIndex(A2,130+3402)</f>
        <v/>
      </c>
      <c r="H379" s="45" t="str" cm="1">
        <f t="array" ref="H379">GetCSVIndex(A2,282+3402)</f>
        <v/>
      </c>
      <c r="I379" s="29" t="str" cm="1">
        <f t="array" ref="I379">GetCSVIndex(A2,345+3402)</f>
        <v/>
      </c>
      <c r="J379" s="29"/>
      <c r="K379" s="45">
        <v>64</v>
      </c>
      <c r="L379" s="29" t="e" cm="1">
        <f t="array" ref="L379">CHOOSE(GetCSVIndex(A2,225+3402)+1,"","Station","Block","","Delay")</f>
        <v>#VALUE!</v>
      </c>
      <c r="M379" s="29" t="str" cm="1">
        <f t="array" ref="M379">GetCSVIndex(A2,226+3402)</f>
        <v/>
      </c>
      <c r="N379" s="27" t="str" cm="1">
        <f t="array" ref="N379">GetCSVIndex(A2,314+3402)</f>
        <v/>
      </c>
      <c r="O379" s="43" t="str" cm="1">
        <f t="array" ref="O379">GetCSVIndex(A2,377+3402)</f>
        <v/>
      </c>
    </row>
    <row r="380" spans="1:15" ht="23.25" customHeight="1" x14ac:dyDescent="0.25">
      <c r="A380" s="51" t="str" cm="1">
        <f t="array" ref="A380">CONCATENATE("Schedule  Program Number : ", GetCSVIndex(A2,5+3780))</f>
        <v xml:space="preserve">Schedule  Program Number : </v>
      </c>
      <c r="B380" s="52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3"/>
    </row>
    <row r="381" spans="1:15" ht="21" customHeight="1" x14ac:dyDescent="0.25">
      <c r="A381" s="20" t="s">
        <v>44</v>
      </c>
      <c r="B381" s="22" t="str" cm="1">
        <f t="array" ref="B381">GetCSVIndex(A2,5+3780)</f>
        <v/>
      </c>
      <c r="C381" s="18"/>
      <c r="D381" s="18"/>
      <c r="E381" s="18"/>
      <c r="F381" s="18"/>
      <c r="G381" s="18" t="s">
        <v>19</v>
      </c>
      <c r="H381" s="18" t="e" cm="1">
        <f t="array" ref="H381">CHOOSE(GetCSVIndex(A2,7+3780)+1, "Days of Week", "Odd/Even", "Interval","Manual")</f>
        <v>#VALUE!</v>
      </c>
      <c r="I381" s="18"/>
      <c r="J381" s="15"/>
      <c r="K381" s="15"/>
      <c r="L381" s="15"/>
      <c r="M381" s="15"/>
      <c r="N381" s="15"/>
      <c r="O381" s="16"/>
    </row>
    <row r="382" spans="1:15" ht="18" customHeight="1" x14ac:dyDescent="0.25">
      <c r="A382" s="21" t="s">
        <v>20</v>
      </c>
      <c r="B382" s="19" t="e" cm="1">
        <f t="array" ref="B382">CHOOSE(GetCSVIndex(A2,24+3780)+1, "Program", "Global", "Monthly","Solar Sync")</f>
        <v>#VALUE!</v>
      </c>
      <c r="C382" s="19"/>
      <c r="D382" s="19"/>
      <c r="E382" s="19"/>
      <c r="F382" s="19" t="s">
        <v>21</v>
      </c>
      <c r="G382" s="19" t="e" cm="1">
        <f t="array" ref="G382">IF(CHOOSE(GetCSVIndex(A2,7+3780)+1,IF(_xlfn.BITAND(GetCSVIndex(A2,8+3780), 2^0)=0, 0, 1),IF(_xlfn.BITAND(GetCSVIndex(A2,9+3780), 2^0)=0, 0, 1),IF(_xlfn.BITAND(GetCSVIndex(A2,10+3780), 2^0)=0, 0, 1)) =1,"Mon","")</f>
        <v>#VALUE!</v>
      </c>
      <c r="H382" s="19" t="e" cm="1">
        <f t="array" ref="H382">CONCATENATE(IF(CHOOSE(GetCSVIndex(A2,7+3780)+1,IF(_xlfn.BITAND(GetCSVIndex(A2,8+3780), 2^1)=0, 0, 1),IF(_xlfn.BITAND(GetCSVIndex(A2,9+3780), 2^1)=0, 0, 1),IF(_xlfn.BITAND(GetCSVIndex(A2,10+3780), 2^1)=0, 0, 1)) =1,"Tue       ","       "),IF(CHOOSE(GetCSVIndex(A2,7+3780)+1,IF(_xlfn.BITAND(GetCSVIndex(A2,8+3780), 2^2)=0, 0, 1),IF(_xlfn.BITAND(GetCSVIndex(A2,9+3780), 2^2)=0, 0, 1),IF(_xlfn.BITAND(GetCSVIndex(A2,10+3780), 2^2)=0, 0, 1)) =1,"Wed",""),IF(CHOOSE(GetCSVIndex(A2,7+3780)+1,IF(_xlfn.BITAND(GetCSVIndex(A2,8+3780), 2^3)=0, 0, 1),IF(_xlfn.BITAND(GetCSVIndex(A2,9+3780), 2^3)=0, 0, 1),IF(_xlfn.BITAND(GetCSVIndex(A2,10+3780), 2^3)=0, 0, 1)) =1,"       Thu","       "))</f>
        <v>#VALUE!</v>
      </c>
      <c r="I382" s="32" t="e" cm="1">
        <f t="array" ref="I382">CONCATENATE(IF(CHOOSE(GetCSVIndex(A2,7+3780)+1,IF(_xlfn.BITAND(GetCSVIndex(A2,8+3780), 2^4)=0, 0, 1),IF(_xlfn.BITAND(GetCSVIndex(A2,9+3780), 2^4)=0, 0, 1),IF(_xlfn.BITAND(GetCSVIndex(A2,10+3780), 2^4)=0, 0, 1)) =1,"Fri       ","       "),IF(CHOOSE(GetCSVIndex(A2,7+3780)+1,IF(_xlfn.BITAND(GetCSVIndex(A2,8+3780), 2^5)=0, 0, 1),IF(_xlfn.BITAND(GetCSVIndex(A2,9+3780), 2^5)=0, 0, 1),IF(_xlfn.BITAND(GetCSVIndex(A2,10+3780), 2^5)=0, 0, 1)) =1,"Sat",""),IF(CHOOSE(GetCSVIndex(A2,7+3780)+1,IF(_xlfn.BITAND(GetCSVIndex(A2,8+3780), 2^6)=0, 0, 1),IF(_xlfn.BITAND(GetCSVIndex(A2,9+3780), 2^6)=0, 0, 1),IF(_xlfn.BITAND(GetCSVIndex(A2,10+3780), 2^6)=0, 0, 1)) =1,"       Sun","       "))</f>
        <v>#VALUE!</v>
      </c>
      <c r="J382" s="19"/>
      <c r="K382" s="19"/>
      <c r="L382" s="32" t="s">
        <v>22</v>
      </c>
      <c r="M382" s="19"/>
      <c r="N382" s="19" t="str" cm="1">
        <f t="array" ref="N382">IF(GetCSVIndex(A2,26+3780)="1","Enable","Disable")</f>
        <v>Disable</v>
      </c>
      <c r="O382" s="24"/>
    </row>
    <row r="383" spans="1:15" ht="18" customHeight="1" x14ac:dyDescent="0.25">
      <c r="A383" s="21" t="str" cm="1">
        <f t="array" ref="A383">CONCATENATE("Program ", GetCSVIndex(A2,5+3780))</f>
        <v xml:space="preserve">Program </v>
      </c>
      <c r="B383" s="23" t="str" cm="1">
        <f t="array" ref="B383">CONCATENATE(GetCSVIndex(A2,25+3780)," %")</f>
        <v xml:space="preserve"> %</v>
      </c>
      <c r="C383" s="19"/>
      <c r="D383" s="19"/>
      <c r="E383" s="19"/>
      <c r="F383" s="19" t="str" cm="1">
        <f t="array" ref="F383">IF(GetCSVIndex(A2,7)="2","Water Every"," ")</f>
        <v xml:space="preserve"> </v>
      </c>
      <c r="G383" s="47" t="str" cm="1">
        <f t="array" ref="G383">IF(GetCSVIndex(A2,7+3780)="2",GetCSVIndex(A2,11+3780)," ")</f>
        <v xml:space="preserve"> </v>
      </c>
      <c r="H383" s="19" t="str" cm="1">
        <f t="array" ref="H383">IF(GetCSVIndex(A2,7+3780)="2","Days"," ")</f>
        <v xml:space="preserve"> </v>
      </c>
      <c r="I383" s="32" t="str" cm="1">
        <f t="array" ref="I383">IF(GetCSVIndex(A2,7+3780)="2","Water After"," ")</f>
        <v xml:space="preserve"> </v>
      </c>
      <c r="J383" s="19"/>
      <c r="K383" s="19" t="str" cm="1">
        <f t="array" ref="K383">IF(GetCSVIndex(A2,7+3780)="2",GetCSVIndex(A2,12+3780)," ")</f>
        <v xml:space="preserve"> </v>
      </c>
      <c r="L383" s="47" t="str" cm="1">
        <f t="array" ref="L383">IF(GetCSVIndex(A2,7+3780)="2","Days"," ")</f>
        <v xml:space="preserve"> </v>
      </c>
      <c r="M383" s="32"/>
      <c r="N383" s="32"/>
      <c r="O383" s="24"/>
    </row>
    <row r="384" spans="1:15" ht="21" customHeight="1" x14ac:dyDescent="0.25">
      <c r="A384" s="20" t="s">
        <v>23</v>
      </c>
      <c r="B384" s="18" t="s">
        <v>24</v>
      </c>
      <c r="C384" s="18" t="str" cm="1">
        <f t="array" ref="C384">CHOOSE(GetCSVIndex(A2,13)+1, "Auto", "Start to End","Manual")</f>
        <v>Start to End</v>
      </c>
      <c r="D384" s="31"/>
      <c r="E384" s="17" t="s">
        <v>38</v>
      </c>
      <c r="F384" s="18" t="s">
        <v>39</v>
      </c>
      <c r="G384" s="18" t="s">
        <v>40</v>
      </c>
      <c r="H384" s="18" t="s">
        <v>41</v>
      </c>
      <c r="I384" s="18" t="s">
        <v>43</v>
      </c>
      <c r="J384" s="31"/>
      <c r="K384" s="17" t="s">
        <v>38</v>
      </c>
      <c r="L384" s="18" t="s">
        <v>39</v>
      </c>
      <c r="M384" s="18" t="s">
        <v>40</v>
      </c>
      <c r="N384" s="22" t="s">
        <v>41</v>
      </c>
      <c r="O384" s="44" t="s">
        <v>42</v>
      </c>
    </row>
    <row r="385" spans="1:15" ht="21" customHeight="1" x14ac:dyDescent="0.25">
      <c r="A385" s="36" t="s">
        <v>25</v>
      </c>
      <c r="B385" s="46" t="str" cm="1">
        <f t="array" ref="B385">IF(GetCSVIndex(A2,6+3780)="1","Over","Stack")</f>
        <v>Stack</v>
      </c>
      <c r="C385" s="26" t="str" cm="1">
        <f t="array" ref="C385">GetCSVIndex(A2,29+3780)</f>
        <v/>
      </c>
      <c r="D385" s="25"/>
      <c r="E385" s="45">
        <v>1</v>
      </c>
      <c r="F385" s="29" t="e" cm="1">
        <f t="array" ref="F385">CHOOSE(GetCSVIndex(A2,36+3780)+1,"","Station","Block","","Delay")</f>
        <v>#VALUE!</v>
      </c>
      <c r="G385" s="29" t="str" cm="1">
        <f t="array" ref="G385">GetCSVIndex(A2,37+3780)</f>
        <v/>
      </c>
      <c r="H385" s="45" t="str" cm="1">
        <f t="array" ref="H385">GetCSVIndex(A2,3+3780)</f>
        <v/>
      </c>
      <c r="I385" s="29" t="str" cm="1">
        <f t="array" ref="I385">GetCSVIndex(A2,1+3780)</f>
        <v/>
      </c>
      <c r="J385" s="25"/>
      <c r="K385" s="45">
        <v>33</v>
      </c>
      <c r="L385" s="29" t="e" cm="1">
        <f t="array" ref="L385">CHOOSE(GetCSVIndex(A2,132+3780)+1,"","Station","Block","","Delay")</f>
        <v>#VALUE!</v>
      </c>
      <c r="M385" s="29" t="str" cm="1">
        <f t="array" ref="M385">GetCSVIndex(A2,133+3780)</f>
        <v/>
      </c>
      <c r="N385" s="27" t="str" cm="1">
        <f t="array" ref="N385">GetCSVIndex(A2,283+3780)</f>
        <v/>
      </c>
      <c r="O385" s="43" t="str" cm="1">
        <f t="array" ref="O385">GetCSVIndex(A2,346+3780)</f>
        <v/>
      </c>
    </row>
    <row r="386" spans="1:15" ht="21" customHeight="1" x14ac:dyDescent="0.25">
      <c r="A386" s="36" t="s">
        <v>26</v>
      </c>
      <c r="B386" s="25" t="str" cm="1">
        <f t="array" ref="B386">IF(GetCSVIndex(A2,2+3780)="1092:15","Not Set",CONCATENATE("From     ",GetCSVIndex(A2,2+3780)))</f>
        <v xml:space="preserve">From     </v>
      </c>
      <c r="C386" s="26" t="str" cm="1">
        <f t="array" ref="C386">IF(GetCSVIndex(C4,1+20)="1092:15","Not Set",CONCATENATE("To     ",GetCSVIndex(C4,1+20)))</f>
        <v xml:space="preserve">To     </v>
      </c>
      <c r="D386" s="25"/>
      <c r="E386" s="45">
        <v>2</v>
      </c>
      <c r="F386" s="29" t="e" cm="1">
        <f t="array" ref="F386">CHOOSE(GetCSVIndex(A2,39+3780)+1,"","Station","Block","","Delay")</f>
        <v>#VALUE!</v>
      </c>
      <c r="G386" s="29" t="str" cm="1">
        <f t="array" ref="G386">GetCSVIndex(A2,40+3780)</f>
        <v/>
      </c>
      <c r="H386" s="45" t="str" cm="1">
        <f t="array" ref="H386">GetCSVIndex(A2,252+3780)</f>
        <v/>
      </c>
      <c r="I386" s="29" t="str" cm="1">
        <f t="array" ref="I386">GetCSVIndex(A2,315+3780)</f>
        <v/>
      </c>
      <c r="J386" s="25"/>
      <c r="K386" s="45">
        <v>34</v>
      </c>
      <c r="L386" s="29" t="e" cm="1">
        <f t="array" ref="L386">CHOOSE(GetCSVIndex(A2,135+3780)+1,"","Station","Block","","Delay")</f>
        <v>#VALUE!</v>
      </c>
      <c r="M386" s="29" t="str" cm="1">
        <f t="array" ref="M386">GetCSVIndex(A2,136+3780)</f>
        <v/>
      </c>
      <c r="N386" s="27" t="str" cm="1">
        <f t="array" ref="N386">GetCSVIndex(A2,284+3780)</f>
        <v/>
      </c>
      <c r="O386" s="43" t="str" cm="1">
        <f t="array" ref="O386">GetCSVIndex(A2,347+3780)</f>
        <v/>
      </c>
    </row>
    <row r="387" spans="1:15" ht="21" customHeight="1" x14ac:dyDescent="0.25">
      <c r="A387" s="36" t="s">
        <v>27</v>
      </c>
      <c r="B387" s="25"/>
      <c r="C387" s="26" t="str" cm="1">
        <f t="array" ref="C387">CONCATENATE(GetCSVIndex(A2,249+3780),":", GetCSVIndex(A2,250+3780),":", GetCSVIndex(A2,251+3780))</f>
        <v>::</v>
      </c>
      <c r="D387" s="26"/>
      <c r="E387" s="45">
        <v>3</v>
      </c>
      <c r="F387" s="29" t="e" cm="1">
        <f t="array" ref="F387">CHOOSE(GetCSVIndex(A2,42+3780)+1,"","Station","Block","","Delay")</f>
        <v>#VALUE!</v>
      </c>
      <c r="G387" s="29" t="str" cm="1">
        <f t="array" ref="G387">GetCSVIndex(A2,43+3780)</f>
        <v/>
      </c>
      <c r="H387" s="45" t="str" cm="1">
        <f t="array" ref="H387">GetCSVIndex(A2,253+3780)</f>
        <v/>
      </c>
      <c r="I387" s="29" t="str" cm="1">
        <f t="array" ref="I387">GetCSVIndex(A2,316+3780)</f>
        <v/>
      </c>
      <c r="J387" s="25"/>
      <c r="K387" s="45">
        <v>35</v>
      </c>
      <c r="L387" s="29" t="e" cm="1">
        <f t="array" ref="L387">CHOOSE(GetCSVIndex(A2,138+3780)+1,"","Station","Block","","Delay")</f>
        <v>#VALUE!</v>
      </c>
      <c r="M387" s="29" t="str" cm="1">
        <f t="array" ref="M387">GetCSVIndex(A2,139+3780)</f>
        <v/>
      </c>
      <c r="N387" s="27" t="str" cm="1">
        <f t="array" ref="N387">GetCSVIndex(A2,285+3780)</f>
        <v/>
      </c>
      <c r="O387" s="43" t="str" cm="1">
        <f t="array" ref="O387">GetCSVIndex(A2,348+3780)</f>
        <v/>
      </c>
    </row>
    <row r="388" spans="1:15" ht="21" customHeight="1" x14ac:dyDescent="0.25">
      <c r="A388" s="36"/>
      <c r="B388" s="25"/>
      <c r="C388" s="25"/>
      <c r="D388" s="25"/>
      <c r="E388" s="45">
        <v>4</v>
      </c>
      <c r="F388" s="29" t="e" cm="1">
        <f t="array" ref="F388">CHOOSE(GetCSVIndex(A2,45+3780)+1,"","Station","Block","","Delay")</f>
        <v>#VALUE!</v>
      </c>
      <c r="G388" s="29" t="str" cm="1">
        <f t="array" ref="G388">GetCSVIndex(A2,46+3780)</f>
        <v/>
      </c>
      <c r="H388" s="45" t="str" cm="1">
        <f t="array" ref="H388">GetCSVIndex(A2,254+3780)</f>
        <v/>
      </c>
      <c r="I388" s="29" t="str" cm="1">
        <f t="array" ref="I388">GetCSVIndex(A2,317+3780)</f>
        <v/>
      </c>
      <c r="J388" s="25"/>
      <c r="K388" s="45">
        <v>36</v>
      </c>
      <c r="L388" s="29" t="e" cm="1">
        <f t="array" ref="L388">CHOOSE(GetCSVIndex(A2,141+3780)+1,"","Station","Block","","Delay")</f>
        <v>#VALUE!</v>
      </c>
      <c r="M388" s="29" t="str" cm="1">
        <f t="array" ref="M388">GetCSVIndex(A2,142+3780)</f>
        <v/>
      </c>
      <c r="N388" s="27" t="str" cm="1">
        <f t="array" ref="N388">GetCSVIndex(A2,286+3780)</f>
        <v/>
      </c>
      <c r="O388" s="43" t="str" cm="1">
        <f t="array" ref="O388">GetCSVIndex(A2,349+3780)</f>
        <v/>
      </c>
    </row>
    <row r="389" spans="1:15" ht="21" customHeight="1" x14ac:dyDescent="0.25">
      <c r="A389" s="37" t="s">
        <v>28</v>
      </c>
      <c r="B389" s="28"/>
      <c r="C389" s="29" t="str" cm="1">
        <f t="array" ref="C389">IF(GetCSVIndex(A2,14+3780)&lt;&gt;"65535",CONCATENATE(GetCSVIndex(A2,229+3780),":", GetCSVIndex(A2,239+3780)),"OFF")</f>
        <v>:</v>
      </c>
      <c r="D389" s="25"/>
      <c r="E389" s="45">
        <v>5</v>
      </c>
      <c r="F389" s="29" t="e" cm="1">
        <f t="array" ref="F389">CHOOSE(GetCSVIndex(A2,48+3780)+1,"","Station","Block","","Delay")</f>
        <v>#VALUE!</v>
      </c>
      <c r="G389" s="29" t="str" cm="1">
        <f t="array" ref="G389">GetCSVIndex(A2,49+3780)</f>
        <v/>
      </c>
      <c r="H389" s="45" t="str" cm="1">
        <f t="array" ref="H389">GetCSVIndex(A2,255+3780)</f>
        <v/>
      </c>
      <c r="I389" s="29" t="str" cm="1">
        <f t="array" ref="I389">GetCSVIndex(A2,318+3780)</f>
        <v/>
      </c>
      <c r="J389" s="25"/>
      <c r="K389" s="45">
        <v>37</v>
      </c>
      <c r="L389" s="29" t="e" cm="1">
        <f t="array" ref="L389">CHOOSE(GetCSVIndex(A2,144+3780)+1,"","Station","Block","","Delay")</f>
        <v>#VALUE!</v>
      </c>
      <c r="M389" s="29" t="str" cm="1">
        <f t="array" ref="M389">GetCSVIndex(A2,145+3780)</f>
        <v/>
      </c>
      <c r="N389" s="27" t="str" cm="1">
        <f t="array" ref="N389">GetCSVIndex(A2,287+3780)</f>
        <v/>
      </c>
      <c r="O389" s="43" t="str" cm="1">
        <f t="array" ref="O389">GetCSVIndex(A2,350+3780)</f>
        <v/>
      </c>
    </row>
    <row r="390" spans="1:15" ht="21" customHeight="1" x14ac:dyDescent="0.25">
      <c r="A390" s="38" t="s">
        <v>29</v>
      </c>
      <c r="B390" s="30"/>
      <c r="C390" s="29" t="str" cm="1">
        <f t="array" ref="C390">IF(GetCSVIndex(A2,15+3780)&lt;&gt;"65535",CONCATENATE(GetCSVIndex(A2,231+3780),":", GetCSVIndex(A2,241+3780)),"OFF")</f>
        <v>:</v>
      </c>
      <c r="D390" s="25"/>
      <c r="E390" s="45">
        <v>6</v>
      </c>
      <c r="F390" s="29" t="e" cm="1">
        <f t="array" ref="F390">CHOOSE(GetCSVIndex(A2,51+3780)+1,"","Station","Block","","Delay")</f>
        <v>#VALUE!</v>
      </c>
      <c r="G390" s="29" t="str" cm="1">
        <f t="array" ref="G390">GetCSVIndex(A2,52+3780)</f>
        <v/>
      </c>
      <c r="H390" s="45" t="str" cm="1">
        <f t="array" ref="H390">GetCSVIndex(A2,256+3780)</f>
        <v/>
      </c>
      <c r="I390" s="29" t="str" cm="1">
        <f t="array" ref="I390">GetCSVIndex(A2,319+3780)</f>
        <v/>
      </c>
      <c r="J390" s="25"/>
      <c r="K390" s="45">
        <v>38</v>
      </c>
      <c r="L390" s="29" t="e" cm="1">
        <f t="array" ref="L390">CHOOSE(GetCSVIndex(A2,147+3780)+1,"","Station","Block","","Delay")</f>
        <v>#VALUE!</v>
      </c>
      <c r="M390" s="29" t="str" cm="1">
        <f t="array" ref="M390">GetCSVIndex(A2,148+3780)</f>
        <v/>
      </c>
      <c r="N390" s="27" t="str" cm="1">
        <f t="array" ref="N390">GetCSVIndex(A2,288+3780)</f>
        <v/>
      </c>
      <c r="O390" s="43" t="str" cm="1">
        <f t="array" ref="O390">GetCSVIndex(A2,351+3780)</f>
        <v/>
      </c>
    </row>
    <row r="391" spans="1:15" ht="21" customHeight="1" x14ac:dyDescent="0.25">
      <c r="A391" s="38" t="s">
        <v>30</v>
      </c>
      <c r="B391" s="30"/>
      <c r="C391" s="29" t="str" cm="1">
        <f t="array" ref="C391">IF(GetCSVIndex(A2,16+3780)&lt;&gt;"65535",CONCATENATE(GetCSVIndex(A2,232+3780),":", GetCSVIndex(A2,242+3780)),"OFF")</f>
        <v>:</v>
      </c>
      <c r="D391" s="25"/>
      <c r="E391" s="45">
        <v>7</v>
      </c>
      <c r="F391" s="29" t="e" cm="1">
        <f t="array" ref="F391">CHOOSE(GetCSVIndex(A2,54+3780)+1,"","Station","Block","","Delay")</f>
        <v>#VALUE!</v>
      </c>
      <c r="G391" s="29" t="str" cm="1">
        <f t="array" ref="G391">GetCSVIndex(A2,55+3780)</f>
        <v/>
      </c>
      <c r="H391" s="45" t="str" cm="1">
        <f t="array" ref="H391">GetCSVIndex(A2,257+3780)</f>
        <v/>
      </c>
      <c r="I391" s="29" t="str" cm="1">
        <f t="array" ref="I391">GetCSVIndex(A2,320+3780)</f>
        <v/>
      </c>
      <c r="J391" s="25"/>
      <c r="K391" s="45">
        <v>39</v>
      </c>
      <c r="L391" s="29" t="e" cm="1">
        <f t="array" ref="L391">CHOOSE(GetCSVIndex(A2,150+3780)+1,"","Station","Block","","Delay")</f>
        <v>#VALUE!</v>
      </c>
      <c r="M391" s="29" t="str" cm="1">
        <f t="array" ref="M391">GetCSVIndex(A2,151+3780)</f>
        <v/>
      </c>
      <c r="N391" s="27" t="str" cm="1">
        <f t="array" ref="N391">GetCSVIndex(A2,289+3780)</f>
        <v/>
      </c>
      <c r="O391" s="43" t="str" cm="1">
        <f t="array" ref="O391">GetCSVIndex(A2,352+3780)</f>
        <v/>
      </c>
    </row>
    <row r="392" spans="1:15" ht="21" customHeight="1" x14ac:dyDescent="0.25">
      <c r="A392" s="38" t="s">
        <v>31</v>
      </c>
      <c r="B392" s="30"/>
      <c r="C392" s="29" t="str" cm="1">
        <f t="array" ref="C392">IF(GetCSVIndex(A2,17+3780)&lt;&gt;"65535",CONCATENATE(GetCSVIndex(A2,233+3780),":", GetCSVIndex(A2,243+3780)),"OFF")</f>
        <v>:</v>
      </c>
      <c r="D392" s="25"/>
      <c r="E392" s="45">
        <v>8</v>
      </c>
      <c r="F392" s="29" t="e" cm="1">
        <f t="array" ref="F392">CHOOSE(GetCSVIndex(A2,57+3780)+1,"","Station","Block","","Delay")</f>
        <v>#VALUE!</v>
      </c>
      <c r="G392" s="29" t="str" cm="1">
        <f t="array" ref="G392">GetCSVIndex(A2,58+3780)</f>
        <v/>
      </c>
      <c r="H392" s="45" t="str" cm="1">
        <f t="array" ref="H392">GetCSVIndex(A2,258+3780)</f>
        <v/>
      </c>
      <c r="I392" s="29" t="str" cm="1">
        <f t="array" ref="I392">GetCSVIndex(A2,321+3780)</f>
        <v/>
      </c>
      <c r="J392" s="25"/>
      <c r="K392" s="45">
        <v>40</v>
      </c>
      <c r="L392" s="29" t="e" cm="1">
        <f t="array" ref="L392">CHOOSE(GetCSVIndex(A2,153+3780)+1,"","Station","Block","","Delay")</f>
        <v>#VALUE!</v>
      </c>
      <c r="M392" s="29" t="str" cm="1">
        <f t="array" ref="M392">GetCSVIndex(A2,154+3780)</f>
        <v/>
      </c>
      <c r="N392" s="27" t="str" cm="1">
        <f t="array" ref="N392">GetCSVIndex(A2,290+3780)</f>
        <v/>
      </c>
      <c r="O392" s="43" t="str" cm="1">
        <f t="array" ref="O392">GetCSVIndex(A2,353+3780)</f>
        <v/>
      </c>
    </row>
    <row r="393" spans="1:15" ht="21" customHeight="1" x14ac:dyDescent="0.25">
      <c r="A393" s="38" t="s">
        <v>32</v>
      </c>
      <c r="B393" s="30"/>
      <c r="C393" s="29" t="str" cm="1">
        <f t="array" ref="C393">IF(GetCSVIndex(A2,18+3780)&lt;&gt;"65535",CONCATENATE(GetCSVIndex(A2,234+3780),":", GetCSVIndex(A2,244+3780)),"OFF")</f>
        <v>:</v>
      </c>
      <c r="D393" s="25"/>
      <c r="E393" s="45">
        <v>9</v>
      </c>
      <c r="F393" s="29" t="e" cm="1">
        <f t="array" ref="F393">CHOOSE(GetCSVIndex(A2,60+3780)+1,"","Station","Block","","Delay")</f>
        <v>#VALUE!</v>
      </c>
      <c r="G393" s="29" t="str" cm="1">
        <f t="array" ref="G393">GetCSVIndex(A2,61+3780)</f>
        <v/>
      </c>
      <c r="H393" s="45" t="str" cm="1">
        <f t="array" ref="H393">GetCSVIndex(A2,259+3780)</f>
        <v/>
      </c>
      <c r="I393" s="29" t="str" cm="1">
        <f t="array" ref="I393">GetCSVIndex(A2,322+3780)</f>
        <v/>
      </c>
      <c r="J393" s="25"/>
      <c r="K393" s="45">
        <v>41</v>
      </c>
      <c r="L393" s="29" t="e" cm="1">
        <f t="array" ref="L393">CHOOSE(GetCSVIndex(A2,156+3780)+1,"","Station","Block","","Delay")</f>
        <v>#VALUE!</v>
      </c>
      <c r="M393" s="29" t="str" cm="1">
        <f t="array" ref="M393">GetCSVIndex(A2,157+3780)</f>
        <v/>
      </c>
      <c r="N393" s="27" t="str" cm="1">
        <f t="array" ref="N393">GetCSVIndex(A2,291+3780)</f>
        <v/>
      </c>
      <c r="O393" s="43" t="str" cm="1">
        <f t="array" ref="O393">GetCSVIndex(A2,354+3780)</f>
        <v/>
      </c>
    </row>
    <row r="394" spans="1:15" ht="21" customHeight="1" x14ac:dyDescent="0.25">
      <c r="A394" s="38" t="s">
        <v>33</v>
      </c>
      <c r="B394" s="30"/>
      <c r="C394" s="29" t="str" cm="1">
        <f t="array" ref="C394">IF(GetCSVIndex(A2,19+3780)&lt;&gt;"65535",CONCATENATE(GetCSVIndex(A2,235+3780),":", GetCSVIndex(A2,245+3780)),"OFF")</f>
        <v>:</v>
      </c>
      <c r="D394" s="25"/>
      <c r="E394" s="45">
        <v>10</v>
      </c>
      <c r="F394" s="29" t="e" cm="1">
        <f t="array" ref="F394">CHOOSE(GetCSVIndex(A2,63+3780)+1,"","Station","Block","","Delay")</f>
        <v>#VALUE!</v>
      </c>
      <c r="G394" s="29" t="str" cm="1">
        <f t="array" ref="G394">GetCSVIndex(A2,64+3780)</f>
        <v/>
      </c>
      <c r="H394" s="45" t="str" cm="1">
        <f t="array" ref="H394">GetCSVIndex(A2,260+3780)</f>
        <v/>
      </c>
      <c r="I394" s="29" t="str" cm="1">
        <f t="array" ref="I394">GetCSVIndex(A2,323+3780)</f>
        <v/>
      </c>
      <c r="J394" s="25"/>
      <c r="K394" s="45">
        <v>42</v>
      </c>
      <c r="L394" s="29" t="e" cm="1">
        <f t="array" ref="L394">CHOOSE(GetCSVIndex(A2,159+3780)+1,"","Station","Block","","Delay")</f>
        <v>#VALUE!</v>
      </c>
      <c r="M394" s="29" t="str" cm="1">
        <f t="array" ref="M394">GetCSVIndex(A2,160+3780)</f>
        <v/>
      </c>
      <c r="N394" s="27" t="str" cm="1">
        <f t="array" ref="N394">GetCSVIndex(A2,292+3780)</f>
        <v/>
      </c>
      <c r="O394" s="43" t="str" cm="1">
        <f t="array" ref="O394">GetCSVIndex(A2,355+3780)</f>
        <v/>
      </c>
    </row>
    <row r="395" spans="1:15" ht="21" customHeight="1" x14ac:dyDescent="0.25">
      <c r="A395" s="38" t="s">
        <v>34</v>
      </c>
      <c r="B395" s="30"/>
      <c r="C395" s="29" t="str" cm="1">
        <f t="array" ref="C395">IF(GetCSVIndex(A2,20+3780)&lt;&gt;"65535",CONCATENATE(GetCSVIndex(A2,236+3780),":", GetCSVIndex(A2,246+3780)),"OFF")</f>
        <v>:</v>
      </c>
      <c r="D395" s="25"/>
      <c r="E395" s="45">
        <v>11</v>
      </c>
      <c r="F395" s="29" t="e" cm="1">
        <f t="array" ref="F395">CHOOSE(GetCSVIndex(A2,66+3780)+1,"","Station","Block","","Delay")</f>
        <v>#VALUE!</v>
      </c>
      <c r="G395" s="29" t="str" cm="1">
        <f t="array" ref="G395">GetCSVIndex(A2,67+3780)</f>
        <v/>
      </c>
      <c r="H395" s="45" t="str" cm="1">
        <f t="array" ref="H395">GetCSVIndex(A2,261+3780)</f>
        <v/>
      </c>
      <c r="I395" s="29" t="str" cm="1">
        <f t="array" ref="I395">GetCSVIndex(A2,324+3780)</f>
        <v/>
      </c>
      <c r="J395" s="25"/>
      <c r="K395" s="45">
        <v>43</v>
      </c>
      <c r="L395" s="29" t="e" cm="1">
        <f t="array" ref="L395">CHOOSE(GetCSVIndex(A2,162+3780)+1,"","Station","Block","","Delay")</f>
        <v>#VALUE!</v>
      </c>
      <c r="M395" s="29" t="str" cm="1">
        <f t="array" ref="M395">GetCSVIndex(A2,163+3780)</f>
        <v/>
      </c>
      <c r="N395" s="27" t="str" cm="1">
        <f t="array" ref="N395">GetCSVIndex(A2,293+3780)</f>
        <v/>
      </c>
      <c r="O395" s="43" t="str" cm="1">
        <f t="array" ref="O395">GetCSVIndex(A2,356+3780)</f>
        <v/>
      </c>
    </row>
    <row r="396" spans="1:15" ht="21" customHeight="1" x14ac:dyDescent="0.25">
      <c r="A396" s="38" t="s">
        <v>35</v>
      </c>
      <c r="B396" s="30"/>
      <c r="C396" s="29" t="str" cm="1">
        <f t="array" ref="C396">IF(GetCSVIndex(A2,21+3780)&lt;&gt;"65535",CONCATENATE(GetCSVIndex(A2,237+3780),":", GetCSVIndex(A2,247+3780)),"OFF")</f>
        <v>:</v>
      </c>
      <c r="D396" s="25"/>
      <c r="E396" s="45">
        <v>12</v>
      </c>
      <c r="F396" s="29" t="e" cm="1">
        <f t="array" ref="F396">CHOOSE(GetCSVIndex(A2,69+3780)+1,"","Station","Block","","Delay")</f>
        <v>#VALUE!</v>
      </c>
      <c r="G396" s="29" t="str" cm="1">
        <f t="array" ref="G396">GetCSVIndex(A2,70+3780)</f>
        <v/>
      </c>
      <c r="H396" s="45" t="str" cm="1">
        <f t="array" ref="H396">GetCSVIndex(A2,262+3780)</f>
        <v/>
      </c>
      <c r="I396" s="29" t="str" cm="1">
        <f t="array" ref="I396">GetCSVIndex(A2,325+3780)</f>
        <v/>
      </c>
      <c r="J396" s="25"/>
      <c r="K396" s="45">
        <v>44</v>
      </c>
      <c r="L396" s="29" t="e" cm="1">
        <f t="array" ref="L396">CHOOSE(GetCSVIndex(A2,165+3780)+1,"","Station","Block","","Delay")</f>
        <v>#VALUE!</v>
      </c>
      <c r="M396" s="29" t="str" cm="1">
        <f t="array" ref="M396">GetCSVIndex(A2,166+3780)</f>
        <v/>
      </c>
      <c r="N396" s="27" t="str" cm="1">
        <f t="array" ref="N396">GetCSVIndex(A2,294+3780)</f>
        <v/>
      </c>
      <c r="O396" s="43" t="str" cm="1">
        <f t="array" ref="O396">GetCSVIndex(A2,357+3780)</f>
        <v/>
      </c>
    </row>
    <row r="397" spans="1:15" ht="21" customHeight="1" x14ac:dyDescent="0.25">
      <c r="A397" s="38" t="s">
        <v>36</v>
      </c>
      <c r="B397" s="30"/>
      <c r="C397" s="29" t="str" cm="1">
        <f t="array" ref="C397">IF(GetCSVIndex(A2,22+3780)&lt;&gt;"65535",CONCATENATE(GetCSVIndex(A2,238+3780),":", GetCSVIndex(A2,248+3780)),"OFF")</f>
        <v>:</v>
      </c>
      <c r="D397" s="25"/>
      <c r="E397" s="45">
        <v>13</v>
      </c>
      <c r="F397" s="29" t="e" cm="1">
        <f t="array" ref="F397">CHOOSE(GetCSVIndex(A2,72+3780)+1,"","Station","Block","","Delay")</f>
        <v>#VALUE!</v>
      </c>
      <c r="G397" s="29" t="str" cm="1">
        <f t="array" ref="G397">GetCSVIndex(A2,73+3780)</f>
        <v/>
      </c>
      <c r="H397" s="45" t="str" cm="1">
        <f t="array" ref="H397">GetCSVIndex(A2,263+3780)</f>
        <v/>
      </c>
      <c r="I397" s="29" t="str" cm="1">
        <f t="array" ref="I397">GetCSVIndex(A2,326+3780)</f>
        <v/>
      </c>
      <c r="J397" s="25"/>
      <c r="K397" s="45">
        <v>45</v>
      </c>
      <c r="L397" s="29" t="e" cm="1">
        <f t="array" ref="L397">CHOOSE(GetCSVIndex(A2,168+3780)+1,"","Station","Block","","Delay")</f>
        <v>#VALUE!</v>
      </c>
      <c r="M397" s="29" t="str" cm="1">
        <f t="array" ref="M397">GetCSVIndex(A2,169+3780)</f>
        <v/>
      </c>
      <c r="N397" s="27" t="str" cm="1">
        <f t="array" ref="N397">GetCSVIndex(A2,295+3780)</f>
        <v/>
      </c>
      <c r="O397" s="43" t="str" cm="1">
        <f t="array" ref="O397">GetCSVIndex(A2,358+3780)</f>
        <v/>
      </c>
    </row>
    <row r="398" spans="1:15" ht="21" customHeight="1" x14ac:dyDescent="0.25">
      <c r="A398" s="36" t="s">
        <v>37</v>
      </c>
      <c r="B398" s="25"/>
      <c r="C398" s="29" t="str" cm="1">
        <f t="array" ref="C398">IF(GetCSVIndex(A2,23+3780)&lt;&gt;"65535",CONCATENATE(GetCSVIndex(A2,230+3780),":", GetCSVIndex(A2,240+3780)),"OFF")</f>
        <v>:</v>
      </c>
      <c r="D398" s="25"/>
      <c r="E398" s="45">
        <v>14</v>
      </c>
      <c r="F398" s="29" t="e" cm="1">
        <f t="array" ref="F398">CHOOSE(GetCSVIndex(A2,75+3780)+1,"","Station","Block","","Delay")</f>
        <v>#VALUE!</v>
      </c>
      <c r="G398" s="29" t="str" cm="1">
        <f t="array" ref="G398">GetCSVIndex(A2,76+3780)</f>
        <v/>
      </c>
      <c r="H398" s="45" t="str" cm="1">
        <f t="array" ref="H398">GetCSVIndex(A2,264+3780)</f>
        <v/>
      </c>
      <c r="I398" s="29" t="str" cm="1">
        <f t="array" ref="I398">GetCSVIndex(A2,327+3780)</f>
        <v/>
      </c>
      <c r="J398" s="25"/>
      <c r="K398" s="45">
        <v>46</v>
      </c>
      <c r="L398" s="29" t="e" cm="1">
        <f t="array" ref="L398">CHOOSE(GetCSVIndex(A2,171+3780)+1,"","Station","Block","","Delay")</f>
        <v>#VALUE!</v>
      </c>
      <c r="M398" s="29" t="str" cm="1">
        <f t="array" ref="M398">GetCSVIndex(A2,172+3780)</f>
        <v/>
      </c>
      <c r="N398" s="27" t="str" cm="1">
        <f t="array" ref="N398">GetCSVIndex(A2,296+3780)</f>
        <v/>
      </c>
      <c r="O398" s="43" t="str" cm="1">
        <f t="array" ref="O398">GetCSVIndex(A2,359+3780)</f>
        <v/>
      </c>
    </row>
    <row r="399" spans="1:15" ht="21" customHeight="1" x14ac:dyDescent="0.25">
      <c r="A399" s="39"/>
      <c r="B399" s="40"/>
      <c r="C399" s="41"/>
      <c r="D399" s="26"/>
      <c r="E399" s="45">
        <v>15</v>
      </c>
      <c r="F399" s="29" t="e" cm="1">
        <f t="array" ref="F399">CHOOSE(GetCSVIndex(A2,78+3780)+1,"","Station","Block","","Delay")</f>
        <v>#VALUE!</v>
      </c>
      <c r="G399" s="29" t="str" cm="1">
        <f t="array" ref="G399">GetCSVIndex(A2,79+3780)</f>
        <v/>
      </c>
      <c r="H399" s="45" t="str" cm="1">
        <f t="array" ref="H399">GetCSVIndex(A2,265+3780)</f>
        <v/>
      </c>
      <c r="I399" s="29" t="str" cm="1">
        <f t="array" ref="I399">GetCSVIndex(A2,328+3780)</f>
        <v/>
      </c>
      <c r="J399" s="26"/>
      <c r="K399" s="45">
        <v>47</v>
      </c>
      <c r="L399" s="29" t="e" cm="1">
        <f t="array" ref="L399">CHOOSE(GetCSVIndex(A2,174+3780)+1,"","Station","Block","","Delay")</f>
        <v>#VALUE!</v>
      </c>
      <c r="M399" s="29" t="str" cm="1">
        <f t="array" ref="M399">GetCSVIndex(A2,175+3780)</f>
        <v/>
      </c>
      <c r="N399" s="27" t="str" cm="1">
        <f t="array" ref="N399">GetCSVIndex(A2,297+3780)</f>
        <v/>
      </c>
      <c r="O399" s="43" t="str" cm="1">
        <f t="array" ref="O399">GetCSVIndex(A2,360+3780)</f>
        <v/>
      </c>
    </row>
    <row r="400" spans="1:15" ht="21" customHeight="1" x14ac:dyDescent="0.25">
      <c r="A400" s="42"/>
      <c r="B400" s="25"/>
      <c r="C400" s="25"/>
      <c r="D400" s="26"/>
      <c r="E400" s="45">
        <v>16</v>
      </c>
      <c r="F400" s="29" t="e" cm="1">
        <f t="array" ref="F400">CHOOSE(GetCSVIndex(A2,81+3780)+1,"","Station","Block","","Delay")</f>
        <v>#VALUE!</v>
      </c>
      <c r="G400" s="29" t="str" cm="1">
        <f t="array" ref="G400">GetCSVIndex(A2,82+3780)</f>
        <v/>
      </c>
      <c r="H400" s="45" t="str" cm="1">
        <f t="array" ref="H400">GetCSVIndex(A2,266+3780)</f>
        <v/>
      </c>
      <c r="I400" s="29" t="str" cm="1">
        <f t="array" ref="I400">GetCSVIndex(A2,329+3780)</f>
        <v/>
      </c>
      <c r="J400" s="25"/>
      <c r="K400" s="45">
        <v>48</v>
      </c>
      <c r="L400" s="29" t="e" cm="1">
        <f t="array" ref="L400">CHOOSE(GetCSVIndex(A2,177+3780)+1,"","Station","Block","","Delay")</f>
        <v>#VALUE!</v>
      </c>
      <c r="M400" s="29" t="str" cm="1">
        <f t="array" ref="M400">GetCSVIndex(A2,178+3780)</f>
        <v/>
      </c>
      <c r="N400" s="27" t="str" cm="1">
        <f t="array" ref="N400">GetCSVIndex(A2,298+3780)</f>
        <v/>
      </c>
      <c r="O400" s="43" t="str" cm="1">
        <f t="array" ref="O400">GetCSVIndex(A2,361+3780)</f>
        <v/>
      </c>
    </row>
    <row r="401" spans="1:15" ht="21" customHeight="1" x14ac:dyDescent="0.25">
      <c r="A401" s="42"/>
      <c r="B401" s="25"/>
      <c r="C401" s="25"/>
      <c r="D401" s="26"/>
      <c r="E401" s="45">
        <v>17</v>
      </c>
      <c r="F401" s="29" t="e" cm="1">
        <f t="array" ref="F401">CHOOSE(GetCSVIndex(A2,84+3780)+1,"","Station","Block","","Delay")</f>
        <v>#VALUE!</v>
      </c>
      <c r="G401" s="29" t="str" cm="1">
        <f t="array" ref="G401">GetCSVIndex(A2,85+3780)</f>
        <v/>
      </c>
      <c r="H401" s="45" t="str" cm="1">
        <f t="array" ref="H401">GetCSVIndex(A2,267+3780)</f>
        <v/>
      </c>
      <c r="I401" s="29" t="str" cm="1">
        <f t="array" ref="I401">GetCSVIndex(A2,330+3780)</f>
        <v/>
      </c>
      <c r="J401" s="26"/>
      <c r="K401" s="45">
        <v>49</v>
      </c>
      <c r="L401" s="29" t="e" cm="1">
        <f t="array" ref="L401">CHOOSE(GetCSVIndex(A2,180+3780)+1,"","Station","Block","","Delay")</f>
        <v>#VALUE!</v>
      </c>
      <c r="M401" s="29" t="str" cm="1">
        <f t="array" ref="M401">GetCSVIndex(A2,181+3780)</f>
        <v/>
      </c>
      <c r="N401" s="27" t="str" cm="1">
        <f t="array" ref="N401">GetCSVIndex(A2,299+3780)</f>
        <v/>
      </c>
      <c r="O401" s="43" t="str" cm="1">
        <f t="array" ref="O401">GetCSVIndex(A2,362+3780)</f>
        <v/>
      </c>
    </row>
    <row r="402" spans="1:15" ht="21" customHeight="1" x14ac:dyDescent="0.25">
      <c r="A402" s="42"/>
      <c r="B402" s="25"/>
      <c r="C402" s="25"/>
      <c r="D402" s="26"/>
      <c r="E402" s="45">
        <v>18</v>
      </c>
      <c r="F402" s="29" t="e" cm="1">
        <f t="array" ref="F402">CHOOSE(GetCSVIndex(A2,87+3780)+1,"","Station","Block","","Delay")</f>
        <v>#VALUE!</v>
      </c>
      <c r="G402" s="29" t="str" cm="1">
        <f t="array" ref="G402">GetCSVIndex(A2,88+3780)</f>
        <v/>
      </c>
      <c r="H402" s="45" t="str" cm="1">
        <f t="array" ref="H402">GetCSVIndex(A2,268+3780)</f>
        <v/>
      </c>
      <c r="I402" s="29" t="str" cm="1">
        <f t="array" ref="I402">GetCSVIndex(A2,331+3780)</f>
        <v/>
      </c>
      <c r="J402" s="26"/>
      <c r="K402" s="45">
        <v>50</v>
      </c>
      <c r="L402" s="29" t="e" cm="1">
        <f t="array" ref="L402">CHOOSE(GetCSVIndex(A2,183+3780)+1,"","Station","Block","","Delay")</f>
        <v>#VALUE!</v>
      </c>
      <c r="M402" s="29" t="str" cm="1">
        <f t="array" ref="M402">GetCSVIndex(A2,184+3780)</f>
        <v/>
      </c>
      <c r="N402" s="27" t="str" cm="1">
        <f t="array" ref="N402">GetCSVIndex(A2,300+3780)</f>
        <v/>
      </c>
      <c r="O402" s="43" t="str" cm="1">
        <f t="array" ref="O402">GetCSVIndex(A2,363+3780)</f>
        <v/>
      </c>
    </row>
    <row r="403" spans="1:15" ht="21" customHeight="1" x14ac:dyDescent="0.25">
      <c r="A403" s="42"/>
      <c r="B403" s="25"/>
      <c r="C403" s="25"/>
      <c r="D403" s="26"/>
      <c r="E403" s="45">
        <v>19</v>
      </c>
      <c r="F403" s="29" t="e" cm="1">
        <f t="array" ref="F403">CHOOSE(GetCSVIndex(A2,90+3780)+1,"","Station","Block","","Delay")</f>
        <v>#VALUE!</v>
      </c>
      <c r="G403" s="29" t="str" cm="1">
        <f t="array" ref="G403">GetCSVIndex(A2,91+3780)</f>
        <v/>
      </c>
      <c r="H403" s="45" t="str" cm="1">
        <f t="array" ref="H403">GetCSVIndex(A2,269+3780)</f>
        <v/>
      </c>
      <c r="I403" s="29" t="str" cm="1">
        <f t="array" ref="I403">GetCSVIndex(A2,332+3780)</f>
        <v/>
      </c>
      <c r="J403" s="26"/>
      <c r="K403" s="45">
        <v>51</v>
      </c>
      <c r="L403" s="29" t="e" cm="1">
        <f t="array" ref="L403">CHOOSE(GetCSVIndex(A2,186+3780)+1,"","Station","Block","","Delay")</f>
        <v>#VALUE!</v>
      </c>
      <c r="M403" s="29" t="str" cm="1">
        <f t="array" ref="M403">GetCSVIndex(A2,187+3780)</f>
        <v/>
      </c>
      <c r="N403" s="27" t="str" cm="1">
        <f t="array" ref="N403">GetCSVIndex(A2,301+3780)</f>
        <v/>
      </c>
      <c r="O403" s="43" t="str" cm="1">
        <f t="array" ref="O403">GetCSVIndex(A2,364+3780)</f>
        <v/>
      </c>
    </row>
    <row r="404" spans="1:15" ht="21" customHeight="1" x14ac:dyDescent="0.25">
      <c r="A404" s="42"/>
      <c r="B404" s="25"/>
      <c r="C404" s="25"/>
      <c r="D404" s="26"/>
      <c r="E404" s="45">
        <v>20</v>
      </c>
      <c r="F404" s="29" t="e" cm="1">
        <f t="array" ref="F404">CHOOSE(GetCSVIndex(A2,93+3780)+1,"","Station","Block","","Delay")</f>
        <v>#VALUE!</v>
      </c>
      <c r="G404" s="29" t="str" cm="1">
        <f t="array" ref="G404">GetCSVIndex(A2,94+3780)</f>
        <v/>
      </c>
      <c r="H404" s="45" t="str" cm="1">
        <f t="array" ref="H404">GetCSVIndex(A2,270+3780)</f>
        <v/>
      </c>
      <c r="I404" s="29" t="str" cm="1">
        <f t="array" ref="I404">GetCSVIndex(A2,333+3780)</f>
        <v/>
      </c>
      <c r="J404" s="26"/>
      <c r="K404" s="45">
        <v>52</v>
      </c>
      <c r="L404" s="29" t="e" cm="1">
        <f t="array" ref="L404">CHOOSE(GetCSVIndex(A2,189+3780)+1,"","Station","Block","","Delay")</f>
        <v>#VALUE!</v>
      </c>
      <c r="M404" s="29" t="str" cm="1">
        <f t="array" ref="M404">GetCSVIndex(A2,190+3780)</f>
        <v/>
      </c>
      <c r="N404" s="27" t="str" cm="1">
        <f t="array" ref="N404">GetCSVIndex(A2,302+3780)</f>
        <v/>
      </c>
      <c r="O404" s="43" t="str" cm="1">
        <f t="array" ref="O404">GetCSVIndex(A2,365+3780)</f>
        <v/>
      </c>
    </row>
    <row r="405" spans="1:15" ht="21" customHeight="1" x14ac:dyDescent="0.25">
      <c r="A405" s="42"/>
      <c r="B405" s="25"/>
      <c r="C405" s="25"/>
      <c r="D405" s="26"/>
      <c r="E405" s="45">
        <v>21</v>
      </c>
      <c r="F405" s="29" t="e" cm="1">
        <f t="array" ref="F405">CHOOSE(GetCSVIndex(A2,96+3780)+1,"","Station","Block","","Delay")</f>
        <v>#VALUE!</v>
      </c>
      <c r="G405" s="29" t="str" cm="1">
        <f t="array" ref="G405">GetCSVIndex(A2,97+3780)</f>
        <v/>
      </c>
      <c r="H405" s="45" t="str" cm="1">
        <f t="array" ref="H405">GetCSVIndex(A2,271+3780)</f>
        <v/>
      </c>
      <c r="I405" s="29" t="str" cm="1">
        <f t="array" ref="I405">GetCSVIndex(A2,334+3780)</f>
        <v/>
      </c>
      <c r="J405" s="26"/>
      <c r="K405" s="45">
        <v>53</v>
      </c>
      <c r="L405" s="29" t="e" cm="1">
        <f t="array" ref="L405">CHOOSE(GetCSVIndex(A2,192+3780)+1,"","Station","Block","","Delay")</f>
        <v>#VALUE!</v>
      </c>
      <c r="M405" s="29" t="str" cm="1">
        <f t="array" ref="M405">GetCSVIndex(A2,193+3780)</f>
        <v/>
      </c>
      <c r="N405" s="27" t="str" cm="1">
        <f t="array" ref="N405">GetCSVIndex(A2,303+3780)</f>
        <v/>
      </c>
      <c r="O405" s="43" t="str" cm="1">
        <f t="array" ref="O405">GetCSVIndex(A2,366+3780)</f>
        <v/>
      </c>
    </row>
    <row r="406" spans="1:15" ht="21" customHeight="1" x14ac:dyDescent="0.25">
      <c r="A406" s="42"/>
      <c r="B406" s="25"/>
      <c r="C406" s="25"/>
      <c r="D406" s="26"/>
      <c r="E406" s="45">
        <v>22</v>
      </c>
      <c r="F406" s="29" t="e" cm="1">
        <f t="array" ref="F406">CHOOSE(GetCSVIndex(A2,99+3780)+1,"","Station","Block","","Delay")</f>
        <v>#VALUE!</v>
      </c>
      <c r="G406" s="29" t="str" cm="1">
        <f t="array" ref="G406">GetCSVIndex(A2,100+3780)</f>
        <v/>
      </c>
      <c r="H406" s="45" t="str" cm="1">
        <f t="array" ref="H406">GetCSVIndex(A2,272+3780)</f>
        <v/>
      </c>
      <c r="I406" s="29" t="str" cm="1">
        <f t="array" ref="I406">GetCSVIndex(A2,335+3780)</f>
        <v/>
      </c>
      <c r="J406" s="26"/>
      <c r="K406" s="45">
        <v>54</v>
      </c>
      <c r="L406" s="29" t="e" cm="1">
        <f t="array" ref="L406">CHOOSE(GetCSVIndex(A2,195+3780)+1,"","Station","Block","","Delay")</f>
        <v>#VALUE!</v>
      </c>
      <c r="M406" s="29" t="str" cm="1">
        <f t="array" ref="M406">GetCSVIndex(A2,196+3780)</f>
        <v/>
      </c>
      <c r="N406" s="27" t="str" cm="1">
        <f t="array" ref="N406">GetCSVIndex(A2,304+3780)</f>
        <v/>
      </c>
      <c r="O406" s="43" t="str" cm="1">
        <f t="array" ref="O406">GetCSVIndex(A2,367+3780)</f>
        <v/>
      </c>
    </row>
    <row r="407" spans="1:15" ht="21" customHeight="1" x14ac:dyDescent="0.25">
      <c r="A407" s="42"/>
      <c r="B407" s="25"/>
      <c r="C407" s="25"/>
      <c r="D407" s="26"/>
      <c r="E407" s="45">
        <v>23</v>
      </c>
      <c r="F407" s="29" t="e" cm="1">
        <f t="array" ref="F407">CHOOSE(GetCSVIndex(A2,102+3780)+1,"","Station","Block","","Delay")</f>
        <v>#VALUE!</v>
      </c>
      <c r="G407" s="29" t="str" cm="1">
        <f t="array" ref="G407">GetCSVIndex(A2,103+3780)</f>
        <v/>
      </c>
      <c r="H407" s="45" t="str" cm="1">
        <f t="array" ref="H407">GetCSVIndex(A2,273+3780)</f>
        <v/>
      </c>
      <c r="I407" s="29" t="str" cm="1">
        <f t="array" ref="I407">GetCSVIndex(A2,336+3780)</f>
        <v/>
      </c>
      <c r="J407" s="26"/>
      <c r="K407" s="45">
        <v>55</v>
      </c>
      <c r="L407" s="29" t="e" cm="1">
        <f t="array" ref="L407">CHOOSE(GetCSVIndex(A2,198+3780)+1,"","Station","Block","","Delay")</f>
        <v>#VALUE!</v>
      </c>
      <c r="M407" s="29" t="str" cm="1">
        <f t="array" ref="M407">GetCSVIndex(A2,199+3780)</f>
        <v/>
      </c>
      <c r="N407" s="27" t="str" cm="1">
        <f t="array" ref="N407">GetCSVIndex(A2,305+3780)</f>
        <v/>
      </c>
      <c r="O407" s="43" t="str" cm="1">
        <f t="array" ref="O407">GetCSVIndex(A2,368+3780)</f>
        <v/>
      </c>
    </row>
    <row r="408" spans="1:15" ht="21" customHeight="1" x14ac:dyDescent="0.25">
      <c r="A408" s="42"/>
      <c r="B408" s="25"/>
      <c r="C408" s="25"/>
      <c r="D408" s="26"/>
      <c r="E408" s="45">
        <v>24</v>
      </c>
      <c r="F408" s="29" t="e" cm="1">
        <f t="array" ref="F408">CHOOSE(GetCSVIndex(A2,105+3780)+1,"","Station","Block","","Delay")</f>
        <v>#VALUE!</v>
      </c>
      <c r="G408" s="29" t="str" cm="1">
        <f t="array" ref="G408">GetCSVIndex(A2,106+3780)</f>
        <v/>
      </c>
      <c r="H408" s="45" t="str" cm="1">
        <f t="array" ref="H408">GetCSVIndex(A2,274+3780)</f>
        <v/>
      </c>
      <c r="I408" s="29" t="str" cm="1">
        <f t="array" ref="I408">GetCSVIndex(A2,337+3780)</f>
        <v/>
      </c>
      <c r="J408" s="26"/>
      <c r="K408" s="45">
        <v>56</v>
      </c>
      <c r="L408" s="29" t="e" cm="1">
        <f t="array" ref="L408">CHOOSE(GetCSVIndex(A2,201+3780)+1,"","Station","Block","","Delay")</f>
        <v>#VALUE!</v>
      </c>
      <c r="M408" s="29" t="str" cm="1">
        <f t="array" ref="M408">GetCSVIndex(A2,202+3780)</f>
        <v/>
      </c>
      <c r="N408" s="27" t="str" cm="1">
        <f t="array" ref="N408">GetCSVIndex(A2,306+3780)</f>
        <v/>
      </c>
      <c r="O408" s="43" t="str" cm="1">
        <f t="array" ref="O408">GetCSVIndex(A2,369+3780)</f>
        <v/>
      </c>
    </row>
    <row r="409" spans="1:15" ht="21" customHeight="1" x14ac:dyDescent="0.25">
      <c r="A409" s="42"/>
      <c r="B409" s="25"/>
      <c r="C409" s="25"/>
      <c r="D409" s="26"/>
      <c r="E409" s="45">
        <v>25</v>
      </c>
      <c r="F409" s="29" t="e" cm="1">
        <f t="array" ref="F409">CHOOSE(GetCSVIndex(A2,108+3780)+1,"","Station","Block","","Delay")</f>
        <v>#VALUE!</v>
      </c>
      <c r="G409" s="29" t="str" cm="1">
        <f t="array" ref="G409">GetCSVIndex(A2,109+3780)</f>
        <v/>
      </c>
      <c r="H409" s="45" t="str" cm="1">
        <f t="array" ref="H409">GetCSVIndex(A2,275+3780)</f>
        <v/>
      </c>
      <c r="I409" s="29" t="str" cm="1">
        <f t="array" ref="I409">GetCSVIndex(A2,338+3780)</f>
        <v/>
      </c>
      <c r="J409" s="26"/>
      <c r="K409" s="45">
        <v>57</v>
      </c>
      <c r="L409" s="29" t="e" cm="1">
        <f t="array" ref="L409">CHOOSE(GetCSVIndex(A2,204+3780)+1,"","Station","Block","","Delay")</f>
        <v>#VALUE!</v>
      </c>
      <c r="M409" s="29" t="str" cm="1">
        <f t="array" ref="M409">GetCSVIndex(A2,205+3780)</f>
        <v/>
      </c>
      <c r="N409" s="27" t="str" cm="1">
        <f t="array" ref="N409">GetCSVIndex(A2,307+3780)</f>
        <v/>
      </c>
      <c r="O409" s="43" t="str" cm="1">
        <f t="array" ref="O409">GetCSVIndex(A2,370+3780)</f>
        <v/>
      </c>
    </row>
    <row r="410" spans="1:15" ht="21" customHeight="1" x14ac:dyDescent="0.25">
      <c r="A410" s="42"/>
      <c r="B410" s="25"/>
      <c r="C410" s="25"/>
      <c r="D410" s="26"/>
      <c r="E410" s="45">
        <v>26</v>
      </c>
      <c r="F410" s="29" t="e" cm="1">
        <f t="array" ref="F410">CHOOSE(GetCSVIndex(A2,111+3780)+1,"","Station","Block","","Delay")</f>
        <v>#VALUE!</v>
      </c>
      <c r="G410" s="29" t="str" cm="1">
        <f t="array" ref="G410">GetCSVIndex(A2,112+3780)</f>
        <v/>
      </c>
      <c r="H410" s="45" t="str" cm="1">
        <f t="array" ref="H410">GetCSVIndex(A2,276+3780)</f>
        <v/>
      </c>
      <c r="I410" s="29" t="str" cm="1">
        <f t="array" ref="I410">GetCSVIndex(A2,339+3780)</f>
        <v/>
      </c>
      <c r="J410" s="26"/>
      <c r="K410" s="45">
        <v>58</v>
      </c>
      <c r="L410" s="29" t="e" cm="1">
        <f t="array" ref="L410">CHOOSE(GetCSVIndex(A2,207+3780)+1,"","Station","Block","","Delay")</f>
        <v>#VALUE!</v>
      </c>
      <c r="M410" s="29" t="str" cm="1">
        <f t="array" ref="M410">GetCSVIndex(A2,208+3780)</f>
        <v/>
      </c>
      <c r="N410" s="27" t="str" cm="1">
        <f t="array" ref="N410">GetCSVIndex(A2,308+3780)</f>
        <v/>
      </c>
      <c r="O410" s="43" t="str" cm="1">
        <f t="array" ref="O410">GetCSVIndex(A2,371+3780)</f>
        <v/>
      </c>
    </row>
    <row r="411" spans="1:15" ht="21" customHeight="1" x14ac:dyDescent="0.25">
      <c r="A411" s="42"/>
      <c r="B411" s="25"/>
      <c r="C411" s="25"/>
      <c r="D411" s="26"/>
      <c r="E411" s="45">
        <v>27</v>
      </c>
      <c r="F411" s="29" t="e" cm="1">
        <f t="array" ref="F411">CHOOSE(GetCSVIndex(A2,114+3780)+1,"","Station","Block","","Delay")</f>
        <v>#VALUE!</v>
      </c>
      <c r="G411" s="29" t="str" cm="1">
        <f t="array" ref="G411">GetCSVIndex(A2,115+3780)</f>
        <v/>
      </c>
      <c r="H411" s="45" t="str" cm="1">
        <f t="array" ref="H411">GetCSVIndex(A2,277+3780)</f>
        <v/>
      </c>
      <c r="I411" s="29" t="str" cm="1">
        <f t="array" ref="I411">GetCSVIndex(A2,340+3780)</f>
        <v/>
      </c>
      <c r="J411" s="26"/>
      <c r="K411" s="45">
        <v>59</v>
      </c>
      <c r="L411" s="29" t="e" cm="1">
        <f t="array" ref="L411">CHOOSE(GetCSVIndex(A2,210+3780)+1,"","Station","Block","","Delay")</f>
        <v>#VALUE!</v>
      </c>
      <c r="M411" s="29" t="str" cm="1">
        <f t="array" ref="M411">GetCSVIndex(A2,211+3780)</f>
        <v/>
      </c>
      <c r="N411" s="27" t="str" cm="1">
        <f t="array" ref="N411">GetCSVIndex(A2,309+3780)</f>
        <v/>
      </c>
      <c r="O411" s="43" t="str" cm="1">
        <f t="array" ref="O411">GetCSVIndex(A2,372+3780)</f>
        <v/>
      </c>
    </row>
    <row r="412" spans="1:15" ht="21" customHeight="1" x14ac:dyDescent="0.25">
      <c r="A412" s="42"/>
      <c r="B412" s="25"/>
      <c r="C412" s="25"/>
      <c r="D412" s="26"/>
      <c r="E412" s="45">
        <v>28</v>
      </c>
      <c r="F412" s="29" t="e" cm="1">
        <f t="array" ref="F412">CHOOSE(GetCSVIndex(A2,117+3780)+1,"","Station","Block","","Delay")</f>
        <v>#VALUE!</v>
      </c>
      <c r="G412" s="29" t="str" cm="1">
        <f t="array" ref="G412">GetCSVIndex(A2,118+3780)</f>
        <v/>
      </c>
      <c r="H412" s="45" t="str" cm="1">
        <f t="array" ref="H412">GetCSVIndex(A2,278+3780)</f>
        <v/>
      </c>
      <c r="I412" s="29" t="str" cm="1">
        <f t="array" ref="I412">GetCSVIndex(A2,341+3780)</f>
        <v/>
      </c>
      <c r="J412" s="26"/>
      <c r="K412" s="45">
        <v>60</v>
      </c>
      <c r="L412" s="29" t="e" cm="1">
        <f t="array" ref="L412">CHOOSE(GetCSVIndex(A2,213+3780)+1,"","Station","Block","","Delay")</f>
        <v>#VALUE!</v>
      </c>
      <c r="M412" s="29" t="str" cm="1">
        <f t="array" ref="M412">GetCSVIndex(A2,214+3780)</f>
        <v/>
      </c>
      <c r="N412" s="27" t="str" cm="1">
        <f t="array" ref="N412">GetCSVIndex(A2,310+3780)</f>
        <v/>
      </c>
      <c r="O412" s="43" t="str" cm="1">
        <f t="array" ref="O412">GetCSVIndex(A2,373+3780)</f>
        <v/>
      </c>
    </row>
    <row r="413" spans="1:15" ht="21" customHeight="1" x14ac:dyDescent="0.25">
      <c r="A413" s="42"/>
      <c r="B413" s="25"/>
      <c r="C413" s="25"/>
      <c r="D413" s="26"/>
      <c r="E413" s="45">
        <v>29</v>
      </c>
      <c r="F413" s="29" t="e" cm="1">
        <f t="array" ref="F413">CHOOSE(GetCSVIndex(A2,120+3780)+1,"","Station","Block","","Delay")</f>
        <v>#VALUE!</v>
      </c>
      <c r="G413" s="29" t="str" cm="1">
        <f t="array" ref="G413">GetCSVIndex(A2,121+3780)</f>
        <v/>
      </c>
      <c r="H413" s="45" t="str" cm="1">
        <f t="array" ref="H413">GetCSVIndex(A2,279+3780)</f>
        <v/>
      </c>
      <c r="I413" s="29" t="str" cm="1">
        <f t="array" ref="I413">GetCSVIndex(A2,342+3780)</f>
        <v/>
      </c>
      <c r="J413" s="26"/>
      <c r="K413" s="45">
        <v>61</v>
      </c>
      <c r="L413" s="29" t="e" cm="1">
        <f t="array" ref="L413">CHOOSE(GetCSVIndex(A2,216+3780)+1,"","Station","Block","","Delay")</f>
        <v>#VALUE!</v>
      </c>
      <c r="M413" s="29" t="str" cm="1">
        <f t="array" ref="M413">GetCSVIndex(A2,217+3780)</f>
        <v/>
      </c>
      <c r="N413" s="27" t="str" cm="1">
        <f t="array" ref="N413">GetCSVIndex(A2,311+3780)</f>
        <v/>
      </c>
      <c r="O413" s="43" t="str" cm="1">
        <f t="array" ref="O413">GetCSVIndex(A2,374+3780)</f>
        <v/>
      </c>
    </row>
    <row r="414" spans="1:15" ht="21" customHeight="1" x14ac:dyDescent="0.25">
      <c r="A414" s="42"/>
      <c r="B414" s="25"/>
      <c r="C414" s="25"/>
      <c r="D414" s="26"/>
      <c r="E414" s="45">
        <v>30</v>
      </c>
      <c r="F414" s="29" t="e" cm="1">
        <f t="array" ref="F414">CHOOSE(GetCSVIndex(A2,123+3780)+1,"","Station","Block","","Delay")</f>
        <v>#VALUE!</v>
      </c>
      <c r="G414" s="29" t="str" cm="1">
        <f t="array" ref="G414">GetCSVIndex(A2,124+3780)</f>
        <v/>
      </c>
      <c r="H414" s="45" t="str" cm="1">
        <f t="array" ref="H414">GetCSVIndex(A2,280+3780)</f>
        <v/>
      </c>
      <c r="I414" s="29" t="str" cm="1">
        <f t="array" ref="I414">GetCSVIndex(A2,343+3780)</f>
        <v/>
      </c>
      <c r="J414" s="26"/>
      <c r="K414" s="45">
        <v>62</v>
      </c>
      <c r="L414" s="29" t="e" cm="1">
        <f t="array" ref="L414">CHOOSE(GetCSVIndex(A2,219+3780)+1,"","Station","Block","","Delay")</f>
        <v>#VALUE!</v>
      </c>
      <c r="M414" s="29" t="str" cm="1">
        <f t="array" ref="M414">GetCSVIndex(A2,220+3780)</f>
        <v/>
      </c>
      <c r="N414" s="27" t="str" cm="1">
        <f t="array" ref="N414">GetCSVIndex(A2,312+3780)</f>
        <v/>
      </c>
      <c r="O414" s="43" t="str" cm="1">
        <f t="array" ref="O414">GetCSVIndex(A2,375+3780)</f>
        <v/>
      </c>
    </row>
    <row r="415" spans="1:15" ht="21" customHeight="1" x14ac:dyDescent="0.25">
      <c r="A415" s="42"/>
      <c r="B415" s="25"/>
      <c r="C415" s="25"/>
      <c r="D415" s="26"/>
      <c r="E415" s="45">
        <v>31</v>
      </c>
      <c r="F415" s="29" t="e" cm="1">
        <f t="array" ref="F415">CHOOSE(GetCSVIndex(A2,126+3780)+1,"","Station","Block","","Delay")</f>
        <v>#VALUE!</v>
      </c>
      <c r="G415" s="29" t="str" cm="1">
        <f t="array" ref="G415">GetCSVIndex(A2,127+3780)</f>
        <v/>
      </c>
      <c r="H415" s="45" t="str" cm="1">
        <f t="array" ref="H415">GetCSVIndex(A2,281+3780)</f>
        <v/>
      </c>
      <c r="I415" s="29" t="str" cm="1">
        <f t="array" ref="I415">GetCSVIndex(A2,344+3780)</f>
        <v/>
      </c>
      <c r="J415" s="26"/>
      <c r="K415" s="45">
        <v>63</v>
      </c>
      <c r="L415" s="29" t="e" cm="1">
        <f t="array" ref="L415">CHOOSE(GetCSVIndex(A2,222+3780)+1,"","Station","Block","","Delay")</f>
        <v>#VALUE!</v>
      </c>
      <c r="M415" s="29" t="str" cm="1">
        <f t="array" ref="M415">GetCSVIndex(A2,223+3780)</f>
        <v/>
      </c>
      <c r="N415" s="27" t="str" cm="1">
        <f t="array" ref="N415">GetCSVIndex(A2,313+3780)</f>
        <v/>
      </c>
      <c r="O415" s="43" t="str" cm="1">
        <f t="array" ref="O415">GetCSVIndex(A2,376+3780)</f>
        <v/>
      </c>
    </row>
    <row r="416" spans="1:15" ht="21" customHeight="1" x14ac:dyDescent="0.25">
      <c r="A416" s="37"/>
      <c r="B416" s="28"/>
      <c r="C416" s="29"/>
      <c r="D416" s="29"/>
      <c r="E416" s="45">
        <v>32</v>
      </c>
      <c r="F416" s="29" t="e" cm="1">
        <f t="array" ref="F416">CHOOSE(GetCSVIndex(A2,129+3780)+1,"","Station","Block","","Delay")</f>
        <v>#VALUE!</v>
      </c>
      <c r="G416" s="29" t="str" cm="1">
        <f t="array" ref="G416">GetCSVIndex(A2,130+3780)</f>
        <v/>
      </c>
      <c r="H416" s="45" t="str" cm="1">
        <f t="array" ref="H416">GetCSVIndex(A2,282+3780)</f>
        <v/>
      </c>
      <c r="I416" s="29" t="str" cm="1">
        <f t="array" ref="I416">GetCSVIndex(A2,345+3780)</f>
        <v/>
      </c>
      <c r="J416" s="29"/>
      <c r="K416" s="45">
        <v>64</v>
      </c>
      <c r="L416" s="29" t="e" cm="1">
        <f t="array" ref="L416">CHOOSE(GetCSVIndex(A2,225+3780)+1,"","Station","Block","","Delay")</f>
        <v>#VALUE!</v>
      </c>
      <c r="M416" s="29" t="str" cm="1">
        <f t="array" ref="M416">GetCSVIndex(A2,226+3780)</f>
        <v/>
      </c>
      <c r="N416" s="27" t="str" cm="1">
        <f t="array" ref="N416">GetCSVIndex(A2,314+3780)</f>
        <v/>
      </c>
      <c r="O416" s="43" t="str" cm="1">
        <f t="array" ref="O416">GetCSVIndex(A2,377+3780)</f>
        <v/>
      </c>
    </row>
    <row r="417" spans="1:15" ht="23.25" customHeight="1" x14ac:dyDescent="0.25">
      <c r="A417" s="51" t="str" cm="1">
        <f t="array" ref="A417">CONCATENATE("Schedule  Program Number : ", GetCSVIndex(A2,5+4158))</f>
        <v xml:space="preserve">Schedule  Program Number : </v>
      </c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3"/>
    </row>
    <row r="418" spans="1:15" ht="21" customHeight="1" x14ac:dyDescent="0.25">
      <c r="A418" s="20" t="s">
        <v>44</v>
      </c>
      <c r="B418" s="22" t="str" cm="1">
        <f t="array" ref="B418">GetCSVIndex(A2,5+4158)</f>
        <v/>
      </c>
      <c r="C418" s="18"/>
      <c r="D418" s="18"/>
      <c r="E418" s="18"/>
      <c r="F418" s="18"/>
      <c r="G418" s="18" t="s">
        <v>19</v>
      </c>
      <c r="H418" s="18" t="e" cm="1">
        <f t="array" ref="H418">CHOOSE(GetCSVIndex(A2,7+4158)+1, "Days of Week", "Odd/Even", "Interval","Manual")</f>
        <v>#VALUE!</v>
      </c>
      <c r="I418" s="18"/>
      <c r="J418" s="15"/>
      <c r="K418" s="15"/>
      <c r="L418" s="15"/>
      <c r="M418" s="15"/>
      <c r="N418" s="15"/>
      <c r="O418" s="16"/>
    </row>
    <row r="419" spans="1:15" ht="18" customHeight="1" x14ac:dyDescent="0.25">
      <c r="A419" s="21" t="s">
        <v>20</v>
      </c>
      <c r="B419" s="19" t="e" cm="1">
        <f t="array" ref="B419">CHOOSE(GetCSVIndex(A2,24+4158)+1, "Program", "Global", "Monthly","Solar Sync")</f>
        <v>#VALUE!</v>
      </c>
      <c r="C419" s="19"/>
      <c r="D419" s="19"/>
      <c r="E419" s="19"/>
      <c r="F419" s="19" t="s">
        <v>21</v>
      </c>
      <c r="G419" s="19" t="e" cm="1">
        <f t="array" ref="G419">IF(CHOOSE(GetCSVIndex(A2,7+4158)+1,IF(_xlfn.BITAND(GetCSVIndex(A2,8+4158), 2^0)=0, 0, 1),IF(_xlfn.BITAND(GetCSVIndex(A2,9+4158), 2^0)=0, 0, 1),IF(_xlfn.BITAND(GetCSVIndex(A2,10+4158), 2^0)=0, 0, 1)) =1,"Mon","")</f>
        <v>#VALUE!</v>
      </c>
      <c r="H419" s="19" t="e" cm="1">
        <f t="array" ref="H419">CONCATENATE(IF(CHOOSE(GetCSVIndex(A2,7+4158)+1,IF(_xlfn.BITAND(GetCSVIndex(A2,8+4158), 2^1)=0, 0, 1),IF(_xlfn.BITAND(GetCSVIndex(A2,9+4158), 2^1)=0, 0, 1),IF(_xlfn.BITAND(GetCSVIndex(A2,10+4158), 2^1)=0, 0, 1)) =1,"Tue       ","       "),IF(CHOOSE(GetCSVIndex(A2,7+4158)+1,IF(_xlfn.BITAND(GetCSVIndex(A2,8+4158), 2^2)=0, 0, 1),IF(_xlfn.BITAND(GetCSVIndex(A2,9+4158), 2^2)=0, 0, 1),IF(_xlfn.BITAND(GetCSVIndex(A2,10+4158), 2^2)=0, 0, 1)) =1,"Wed",""),IF(CHOOSE(GetCSVIndex(A2,7+4158)+1,IF(_xlfn.BITAND(GetCSVIndex(A2,8+4158), 2^3)=0, 0, 1),IF(_xlfn.BITAND(GetCSVIndex(A2,9+4158), 2^3)=0, 0, 1),IF(_xlfn.BITAND(GetCSVIndex(A2,10+4158), 2^3)=0, 0, 1)) =1,"       Thu","       "))</f>
        <v>#VALUE!</v>
      </c>
      <c r="I419" s="32" t="e" cm="1">
        <f t="array" ref="I419">CONCATENATE(IF(CHOOSE(GetCSVIndex(A2,7+4158)+1,IF(_xlfn.BITAND(GetCSVIndex(A2,8+4158), 2^4)=0, 0, 1),IF(_xlfn.BITAND(GetCSVIndex(A2,9+4158), 2^4)=0, 0, 1),IF(_xlfn.BITAND(GetCSVIndex(A2,10+4158), 2^4)=0, 0, 1)) =1,"Fri       ","       "),IF(CHOOSE(GetCSVIndex(A2,7+4158)+1,IF(_xlfn.BITAND(GetCSVIndex(A2,8+4158), 2^5)=0, 0, 1),IF(_xlfn.BITAND(GetCSVIndex(A2,9+4158), 2^5)=0, 0, 1),IF(_xlfn.BITAND(GetCSVIndex(A2,10+4158), 2^5)=0, 0, 1)) =1,"Sat",""),IF(CHOOSE(GetCSVIndex(A2,7+4158)+1,IF(_xlfn.BITAND(GetCSVIndex(A2,8+4158), 2^6)=0, 0, 1),IF(_xlfn.BITAND(GetCSVIndex(A2,9+4158), 2^6)=0, 0, 1),IF(_xlfn.BITAND(GetCSVIndex(A2,10+4158), 2^6)=0, 0, 1)) =1,"       Sun","       "))</f>
        <v>#VALUE!</v>
      </c>
      <c r="J419" s="19"/>
      <c r="K419" s="19"/>
      <c r="L419" s="32" t="s">
        <v>22</v>
      </c>
      <c r="M419" s="19"/>
      <c r="N419" s="19" t="str" cm="1">
        <f t="array" ref="N419">IF(GetCSVIndex(A2,26+4158)="1","Enable","Disable")</f>
        <v>Disable</v>
      </c>
      <c r="O419" s="24"/>
    </row>
    <row r="420" spans="1:15" ht="18" customHeight="1" x14ac:dyDescent="0.25">
      <c r="A420" s="21" t="str" cm="1">
        <f t="array" ref="A420">CONCATENATE("Program ", GetCSVIndex(A2,5+4158))</f>
        <v xml:space="preserve">Program </v>
      </c>
      <c r="B420" s="23" t="str" cm="1">
        <f t="array" ref="B420">CONCATENATE(GetCSVIndex(A2,25+4158)," %")</f>
        <v xml:space="preserve"> %</v>
      </c>
      <c r="C420" s="19"/>
      <c r="D420" s="19"/>
      <c r="E420" s="19"/>
      <c r="F420" s="19" t="str" cm="1">
        <f t="array" ref="F420">IF(GetCSVIndex(A2,7)="2","Water Every"," ")</f>
        <v xml:space="preserve"> </v>
      </c>
      <c r="G420" s="47" t="str" cm="1">
        <f t="array" ref="G420">IF(GetCSVIndex(A2,7+4158)="2",GetCSVIndex(A2,11+4158)," ")</f>
        <v xml:space="preserve"> </v>
      </c>
      <c r="H420" s="19" t="str" cm="1">
        <f t="array" ref="H420">IF(GetCSVIndex(A2,7+4158)="2","Days"," ")</f>
        <v xml:space="preserve"> </v>
      </c>
      <c r="I420" s="32" t="str" cm="1">
        <f t="array" ref="I420">IF(GetCSVIndex(A2,7+4158)="2","Water After"," ")</f>
        <v xml:space="preserve"> </v>
      </c>
      <c r="J420" s="19"/>
      <c r="K420" s="19" t="str" cm="1">
        <f t="array" ref="K420">IF(GetCSVIndex(A2,7+4158)="2",GetCSVIndex(A2,12+4158)," ")</f>
        <v xml:space="preserve"> </v>
      </c>
      <c r="L420" s="47" t="str" cm="1">
        <f t="array" ref="L420">IF(GetCSVIndex(A2,7+4158)="2","Days"," ")</f>
        <v xml:space="preserve"> </v>
      </c>
      <c r="M420" s="32"/>
      <c r="N420" s="32"/>
      <c r="O420" s="24"/>
    </row>
    <row r="421" spans="1:15" ht="21" customHeight="1" x14ac:dyDescent="0.25">
      <c r="A421" s="20" t="s">
        <v>23</v>
      </c>
      <c r="B421" s="18" t="s">
        <v>24</v>
      </c>
      <c r="C421" s="18" t="str" cm="1">
        <f t="array" ref="C421">CHOOSE(GetCSVIndex(A2,13)+1, "Auto", "Start to End","Manual")</f>
        <v>Start to End</v>
      </c>
      <c r="D421" s="31"/>
      <c r="E421" s="17" t="s">
        <v>38</v>
      </c>
      <c r="F421" s="18" t="s">
        <v>39</v>
      </c>
      <c r="G421" s="18" t="s">
        <v>40</v>
      </c>
      <c r="H421" s="18" t="s">
        <v>41</v>
      </c>
      <c r="I421" s="18" t="s">
        <v>43</v>
      </c>
      <c r="J421" s="31"/>
      <c r="K421" s="17" t="s">
        <v>38</v>
      </c>
      <c r="L421" s="18" t="s">
        <v>39</v>
      </c>
      <c r="M421" s="18" t="s">
        <v>40</v>
      </c>
      <c r="N421" s="22" t="s">
        <v>41</v>
      </c>
      <c r="O421" s="44" t="s">
        <v>42</v>
      </c>
    </row>
    <row r="422" spans="1:15" ht="21" customHeight="1" x14ac:dyDescent="0.25">
      <c r="A422" s="36" t="s">
        <v>25</v>
      </c>
      <c r="B422" s="46" t="str" cm="1">
        <f t="array" ref="B422">IF(GetCSVIndex(A2,6+4158)="1","Over","Stack")</f>
        <v>Stack</v>
      </c>
      <c r="C422" s="26" t="str" cm="1">
        <f t="array" ref="C422">GetCSVIndex(A2,29+4158)</f>
        <v/>
      </c>
      <c r="D422" s="25"/>
      <c r="E422" s="45">
        <v>1</v>
      </c>
      <c r="F422" s="29" t="e" cm="1">
        <f t="array" ref="F422">CHOOSE(GetCSVIndex(A2,36+4158)+1,"","Station","Block","","Delay")</f>
        <v>#VALUE!</v>
      </c>
      <c r="G422" s="29" t="str" cm="1">
        <f t="array" ref="G422">GetCSVIndex(A2,37+4158)</f>
        <v/>
      </c>
      <c r="H422" s="45" t="str" cm="1">
        <f t="array" ref="H422">GetCSVIndex(A2,3+4158)</f>
        <v/>
      </c>
      <c r="I422" s="29" t="str" cm="1">
        <f t="array" ref="I422">GetCSVIndex(A2,1+4158)</f>
        <v/>
      </c>
      <c r="J422" s="25"/>
      <c r="K422" s="45">
        <v>33</v>
      </c>
      <c r="L422" s="29" t="e" cm="1">
        <f t="array" ref="L422">CHOOSE(GetCSVIndex(A2,132+4158)+1,"","Station","Block","","Delay")</f>
        <v>#VALUE!</v>
      </c>
      <c r="M422" s="29" t="str" cm="1">
        <f t="array" ref="M422">GetCSVIndex(A2,133+4158)</f>
        <v/>
      </c>
      <c r="N422" s="27" t="str" cm="1">
        <f t="array" ref="N422">GetCSVIndex(A2,283+4158)</f>
        <v/>
      </c>
      <c r="O422" s="43" t="str" cm="1">
        <f t="array" ref="O422">GetCSVIndex(A2,346+4158)</f>
        <v/>
      </c>
    </row>
    <row r="423" spans="1:15" ht="21" customHeight="1" x14ac:dyDescent="0.25">
      <c r="A423" s="36" t="s">
        <v>26</v>
      </c>
      <c r="B423" s="25" t="str" cm="1">
        <f t="array" ref="B423">IF(GetCSVIndex(A2,2+4158)="1092:15","Not Set",CONCATENATE("From     ",GetCSVIndex(A2,2+4158)))</f>
        <v xml:space="preserve">From     </v>
      </c>
      <c r="C423" s="26" t="str" cm="1">
        <f t="array" ref="C423">IF(GetCSVIndex(C4,1+22)="1092:15","Not Set",CONCATENATE("To     ",GetCSVIndex(C4,1+22)))</f>
        <v xml:space="preserve">To     </v>
      </c>
      <c r="D423" s="25"/>
      <c r="E423" s="45">
        <v>2</v>
      </c>
      <c r="F423" s="29" t="e" cm="1">
        <f t="array" ref="F423">CHOOSE(GetCSVIndex(A2,39+4158)+1,"","Station","Block","","Delay")</f>
        <v>#VALUE!</v>
      </c>
      <c r="G423" s="29" t="str" cm="1">
        <f t="array" ref="G423">GetCSVIndex(A2,40+4158)</f>
        <v/>
      </c>
      <c r="H423" s="45" t="str" cm="1">
        <f t="array" ref="H423">GetCSVIndex(A2,252+4158)</f>
        <v/>
      </c>
      <c r="I423" s="29" t="str" cm="1">
        <f t="array" ref="I423">GetCSVIndex(A2,315+4158)</f>
        <v/>
      </c>
      <c r="J423" s="25"/>
      <c r="K423" s="45">
        <v>34</v>
      </c>
      <c r="L423" s="29" t="e" cm="1">
        <f t="array" ref="L423">CHOOSE(GetCSVIndex(A2,135+4158)+1,"","Station","Block","","Delay")</f>
        <v>#VALUE!</v>
      </c>
      <c r="M423" s="29" t="str" cm="1">
        <f t="array" ref="M423">GetCSVIndex(A2,136+4158)</f>
        <v/>
      </c>
      <c r="N423" s="27" t="str" cm="1">
        <f t="array" ref="N423">GetCSVIndex(A2,284+4158)</f>
        <v/>
      </c>
      <c r="O423" s="43" t="str" cm="1">
        <f t="array" ref="O423">GetCSVIndex(A2,347+4158)</f>
        <v/>
      </c>
    </row>
    <row r="424" spans="1:15" ht="21" customHeight="1" x14ac:dyDescent="0.25">
      <c r="A424" s="36" t="s">
        <v>27</v>
      </c>
      <c r="B424" s="25"/>
      <c r="C424" s="26" t="str" cm="1">
        <f t="array" ref="C424">CONCATENATE(GetCSVIndex(A2,249+4158),":", GetCSVIndex(A2,250+4158),":", GetCSVIndex(A2,251+4158))</f>
        <v>::</v>
      </c>
      <c r="D424" s="26"/>
      <c r="E424" s="45">
        <v>3</v>
      </c>
      <c r="F424" s="29" t="e" cm="1">
        <f t="array" ref="F424">CHOOSE(GetCSVIndex(A2,42+4158)+1,"","Station","Block","","Delay")</f>
        <v>#VALUE!</v>
      </c>
      <c r="G424" s="29" t="str" cm="1">
        <f t="array" ref="G424">GetCSVIndex(A2,43+4158)</f>
        <v/>
      </c>
      <c r="H424" s="45" t="str" cm="1">
        <f t="array" ref="H424">GetCSVIndex(A2,253+4158)</f>
        <v/>
      </c>
      <c r="I424" s="29" t="str" cm="1">
        <f t="array" ref="I424">GetCSVIndex(A2,316+4158)</f>
        <v/>
      </c>
      <c r="J424" s="25"/>
      <c r="K424" s="45">
        <v>35</v>
      </c>
      <c r="L424" s="29" t="e" cm="1">
        <f t="array" ref="L424">CHOOSE(GetCSVIndex(A2,138+4158)+1,"","Station","Block","","Delay")</f>
        <v>#VALUE!</v>
      </c>
      <c r="M424" s="29" t="str" cm="1">
        <f t="array" ref="M424">GetCSVIndex(A2,139+4158)</f>
        <v/>
      </c>
      <c r="N424" s="27" t="str" cm="1">
        <f t="array" ref="N424">GetCSVIndex(A2,285+4158)</f>
        <v/>
      </c>
      <c r="O424" s="43" t="str" cm="1">
        <f t="array" ref="O424">GetCSVIndex(A2,348+4158)</f>
        <v/>
      </c>
    </row>
    <row r="425" spans="1:15" ht="21" customHeight="1" x14ac:dyDescent="0.25">
      <c r="A425" s="36"/>
      <c r="B425" s="25"/>
      <c r="C425" s="25"/>
      <c r="D425" s="25"/>
      <c r="E425" s="45">
        <v>4</v>
      </c>
      <c r="F425" s="29" t="e" cm="1">
        <f t="array" ref="F425">CHOOSE(GetCSVIndex(A2,45+4158)+1,"","Station","Block","","Delay")</f>
        <v>#VALUE!</v>
      </c>
      <c r="G425" s="29" t="str" cm="1">
        <f t="array" ref="G425">GetCSVIndex(A2,46+4158)</f>
        <v/>
      </c>
      <c r="H425" s="45" t="str" cm="1">
        <f t="array" ref="H425">GetCSVIndex(A2,254+4158)</f>
        <v/>
      </c>
      <c r="I425" s="29" t="str" cm="1">
        <f t="array" ref="I425">GetCSVIndex(A2,317+4158)</f>
        <v/>
      </c>
      <c r="J425" s="25"/>
      <c r="K425" s="45">
        <v>36</v>
      </c>
      <c r="L425" s="29" t="e" cm="1">
        <f t="array" ref="L425">CHOOSE(GetCSVIndex(A2,141+4158)+1,"","Station","Block","","Delay")</f>
        <v>#VALUE!</v>
      </c>
      <c r="M425" s="29" t="str" cm="1">
        <f t="array" ref="M425">GetCSVIndex(A2,142+4158)</f>
        <v/>
      </c>
      <c r="N425" s="27" t="str" cm="1">
        <f t="array" ref="N425">GetCSVIndex(A2,286+4158)</f>
        <v/>
      </c>
      <c r="O425" s="43" t="str" cm="1">
        <f t="array" ref="O425">GetCSVIndex(A2,349+4158)</f>
        <v/>
      </c>
    </row>
    <row r="426" spans="1:15" ht="21" customHeight="1" x14ac:dyDescent="0.25">
      <c r="A426" s="37" t="s">
        <v>28</v>
      </c>
      <c r="B426" s="28"/>
      <c r="C426" s="29" t="str" cm="1">
        <f t="array" ref="C426">IF(GetCSVIndex(A2,14+4158)&lt;&gt;"65535",CONCATENATE(GetCSVIndex(A2,229+4158),":", GetCSVIndex(A2,239+4158)),"OFF")</f>
        <v>:</v>
      </c>
      <c r="D426" s="25"/>
      <c r="E426" s="45">
        <v>5</v>
      </c>
      <c r="F426" s="29" t="e" cm="1">
        <f t="array" ref="F426">CHOOSE(GetCSVIndex(A2,48+4158)+1,"","Station","Block","","Delay")</f>
        <v>#VALUE!</v>
      </c>
      <c r="G426" s="29" t="str" cm="1">
        <f t="array" ref="G426">GetCSVIndex(A2,49+4158)</f>
        <v/>
      </c>
      <c r="H426" s="45" t="str" cm="1">
        <f t="array" ref="H426">GetCSVIndex(A2,255+4158)</f>
        <v/>
      </c>
      <c r="I426" s="29" t="str" cm="1">
        <f t="array" ref="I426">GetCSVIndex(A2,318+4158)</f>
        <v/>
      </c>
      <c r="J426" s="25"/>
      <c r="K426" s="45">
        <v>37</v>
      </c>
      <c r="L426" s="29" t="e" cm="1">
        <f t="array" ref="L426">CHOOSE(GetCSVIndex(A2,144+4158)+1,"","Station","Block","","Delay")</f>
        <v>#VALUE!</v>
      </c>
      <c r="M426" s="29" t="str" cm="1">
        <f t="array" ref="M426">GetCSVIndex(A2,145+4158)</f>
        <v/>
      </c>
      <c r="N426" s="27" t="str" cm="1">
        <f t="array" ref="N426">GetCSVIndex(A2,287+4158)</f>
        <v/>
      </c>
      <c r="O426" s="43" t="str" cm="1">
        <f t="array" ref="O426">GetCSVIndex(A2,350+4158)</f>
        <v/>
      </c>
    </row>
    <row r="427" spans="1:15" ht="21" customHeight="1" x14ac:dyDescent="0.25">
      <c r="A427" s="38" t="s">
        <v>29</v>
      </c>
      <c r="B427" s="30"/>
      <c r="C427" s="29" t="str" cm="1">
        <f t="array" ref="C427">IF(GetCSVIndex(A2,15+4158)&lt;&gt;"65535",CONCATENATE(GetCSVIndex(A2,231+4158),":", GetCSVIndex(A2,241+4158)),"OFF")</f>
        <v>:</v>
      </c>
      <c r="D427" s="25"/>
      <c r="E427" s="45">
        <v>6</v>
      </c>
      <c r="F427" s="29" t="e" cm="1">
        <f t="array" ref="F427">CHOOSE(GetCSVIndex(A2,51+4158)+1,"","Station","Block","","Delay")</f>
        <v>#VALUE!</v>
      </c>
      <c r="G427" s="29" t="str" cm="1">
        <f t="array" ref="G427">GetCSVIndex(A2,52+4158)</f>
        <v/>
      </c>
      <c r="H427" s="45" t="str" cm="1">
        <f t="array" ref="H427">GetCSVIndex(A2,256+4158)</f>
        <v/>
      </c>
      <c r="I427" s="29" t="str" cm="1">
        <f t="array" ref="I427">GetCSVIndex(A2,319+4158)</f>
        <v/>
      </c>
      <c r="J427" s="25"/>
      <c r="K427" s="45">
        <v>38</v>
      </c>
      <c r="L427" s="29" t="e" cm="1">
        <f t="array" ref="L427">CHOOSE(GetCSVIndex(A2,147+4158)+1,"","Station","Block","","Delay")</f>
        <v>#VALUE!</v>
      </c>
      <c r="M427" s="29" t="str" cm="1">
        <f t="array" ref="M427">GetCSVIndex(A2,148+4158)</f>
        <v/>
      </c>
      <c r="N427" s="27" t="str" cm="1">
        <f t="array" ref="N427">GetCSVIndex(A2,288+4158)</f>
        <v/>
      </c>
      <c r="O427" s="43" t="str" cm="1">
        <f t="array" ref="O427">GetCSVIndex(A2,351+4158)</f>
        <v/>
      </c>
    </row>
    <row r="428" spans="1:15" ht="21" customHeight="1" x14ac:dyDescent="0.25">
      <c r="A428" s="38" t="s">
        <v>30</v>
      </c>
      <c r="B428" s="30"/>
      <c r="C428" s="29" t="str" cm="1">
        <f t="array" ref="C428">IF(GetCSVIndex(A2,16+4158)&lt;&gt;"65535",CONCATENATE(GetCSVIndex(A2,232+4158),":", GetCSVIndex(A2,242+4158)),"OFF")</f>
        <v>:</v>
      </c>
      <c r="D428" s="25"/>
      <c r="E428" s="45">
        <v>7</v>
      </c>
      <c r="F428" s="29" t="e" cm="1">
        <f t="array" ref="F428">CHOOSE(GetCSVIndex(A2,54+4158)+1,"","Station","Block","","Delay")</f>
        <v>#VALUE!</v>
      </c>
      <c r="G428" s="29" t="str" cm="1">
        <f t="array" ref="G428">GetCSVIndex(A2,55+4158)</f>
        <v/>
      </c>
      <c r="H428" s="45" t="str" cm="1">
        <f t="array" ref="H428">GetCSVIndex(A2,257+4158)</f>
        <v/>
      </c>
      <c r="I428" s="29" t="str" cm="1">
        <f t="array" ref="I428">GetCSVIndex(A2,320+4158)</f>
        <v/>
      </c>
      <c r="J428" s="25"/>
      <c r="K428" s="45">
        <v>39</v>
      </c>
      <c r="L428" s="29" t="e" cm="1">
        <f t="array" ref="L428">CHOOSE(GetCSVIndex(A2,150+4158)+1,"","Station","Block","","Delay")</f>
        <v>#VALUE!</v>
      </c>
      <c r="M428" s="29" t="str" cm="1">
        <f t="array" ref="M428">GetCSVIndex(A2,151+4158)</f>
        <v/>
      </c>
      <c r="N428" s="27" t="str" cm="1">
        <f t="array" ref="N428">GetCSVIndex(A2,289+4158)</f>
        <v/>
      </c>
      <c r="O428" s="43" t="str" cm="1">
        <f t="array" ref="O428">GetCSVIndex(A2,352+4158)</f>
        <v/>
      </c>
    </row>
    <row r="429" spans="1:15" ht="21" customHeight="1" x14ac:dyDescent="0.25">
      <c r="A429" s="38" t="s">
        <v>31</v>
      </c>
      <c r="B429" s="30"/>
      <c r="C429" s="29" t="str" cm="1">
        <f t="array" ref="C429">IF(GetCSVIndex(A2,17+4158)&lt;&gt;"65535",CONCATENATE(GetCSVIndex(A2,233+4158),":", GetCSVIndex(A2,243+4158)),"OFF")</f>
        <v>:</v>
      </c>
      <c r="D429" s="25"/>
      <c r="E429" s="45">
        <v>8</v>
      </c>
      <c r="F429" s="29" t="e" cm="1">
        <f t="array" ref="F429">CHOOSE(GetCSVIndex(A2,57+4158)+1,"","Station","Block","","Delay")</f>
        <v>#VALUE!</v>
      </c>
      <c r="G429" s="29" t="str" cm="1">
        <f t="array" ref="G429">GetCSVIndex(A2,58+4158)</f>
        <v/>
      </c>
      <c r="H429" s="45" t="str" cm="1">
        <f t="array" ref="H429">GetCSVIndex(A2,258+4158)</f>
        <v/>
      </c>
      <c r="I429" s="29" t="str" cm="1">
        <f t="array" ref="I429">GetCSVIndex(A2,321+4158)</f>
        <v/>
      </c>
      <c r="J429" s="25"/>
      <c r="K429" s="45">
        <v>40</v>
      </c>
      <c r="L429" s="29" t="e" cm="1">
        <f t="array" ref="L429">CHOOSE(GetCSVIndex(A2,153+4158)+1,"","Station","Block","","Delay")</f>
        <v>#VALUE!</v>
      </c>
      <c r="M429" s="29" t="str" cm="1">
        <f t="array" ref="M429">GetCSVIndex(A2,154+4158)</f>
        <v/>
      </c>
      <c r="N429" s="27" t="str" cm="1">
        <f t="array" ref="N429">GetCSVIndex(A2,290+4158)</f>
        <v/>
      </c>
      <c r="O429" s="43" t="str" cm="1">
        <f t="array" ref="O429">GetCSVIndex(A2,353+4158)</f>
        <v/>
      </c>
    </row>
    <row r="430" spans="1:15" ht="21" customHeight="1" x14ac:dyDescent="0.25">
      <c r="A430" s="38" t="s">
        <v>32</v>
      </c>
      <c r="B430" s="30"/>
      <c r="C430" s="29" t="str" cm="1">
        <f t="array" ref="C430">IF(GetCSVIndex(A2,18+4158)&lt;&gt;"65535",CONCATENATE(GetCSVIndex(A2,234+4158),":", GetCSVIndex(A2,244+4158)),"OFF")</f>
        <v>:</v>
      </c>
      <c r="D430" s="25"/>
      <c r="E430" s="45">
        <v>9</v>
      </c>
      <c r="F430" s="29" t="e" cm="1">
        <f t="array" ref="F430">CHOOSE(GetCSVIndex(A2,60+4158)+1,"","Station","Block","","Delay")</f>
        <v>#VALUE!</v>
      </c>
      <c r="G430" s="29" t="str" cm="1">
        <f t="array" ref="G430">GetCSVIndex(A2,61+4158)</f>
        <v/>
      </c>
      <c r="H430" s="45" t="str" cm="1">
        <f t="array" ref="H430">GetCSVIndex(A2,259+4158)</f>
        <v/>
      </c>
      <c r="I430" s="29" t="str" cm="1">
        <f t="array" ref="I430">GetCSVIndex(A2,322+4158)</f>
        <v/>
      </c>
      <c r="J430" s="25"/>
      <c r="K430" s="45">
        <v>41</v>
      </c>
      <c r="L430" s="29" t="e" cm="1">
        <f t="array" ref="L430">CHOOSE(GetCSVIndex(A2,156+4158)+1,"","Station","Block","","Delay")</f>
        <v>#VALUE!</v>
      </c>
      <c r="M430" s="29" t="str" cm="1">
        <f t="array" ref="M430">GetCSVIndex(A2,157+4158)</f>
        <v/>
      </c>
      <c r="N430" s="27" t="str" cm="1">
        <f t="array" ref="N430">GetCSVIndex(A2,291+4158)</f>
        <v/>
      </c>
      <c r="O430" s="43" t="str" cm="1">
        <f t="array" ref="O430">GetCSVIndex(A2,354+4158)</f>
        <v/>
      </c>
    </row>
    <row r="431" spans="1:15" ht="21" customHeight="1" x14ac:dyDescent="0.25">
      <c r="A431" s="38" t="s">
        <v>33</v>
      </c>
      <c r="B431" s="30"/>
      <c r="C431" s="29" t="str" cm="1">
        <f t="array" ref="C431">IF(GetCSVIndex(A2,19+4158)&lt;&gt;"65535",CONCATENATE(GetCSVIndex(A2,235+4158),":", GetCSVIndex(A2,245+4158)),"OFF")</f>
        <v>:</v>
      </c>
      <c r="D431" s="25"/>
      <c r="E431" s="45">
        <v>10</v>
      </c>
      <c r="F431" s="29" t="e" cm="1">
        <f t="array" ref="F431">CHOOSE(GetCSVIndex(A2,63+4158)+1,"","Station","Block","","Delay")</f>
        <v>#VALUE!</v>
      </c>
      <c r="G431" s="29" t="str" cm="1">
        <f t="array" ref="G431">GetCSVIndex(A2,64+4158)</f>
        <v/>
      </c>
      <c r="H431" s="45" t="str" cm="1">
        <f t="array" ref="H431">GetCSVIndex(A2,260+4158)</f>
        <v/>
      </c>
      <c r="I431" s="29" t="str" cm="1">
        <f t="array" ref="I431">GetCSVIndex(A2,323+4158)</f>
        <v/>
      </c>
      <c r="J431" s="25"/>
      <c r="K431" s="45">
        <v>42</v>
      </c>
      <c r="L431" s="29" t="e" cm="1">
        <f t="array" ref="L431">CHOOSE(GetCSVIndex(A2,159+4158)+1,"","Station","Block","","Delay")</f>
        <v>#VALUE!</v>
      </c>
      <c r="M431" s="29" t="str" cm="1">
        <f t="array" ref="M431">GetCSVIndex(A2,160+4158)</f>
        <v/>
      </c>
      <c r="N431" s="27" t="str" cm="1">
        <f t="array" ref="N431">GetCSVIndex(A2,292+4158)</f>
        <v/>
      </c>
      <c r="O431" s="43" t="str" cm="1">
        <f t="array" ref="O431">GetCSVIndex(A2,355+4158)</f>
        <v/>
      </c>
    </row>
    <row r="432" spans="1:15" ht="21" customHeight="1" x14ac:dyDescent="0.25">
      <c r="A432" s="38" t="s">
        <v>34</v>
      </c>
      <c r="B432" s="30"/>
      <c r="C432" s="29" t="str" cm="1">
        <f t="array" ref="C432">IF(GetCSVIndex(A2,20+4158)&lt;&gt;"65535",CONCATENATE(GetCSVIndex(A2,236+4158),":", GetCSVIndex(A2,246+4158)),"OFF")</f>
        <v>:</v>
      </c>
      <c r="D432" s="25"/>
      <c r="E432" s="45">
        <v>11</v>
      </c>
      <c r="F432" s="29" t="e" cm="1">
        <f t="array" ref="F432">CHOOSE(GetCSVIndex(A2,66+4158)+1,"","Station","Block","","Delay")</f>
        <v>#VALUE!</v>
      </c>
      <c r="G432" s="29" t="str" cm="1">
        <f t="array" ref="G432">GetCSVIndex(A2,67+4158)</f>
        <v/>
      </c>
      <c r="H432" s="45" t="str" cm="1">
        <f t="array" ref="H432">GetCSVIndex(A2,261+4158)</f>
        <v/>
      </c>
      <c r="I432" s="29" t="str" cm="1">
        <f t="array" ref="I432">GetCSVIndex(A2,324+4158)</f>
        <v/>
      </c>
      <c r="J432" s="25"/>
      <c r="K432" s="45">
        <v>43</v>
      </c>
      <c r="L432" s="29" t="e" cm="1">
        <f t="array" ref="L432">CHOOSE(GetCSVIndex(A2,162+4158)+1,"","Station","Block","","Delay")</f>
        <v>#VALUE!</v>
      </c>
      <c r="M432" s="29" t="str" cm="1">
        <f t="array" ref="M432">GetCSVIndex(A2,163+4158)</f>
        <v/>
      </c>
      <c r="N432" s="27" t="str" cm="1">
        <f t="array" ref="N432">GetCSVIndex(A2,293+4158)</f>
        <v/>
      </c>
      <c r="O432" s="43" t="str" cm="1">
        <f t="array" ref="O432">GetCSVIndex(A2,356+4158)</f>
        <v/>
      </c>
    </row>
    <row r="433" spans="1:15" ht="21" customHeight="1" x14ac:dyDescent="0.25">
      <c r="A433" s="38" t="s">
        <v>35</v>
      </c>
      <c r="B433" s="30"/>
      <c r="C433" s="29" t="str" cm="1">
        <f t="array" ref="C433">IF(GetCSVIndex(A2,21+4158)&lt;&gt;"65535",CONCATENATE(GetCSVIndex(A2,237+4158),":", GetCSVIndex(A2,247+4158)),"OFF")</f>
        <v>:</v>
      </c>
      <c r="D433" s="25"/>
      <c r="E433" s="45">
        <v>12</v>
      </c>
      <c r="F433" s="29" t="e" cm="1">
        <f t="array" ref="F433">CHOOSE(GetCSVIndex(A2,69+4158)+1,"","Station","Block","","Delay")</f>
        <v>#VALUE!</v>
      </c>
      <c r="G433" s="29" t="str" cm="1">
        <f t="array" ref="G433">GetCSVIndex(A2,70+4158)</f>
        <v/>
      </c>
      <c r="H433" s="45" t="str" cm="1">
        <f t="array" ref="H433">GetCSVIndex(A2,262+4158)</f>
        <v/>
      </c>
      <c r="I433" s="29" t="str" cm="1">
        <f t="array" ref="I433">GetCSVIndex(A2,325+4158)</f>
        <v/>
      </c>
      <c r="J433" s="25"/>
      <c r="K433" s="45">
        <v>44</v>
      </c>
      <c r="L433" s="29" t="e" cm="1">
        <f t="array" ref="L433">CHOOSE(GetCSVIndex(A2,165+4158)+1,"","Station","Block","","Delay")</f>
        <v>#VALUE!</v>
      </c>
      <c r="M433" s="29" t="str" cm="1">
        <f t="array" ref="M433">GetCSVIndex(A2,166+4158)</f>
        <v/>
      </c>
      <c r="N433" s="27" t="str" cm="1">
        <f t="array" ref="N433">GetCSVIndex(A2,294+4158)</f>
        <v/>
      </c>
      <c r="O433" s="43" t="str" cm="1">
        <f t="array" ref="O433">GetCSVIndex(A2,357+4158)</f>
        <v/>
      </c>
    </row>
    <row r="434" spans="1:15" ht="21" customHeight="1" x14ac:dyDescent="0.25">
      <c r="A434" s="38" t="s">
        <v>36</v>
      </c>
      <c r="B434" s="30"/>
      <c r="C434" s="29" t="str" cm="1">
        <f t="array" ref="C434">IF(GetCSVIndex(A2,22+4158)&lt;&gt;"65535",CONCATENATE(GetCSVIndex(A2,238+4158),":", GetCSVIndex(A2,248+4158)),"OFF")</f>
        <v>:</v>
      </c>
      <c r="D434" s="25"/>
      <c r="E434" s="45">
        <v>13</v>
      </c>
      <c r="F434" s="29" t="e" cm="1">
        <f t="array" ref="F434">CHOOSE(GetCSVIndex(A2,72+4158)+1,"","Station","Block","","Delay")</f>
        <v>#VALUE!</v>
      </c>
      <c r="G434" s="29" t="str" cm="1">
        <f t="array" ref="G434">GetCSVIndex(A2,73+4158)</f>
        <v/>
      </c>
      <c r="H434" s="45" t="str" cm="1">
        <f t="array" ref="H434">GetCSVIndex(A2,263+4158)</f>
        <v/>
      </c>
      <c r="I434" s="29" t="str" cm="1">
        <f t="array" ref="I434">GetCSVIndex(A2,326+4158)</f>
        <v/>
      </c>
      <c r="J434" s="25"/>
      <c r="K434" s="45">
        <v>45</v>
      </c>
      <c r="L434" s="29" t="e" cm="1">
        <f t="array" ref="L434">CHOOSE(GetCSVIndex(A2,168+4158)+1,"","Station","Block","","Delay")</f>
        <v>#VALUE!</v>
      </c>
      <c r="M434" s="29" t="str" cm="1">
        <f t="array" ref="M434">GetCSVIndex(A2,169+4158)</f>
        <v/>
      </c>
      <c r="N434" s="27" t="str" cm="1">
        <f t="array" ref="N434">GetCSVIndex(A2,295+4158)</f>
        <v/>
      </c>
      <c r="O434" s="43" t="str" cm="1">
        <f t="array" ref="O434">GetCSVIndex(A2,358+4158)</f>
        <v/>
      </c>
    </row>
    <row r="435" spans="1:15" ht="21" customHeight="1" x14ac:dyDescent="0.25">
      <c r="A435" s="36" t="s">
        <v>37</v>
      </c>
      <c r="B435" s="25"/>
      <c r="C435" s="29" t="str" cm="1">
        <f t="array" ref="C435">IF(GetCSVIndex(A2,23+4158)&lt;&gt;"65535",CONCATENATE(GetCSVIndex(A2,230+4158),":", GetCSVIndex(A2,240+4158)),"OFF")</f>
        <v>:</v>
      </c>
      <c r="D435" s="25"/>
      <c r="E435" s="45">
        <v>14</v>
      </c>
      <c r="F435" s="29" t="e" cm="1">
        <f t="array" ref="F435">CHOOSE(GetCSVIndex(A2,75+4158)+1,"","Station","Block","","Delay")</f>
        <v>#VALUE!</v>
      </c>
      <c r="G435" s="29" t="str" cm="1">
        <f t="array" ref="G435">GetCSVIndex(A2,76+4158)</f>
        <v/>
      </c>
      <c r="H435" s="45" t="str" cm="1">
        <f t="array" ref="H435">GetCSVIndex(A2,264+4158)</f>
        <v/>
      </c>
      <c r="I435" s="29" t="str" cm="1">
        <f t="array" ref="I435">GetCSVIndex(A2,327+4158)</f>
        <v/>
      </c>
      <c r="J435" s="25"/>
      <c r="K435" s="45">
        <v>46</v>
      </c>
      <c r="L435" s="29" t="e" cm="1">
        <f t="array" ref="L435">CHOOSE(GetCSVIndex(A2,171+4158)+1,"","Station","Block","","Delay")</f>
        <v>#VALUE!</v>
      </c>
      <c r="M435" s="29" t="str" cm="1">
        <f t="array" ref="M435">GetCSVIndex(A2,172+4158)</f>
        <v/>
      </c>
      <c r="N435" s="27" t="str" cm="1">
        <f t="array" ref="N435">GetCSVIndex(A2,296+4158)</f>
        <v/>
      </c>
      <c r="O435" s="43" t="str" cm="1">
        <f t="array" ref="O435">GetCSVIndex(A2,359+4158)</f>
        <v/>
      </c>
    </row>
    <row r="436" spans="1:15" ht="21" customHeight="1" x14ac:dyDescent="0.25">
      <c r="A436" s="39"/>
      <c r="B436" s="40"/>
      <c r="C436" s="41"/>
      <c r="D436" s="26"/>
      <c r="E436" s="45">
        <v>15</v>
      </c>
      <c r="F436" s="29" t="e" cm="1">
        <f t="array" ref="F436">CHOOSE(GetCSVIndex(A2,78+4158)+1,"","Station","Block","","Delay")</f>
        <v>#VALUE!</v>
      </c>
      <c r="G436" s="29" t="str" cm="1">
        <f t="array" ref="G436">GetCSVIndex(A2,79+4158)</f>
        <v/>
      </c>
      <c r="H436" s="45" t="str" cm="1">
        <f t="array" ref="H436">GetCSVIndex(A2,265+4158)</f>
        <v/>
      </c>
      <c r="I436" s="29" t="str" cm="1">
        <f t="array" ref="I436">GetCSVIndex(A2,328+4158)</f>
        <v/>
      </c>
      <c r="J436" s="26"/>
      <c r="K436" s="45">
        <v>47</v>
      </c>
      <c r="L436" s="29" t="e" cm="1">
        <f t="array" ref="L436">CHOOSE(GetCSVIndex(A2,174+4158)+1,"","Station","Block","","Delay")</f>
        <v>#VALUE!</v>
      </c>
      <c r="M436" s="29" t="str" cm="1">
        <f t="array" ref="M436">GetCSVIndex(A2,175+4158)</f>
        <v/>
      </c>
      <c r="N436" s="27" t="str" cm="1">
        <f t="array" ref="N436">GetCSVIndex(A2,297+4158)</f>
        <v/>
      </c>
      <c r="O436" s="43" t="str" cm="1">
        <f t="array" ref="O436">GetCSVIndex(A2,360+4158)</f>
        <v/>
      </c>
    </row>
    <row r="437" spans="1:15" ht="21" customHeight="1" x14ac:dyDescent="0.25">
      <c r="A437" s="42"/>
      <c r="B437" s="25"/>
      <c r="C437" s="25"/>
      <c r="D437" s="26"/>
      <c r="E437" s="45">
        <v>16</v>
      </c>
      <c r="F437" s="29" t="e" cm="1">
        <f t="array" ref="F437">CHOOSE(GetCSVIndex(A2,81+4158)+1,"","Station","Block","","Delay")</f>
        <v>#VALUE!</v>
      </c>
      <c r="G437" s="29" t="str" cm="1">
        <f t="array" ref="G437">GetCSVIndex(A2,82+4158)</f>
        <v/>
      </c>
      <c r="H437" s="45" t="str" cm="1">
        <f t="array" ref="H437">GetCSVIndex(A2,266+4158)</f>
        <v/>
      </c>
      <c r="I437" s="29" t="str" cm="1">
        <f t="array" ref="I437">GetCSVIndex(A2,329+4158)</f>
        <v/>
      </c>
      <c r="J437" s="25"/>
      <c r="K437" s="45">
        <v>48</v>
      </c>
      <c r="L437" s="29" t="e" cm="1">
        <f t="array" ref="L437">CHOOSE(GetCSVIndex(A2,177+4158)+1,"","Station","Block","","Delay")</f>
        <v>#VALUE!</v>
      </c>
      <c r="M437" s="29" t="str" cm="1">
        <f t="array" ref="M437">GetCSVIndex(A2,178+4158)</f>
        <v/>
      </c>
      <c r="N437" s="27" t="str" cm="1">
        <f t="array" ref="N437">GetCSVIndex(A2,298+4158)</f>
        <v/>
      </c>
      <c r="O437" s="43" t="str" cm="1">
        <f t="array" ref="O437">GetCSVIndex(A2,361+4158)</f>
        <v/>
      </c>
    </row>
    <row r="438" spans="1:15" ht="21" customHeight="1" x14ac:dyDescent="0.25">
      <c r="A438" s="42"/>
      <c r="B438" s="25"/>
      <c r="C438" s="25"/>
      <c r="D438" s="26"/>
      <c r="E438" s="45">
        <v>17</v>
      </c>
      <c r="F438" s="29" t="e" cm="1">
        <f t="array" ref="F438">CHOOSE(GetCSVIndex(A2,84+4158)+1,"","Station","Block","","Delay")</f>
        <v>#VALUE!</v>
      </c>
      <c r="G438" s="29" t="str" cm="1">
        <f t="array" ref="G438">GetCSVIndex(A2,85+4158)</f>
        <v/>
      </c>
      <c r="H438" s="45" t="str" cm="1">
        <f t="array" ref="H438">GetCSVIndex(A2,267+4158)</f>
        <v/>
      </c>
      <c r="I438" s="29" t="str" cm="1">
        <f t="array" ref="I438">GetCSVIndex(A2,330+4158)</f>
        <v/>
      </c>
      <c r="J438" s="26"/>
      <c r="K438" s="45">
        <v>49</v>
      </c>
      <c r="L438" s="29" t="e" cm="1">
        <f t="array" ref="L438">CHOOSE(GetCSVIndex(A2,180+4158)+1,"","Station","Block","","Delay")</f>
        <v>#VALUE!</v>
      </c>
      <c r="M438" s="29" t="str" cm="1">
        <f t="array" ref="M438">GetCSVIndex(A2,181+4158)</f>
        <v/>
      </c>
      <c r="N438" s="27" t="str" cm="1">
        <f t="array" ref="N438">GetCSVIndex(A2,299+4158)</f>
        <v/>
      </c>
      <c r="O438" s="43" t="str" cm="1">
        <f t="array" ref="O438">GetCSVIndex(A2,362+4158)</f>
        <v/>
      </c>
    </row>
    <row r="439" spans="1:15" ht="21" customHeight="1" x14ac:dyDescent="0.25">
      <c r="A439" s="42"/>
      <c r="B439" s="25"/>
      <c r="C439" s="25"/>
      <c r="D439" s="26"/>
      <c r="E439" s="45">
        <v>18</v>
      </c>
      <c r="F439" s="29" t="e" cm="1">
        <f t="array" ref="F439">CHOOSE(GetCSVIndex(A2,87+4158)+1,"","Station","Block","","Delay")</f>
        <v>#VALUE!</v>
      </c>
      <c r="G439" s="29" t="str" cm="1">
        <f t="array" ref="G439">GetCSVIndex(A2,88+4158)</f>
        <v/>
      </c>
      <c r="H439" s="45" t="str" cm="1">
        <f t="array" ref="H439">GetCSVIndex(A2,268+4158)</f>
        <v/>
      </c>
      <c r="I439" s="29" t="str" cm="1">
        <f t="array" ref="I439">GetCSVIndex(A2,331+4158)</f>
        <v/>
      </c>
      <c r="J439" s="26"/>
      <c r="K439" s="45">
        <v>50</v>
      </c>
      <c r="L439" s="29" t="e" cm="1">
        <f t="array" ref="L439">CHOOSE(GetCSVIndex(A2,183+4158)+1,"","Station","Block","","Delay")</f>
        <v>#VALUE!</v>
      </c>
      <c r="M439" s="29" t="str" cm="1">
        <f t="array" ref="M439">GetCSVIndex(A2,184+4158)</f>
        <v/>
      </c>
      <c r="N439" s="27" t="str" cm="1">
        <f t="array" ref="N439">GetCSVIndex(A2,300+4158)</f>
        <v/>
      </c>
      <c r="O439" s="43" t="str" cm="1">
        <f t="array" ref="O439">GetCSVIndex(A2,363+4158)</f>
        <v/>
      </c>
    </row>
    <row r="440" spans="1:15" ht="21" customHeight="1" x14ac:dyDescent="0.25">
      <c r="A440" s="42"/>
      <c r="B440" s="25"/>
      <c r="C440" s="25"/>
      <c r="D440" s="26"/>
      <c r="E440" s="45">
        <v>19</v>
      </c>
      <c r="F440" s="29" t="e" cm="1">
        <f t="array" ref="F440">CHOOSE(GetCSVIndex(A2,90+4158)+1,"","Station","Block","","Delay")</f>
        <v>#VALUE!</v>
      </c>
      <c r="G440" s="29" t="str" cm="1">
        <f t="array" ref="G440">GetCSVIndex(A2,91+4158)</f>
        <v/>
      </c>
      <c r="H440" s="45" t="str" cm="1">
        <f t="array" ref="H440">GetCSVIndex(A2,269+4158)</f>
        <v/>
      </c>
      <c r="I440" s="29" t="str" cm="1">
        <f t="array" ref="I440">GetCSVIndex(A2,332+4158)</f>
        <v/>
      </c>
      <c r="J440" s="26"/>
      <c r="K440" s="45">
        <v>51</v>
      </c>
      <c r="L440" s="29" t="e" cm="1">
        <f t="array" ref="L440">CHOOSE(GetCSVIndex(A2,186+4158)+1,"","Station","Block","","Delay")</f>
        <v>#VALUE!</v>
      </c>
      <c r="M440" s="29" t="str" cm="1">
        <f t="array" ref="M440">GetCSVIndex(A2,187+4158)</f>
        <v/>
      </c>
      <c r="N440" s="27" t="str" cm="1">
        <f t="array" ref="N440">GetCSVIndex(A2,301+4158)</f>
        <v/>
      </c>
      <c r="O440" s="43" t="str" cm="1">
        <f t="array" ref="O440">GetCSVIndex(A2,364+4158)</f>
        <v/>
      </c>
    </row>
    <row r="441" spans="1:15" ht="21" customHeight="1" x14ac:dyDescent="0.25">
      <c r="A441" s="42"/>
      <c r="B441" s="25"/>
      <c r="C441" s="25"/>
      <c r="D441" s="26"/>
      <c r="E441" s="45">
        <v>20</v>
      </c>
      <c r="F441" s="29" t="e" cm="1">
        <f t="array" ref="F441">CHOOSE(GetCSVIndex(A2,93+4158)+1,"","Station","Block","","Delay")</f>
        <v>#VALUE!</v>
      </c>
      <c r="G441" s="29" t="str" cm="1">
        <f t="array" ref="G441">GetCSVIndex(A2,94+4158)</f>
        <v/>
      </c>
      <c r="H441" s="45" t="str" cm="1">
        <f t="array" ref="H441">GetCSVIndex(A2,270+4158)</f>
        <v/>
      </c>
      <c r="I441" s="29" t="str" cm="1">
        <f t="array" ref="I441">GetCSVIndex(A2,333+4158)</f>
        <v/>
      </c>
      <c r="J441" s="26"/>
      <c r="K441" s="45">
        <v>52</v>
      </c>
      <c r="L441" s="29" t="e" cm="1">
        <f t="array" ref="L441">CHOOSE(GetCSVIndex(A2,189+4158)+1,"","Station","Block","","Delay")</f>
        <v>#VALUE!</v>
      </c>
      <c r="M441" s="29" t="str" cm="1">
        <f t="array" ref="M441">GetCSVIndex(A2,190+4158)</f>
        <v/>
      </c>
      <c r="N441" s="27" t="str" cm="1">
        <f t="array" ref="N441">GetCSVIndex(A2,302+4158)</f>
        <v/>
      </c>
      <c r="O441" s="43" t="str" cm="1">
        <f t="array" ref="O441">GetCSVIndex(A2,365+4158)</f>
        <v/>
      </c>
    </row>
    <row r="442" spans="1:15" ht="21" customHeight="1" x14ac:dyDescent="0.25">
      <c r="A442" s="42"/>
      <c r="B442" s="25"/>
      <c r="C442" s="25"/>
      <c r="D442" s="26"/>
      <c r="E442" s="45">
        <v>21</v>
      </c>
      <c r="F442" s="29" t="e" cm="1">
        <f t="array" ref="F442">CHOOSE(GetCSVIndex(A2,96+4158)+1,"","Station","Block","","Delay")</f>
        <v>#VALUE!</v>
      </c>
      <c r="G442" s="29" t="str" cm="1">
        <f t="array" ref="G442">GetCSVIndex(A2,97+4158)</f>
        <v/>
      </c>
      <c r="H442" s="45" t="str" cm="1">
        <f t="array" ref="H442">GetCSVIndex(A2,271+4158)</f>
        <v/>
      </c>
      <c r="I442" s="29" t="str" cm="1">
        <f t="array" ref="I442">GetCSVIndex(A2,334+4158)</f>
        <v/>
      </c>
      <c r="J442" s="26"/>
      <c r="K442" s="45">
        <v>53</v>
      </c>
      <c r="L442" s="29" t="e" cm="1">
        <f t="array" ref="L442">CHOOSE(GetCSVIndex(A2,192+4158)+1,"","Station","Block","","Delay")</f>
        <v>#VALUE!</v>
      </c>
      <c r="M442" s="29" t="str" cm="1">
        <f t="array" ref="M442">GetCSVIndex(A2,193+4158)</f>
        <v/>
      </c>
      <c r="N442" s="27" t="str" cm="1">
        <f t="array" ref="N442">GetCSVIndex(A2,303+4158)</f>
        <v/>
      </c>
      <c r="O442" s="43" t="str" cm="1">
        <f t="array" ref="O442">GetCSVIndex(A2,366+4158)</f>
        <v/>
      </c>
    </row>
    <row r="443" spans="1:15" ht="21" customHeight="1" x14ac:dyDescent="0.25">
      <c r="A443" s="42"/>
      <c r="B443" s="25"/>
      <c r="C443" s="25"/>
      <c r="D443" s="26"/>
      <c r="E443" s="45">
        <v>22</v>
      </c>
      <c r="F443" s="29" t="e" cm="1">
        <f t="array" ref="F443">CHOOSE(GetCSVIndex(A2,99+4158)+1,"","Station","Block","","Delay")</f>
        <v>#VALUE!</v>
      </c>
      <c r="G443" s="29" t="str" cm="1">
        <f t="array" ref="G443">GetCSVIndex(A2,100+4158)</f>
        <v/>
      </c>
      <c r="H443" s="45" t="str" cm="1">
        <f t="array" ref="H443">GetCSVIndex(A2,272+4158)</f>
        <v/>
      </c>
      <c r="I443" s="29" t="str" cm="1">
        <f t="array" ref="I443">GetCSVIndex(A2,335+4158)</f>
        <v/>
      </c>
      <c r="J443" s="26"/>
      <c r="K443" s="45">
        <v>54</v>
      </c>
      <c r="L443" s="29" t="e" cm="1">
        <f t="array" ref="L443">CHOOSE(GetCSVIndex(A2,195+4158)+1,"","Station","Block","","Delay")</f>
        <v>#VALUE!</v>
      </c>
      <c r="M443" s="29" t="str" cm="1">
        <f t="array" ref="M443">GetCSVIndex(A2,196+4158)</f>
        <v/>
      </c>
      <c r="N443" s="27" t="str" cm="1">
        <f t="array" ref="N443">GetCSVIndex(A2,304+4158)</f>
        <v/>
      </c>
      <c r="O443" s="43" t="str" cm="1">
        <f t="array" ref="O443">GetCSVIndex(A2,367+4158)</f>
        <v/>
      </c>
    </row>
    <row r="444" spans="1:15" ht="21" customHeight="1" x14ac:dyDescent="0.25">
      <c r="A444" s="42"/>
      <c r="B444" s="25"/>
      <c r="C444" s="25"/>
      <c r="D444" s="26"/>
      <c r="E444" s="45">
        <v>23</v>
      </c>
      <c r="F444" s="29" t="e" cm="1">
        <f t="array" ref="F444">CHOOSE(GetCSVIndex(A2,102+4158)+1,"","Station","Block","","Delay")</f>
        <v>#VALUE!</v>
      </c>
      <c r="G444" s="29" t="str" cm="1">
        <f t="array" ref="G444">GetCSVIndex(A2,103+4158)</f>
        <v/>
      </c>
      <c r="H444" s="45" t="str" cm="1">
        <f t="array" ref="H444">GetCSVIndex(A2,273+4158)</f>
        <v/>
      </c>
      <c r="I444" s="29" t="str" cm="1">
        <f t="array" ref="I444">GetCSVIndex(A2,336+4158)</f>
        <v/>
      </c>
      <c r="J444" s="26"/>
      <c r="K444" s="45">
        <v>55</v>
      </c>
      <c r="L444" s="29" t="e" cm="1">
        <f t="array" ref="L444">CHOOSE(GetCSVIndex(A2,198+4158)+1,"","Station","Block","","Delay")</f>
        <v>#VALUE!</v>
      </c>
      <c r="M444" s="29" t="str" cm="1">
        <f t="array" ref="M444">GetCSVIndex(A2,199+4158)</f>
        <v/>
      </c>
      <c r="N444" s="27" t="str" cm="1">
        <f t="array" ref="N444">GetCSVIndex(A2,305+4158)</f>
        <v/>
      </c>
      <c r="O444" s="43" t="str" cm="1">
        <f t="array" ref="O444">GetCSVIndex(A2,368+4158)</f>
        <v/>
      </c>
    </row>
    <row r="445" spans="1:15" ht="21" customHeight="1" x14ac:dyDescent="0.25">
      <c r="A445" s="42"/>
      <c r="B445" s="25"/>
      <c r="C445" s="25"/>
      <c r="D445" s="26"/>
      <c r="E445" s="45">
        <v>24</v>
      </c>
      <c r="F445" s="29" t="e" cm="1">
        <f t="array" ref="F445">CHOOSE(GetCSVIndex(A2,105+4158)+1,"","Station","Block","","Delay")</f>
        <v>#VALUE!</v>
      </c>
      <c r="G445" s="29" t="str" cm="1">
        <f t="array" ref="G445">GetCSVIndex(A2,106+4158)</f>
        <v/>
      </c>
      <c r="H445" s="45" t="str" cm="1">
        <f t="array" ref="H445">GetCSVIndex(A2,274+4158)</f>
        <v/>
      </c>
      <c r="I445" s="29" t="str" cm="1">
        <f t="array" ref="I445">GetCSVIndex(A2,337+4158)</f>
        <v/>
      </c>
      <c r="J445" s="26"/>
      <c r="K445" s="45">
        <v>56</v>
      </c>
      <c r="L445" s="29" t="e" cm="1">
        <f t="array" ref="L445">CHOOSE(GetCSVIndex(A2,201+4158)+1,"","Station","Block","","Delay")</f>
        <v>#VALUE!</v>
      </c>
      <c r="M445" s="29" t="str" cm="1">
        <f t="array" ref="M445">GetCSVIndex(A2,202+4158)</f>
        <v/>
      </c>
      <c r="N445" s="27" t="str" cm="1">
        <f t="array" ref="N445">GetCSVIndex(A2,306+4158)</f>
        <v/>
      </c>
      <c r="O445" s="43" t="str" cm="1">
        <f t="array" ref="O445">GetCSVIndex(A2,369+4158)</f>
        <v/>
      </c>
    </row>
    <row r="446" spans="1:15" ht="21" customHeight="1" x14ac:dyDescent="0.25">
      <c r="A446" s="42"/>
      <c r="B446" s="25"/>
      <c r="C446" s="25"/>
      <c r="D446" s="26"/>
      <c r="E446" s="45">
        <v>25</v>
      </c>
      <c r="F446" s="29" t="e" cm="1">
        <f t="array" ref="F446">CHOOSE(GetCSVIndex(A2,108+4158)+1,"","Station","Block","","Delay")</f>
        <v>#VALUE!</v>
      </c>
      <c r="G446" s="29" t="str" cm="1">
        <f t="array" ref="G446">GetCSVIndex(A2,109+4158)</f>
        <v/>
      </c>
      <c r="H446" s="45" t="str" cm="1">
        <f t="array" ref="H446">GetCSVIndex(A2,275+4158)</f>
        <v/>
      </c>
      <c r="I446" s="29" t="str" cm="1">
        <f t="array" ref="I446">GetCSVIndex(A2,338+4158)</f>
        <v/>
      </c>
      <c r="J446" s="26"/>
      <c r="K446" s="45">
        <v>57</v>
      </c>
      <c r="L446" s="29" t="e" cm="1">
        <f t="array" ref="L446">CHOOSE(GetCSVIndex(A2,204+4158)+1,"","Station","Block","","Delay")</f>
        <v>#VALUE!</v>
      </c>
      <c r="M446" s="29" t="str" cm="1">
        <f t="array" ref="M446">GetCSVIndex(A2,205+4158)</f>
        <v/>
      </c>
      <c r="N446" s="27" t="str" cm="1">
        <f t="array" ref="N446">GetCSVIndex(A2,307+4158)</f>
        <v/>
      </c>
      <c r="O446" s="43" t="str" cm="1">
        <f t="array" ref="O446">GetCSVIndex(A2,370+4158)</f>
        <v/>
      </c>
    </row>
    <row r="447" spans="1:15" ht="21" customHeight="1" x14ac:dyDescent="0.25">
      <c r="A447" s="42"/>
      <c r="B447" s="25"/>
      <c r="C447" s="25"/>
      <c r="D447" s="26"/>
      <c r="E447" s="45">
        <v>26</v>
      </c>
      <c r="F447" s="29" t="e" cm="1">
        <f t="array" ref="F447">CHOOSE(GetCSVIndex(A2,111+4158)+1,"","Station","Block","","Delay")</f>
        <v>#VALUE!</v>
      </c>
      <c r="G447" s="29" t="str" cm="1">
        <f t="array" ref="G447">GetCSVIndex(A2,112+4158)</f>
        <v/>
      </c>
      <c r="H447" s="45" t="str" cm="1">
        <f t="array" ref="H447">GetCSVIndex(A2,276+4158)</f>
        <v/>
      </c>
      <c r="I447" s="29" t="str" cm="1">
        <f t="array" ref="I447">GetCSVIndex(A2,339+4158)</f>
        <v/>
      </c>
      <c r="J447" s="26"/>
      <c r="K447" s="45">
        <v>58</v>
      </c>
      <c r="L447" s="29" t="e" cm="1">
        <f t="array" ref="L447">CHOOSE(GetCSVIndex(A2,207+4158)+1,"","Station","Block","","Delay")</f>
        <v>#VALUE!</v>
      </c>
      <c r="M447" s="29" t="str" cm="1">
        <f t="array" ref="M447">GetCSVIndex(A2,208+4158)</f>
        <v/>
      </c>
      <c r="N447" s="27" t="str" cm="1">
        <f t="array" ref="N447">GetCSVIndex(A2,308+4158)</f>
        <v/>
      </c>
      <c r="O447" s="43" t="str" cm="1">
        <f t="array" ref="O447">GetCSVIndex(A2,371+4158)</f>
        <v/>
      </c>
    </row>
    <row r="448" spans="1:15" ht="21" customHeight="1" x14ac:dyDescent="0.25">
      <c r="A448" s="42"/>
      <c r="B448" s="25"/>
      <c r="C448" s="25"/>
      <c r="D448" s="26"/>
      <c r="E448" s="45">
        <v>27</v>
      </c>
      <c r="F448" s="29" t="e" cm="1">
        <f t="array" ref="F448">CHOOSE(GetCSVIndex(A2,114+4158)+1,"","Station","Block","","Delay")</f>
        <v>#VALUE!</v>
      </c>
      <c r="G448" s="29" t="str" cm="1">
        <f t="array" ref="G448">GetCSVIndex(A2,115+4158)</f>
        <v/>
      </c>
      <c r="H448" s="45" t="str" cm="1">
        <f t="array" ref="H448">GetCSVIndex(A2,277+4158)</f>
        <v/>
      </c>
      <c r="I448" s="29" t="str" cm="1">
        <f t="array" ref="I448">GetCSVIndex(A2,340+4158)</f>
        <v/>
      </c>
      <c r="J448" s="26"/>
      <c r="K448" s="45">
        <v>59</v>
      </c>
      <c r="L448" s="29" t="e" cm="1">
        <f t="array" ref="L448">CHOOSE(GetCSVIndex(A2,210+4158)+1,"","Station","Block","","Delay")</f>
        <v>#VALUE!</v>
      </c>
      <c r="M448" s="29" t="str" cm="1">
        <f t="array" ref="M448">GetCSVIndex(A2,211+4158)</f>
        <v/>
      </c>
      <c r="N448" s="27" t="str" cm="1">
        <f t="array" ref="N448">GetCSVIndex(A2,309+4158)</f>
        <v/>
      </c>
      <c r="O448" s="43" t="str" cm="1">
        <f t="array" ref="O448">GetCSVIndex(A2,372+4158)</f>
        <v/>
      </c>
    </row>
    <row r="449" spans="1:15" ht="21" customHeight="1" x14ac:dyDescent="0.25">
      <c r="A449" s="42"/>
      <c r="B449" s="25"/>
      <c r="C449" s="25"/>
      <c r="D449" s="26"/>
      <c r="E449" s="45">
        <v>28</v>
      </c>
      <c r="F449" s="29" t="e" cm="1">
        <f t="array" ref="F449">CHOOSE(GetCSVIndex(A2,117+4158)+1,"","Station","Block","","Delay")</f>
        <v>#VALUE!</v>
      </c>
      <c r="G449" s="29" t="str" cm="1">
        <f t="array" ref="G449">GetCSVIndex(A2,118+4158)</f>
        <v/>
      </c>
      <c r="H449" s="45" t="str" cm="1">
        <f t="array" ref="H449">GetCSVIndex(A2,278+4158)</f>
        <v/>
      </c>
      <c r="I449" s="29" t="str" cm="1">
        <f t="array" ref="I449">GetCSVIndex(A2,341+4158)</f>
        <v/>
      </c>
      <c r="J449" s="26"/>
      <c r="K449" s="45">
        <v>60</v>
      </c>
      <c r="L449" s="29" t="e" cm="1">
        <f t="array" ref="L449">CHOOSE(GetCSVIndex(A2,213+4158)+1,"","Station","Block","","Delay")</f>
        <v>#VALUE!</v>
      </c>
      <c r="M449" s="29" t="str" cm="1">
        <f t="array" ref="M449">GetCSVIndex(A2,214+4158)</f>
        <v/>
      </c>
      <c r="N449" s="27" t="str" cm="1">
        <f t="array" ref="N449">GetCSVIndex(A2,310+4158)</f>
        <v/>
      </c>
      <c r="O449" s="43" t="str" cm="1">
        <f t="array" ref="O449">GetCSVIndex(A2,373+4158)</f>
        <v/>
      </c>
    </row>
    <row r="450" spans="1:15" ht="21" customHeight="1" x14ac:dyDescent="0.25">
      <c r="A450" s="42"/>
      <c r="B450" s="25"/>
      <c r="C450" s="25"/>
      <c r="D450" s="26"/>
      <c r="E450" s="45">
        <v>29</v>
      </c>
      <c r="F450" s="29" t="e" cm="1">
        <f t="array" ref="F450">CHOOSE(GetCSVIndex(A2,120+4158)+1,"","Station","Block","","Delay")</f>
        <v>#VALUE!</v>
      </c>
      <c r="G450" s="29" t="str" cm="1">
        <f t="array" ref="G450">GetCSVIndex(A2,121+4158)</f>
        <v/>
      </c>
      <c r="H450" s="45" t="str" cm="1">
        <f t="array" ref="H450">GetCSVIndex(A2,279+4158)</f>
        <v/>
      </c>
      <c r="I450" s="29" t="str" cm="1">
        <f t="array" ref="I450">GetCSVIndex(A2,342+4158)</f>
        <v/>
      </c>
      <c r="J450" s="26"/>
      <c r="K450" s="45">
        <v>61</v>
      </c>
      <c r="L450" s="29" t="e" cm="1">
        <f t="array" ref="L450">CHOOSE(GetCSVIndex(A2,216+4158)+1,"","Station","Block","","Delay")</f>
        <v>#VALUE!</v>
      </c>
      <c r="M450" s="29" t="str" cm="1">
        <f t="array" ref="M450">GetCSVIndex(A2,217+4158)</f>
        <v/>
      </c>
      <c r="N450" s="27" t="str" cm="1">
        <f t="array" ref="N450">GetCSVIndex(A2,311+4158)</f>
        <v/>
      </c>
      <c r="O450" s="43" t="str" cm="1">
        <f t="array" ref="O450">GetCSVIndex(A2,374+4158)</f>
        <v/>
      </c>
    </row>
    <row r="451" spans="1:15" ht="21" customHeight="1" x14ac:dyDescent="0.25">
      <c r="A451" s="42"/>
      <c r="B451" s="25"/>
      <c r="C451" s="25"/>
      <c r="D451" s="26"/>
      <c r="E451" s="45">
        <v>30</v>
      </c>
      <c r="F451" s="29" t="e" cm="1">
        <f t="array" ref="F451">CHOOSE(GetCSVIndex(A2,123+4158)+1,"","Station","Block","","Delay")</f>
        <v>#VALUE!</v>
      </c>
      <c r="G451" s="29" t="str" cm="1">
        <f t="array" ref="G451">GetCSVIndex(A2,124+4158)</f>
        <v/>
      </c>
      <c r="H451" s="45" t="str" cm="1">
        <f t="array" ref="H451">GetCSVIndex(A2,280+4158)</f>
        <v/>
      </c>
      <c r="I451" s="29" t="str" cm="1">
        <f t="array" ref="I451">GetCSVIndex(A2,343+4158)</f>
        <v/>
      </c>
      <c r="J451" s="26"/>
      <c r="K451" s="45">
        <v>62</v>
      </c>
      <c r="L451" s="29" t="e" cm="1">
        <f t="array" ref="L451">CHOOSE(GetCSVIndex(A2,219+4158)+1,"","Station","Block","","Delay")</f>
        <v>#VALUE!</v>
      </c>
      <c r="M451" s="29" t="str" cm="1">
        <f t="array" ref="M451">GetCSVIndex(A2,220+4158)</f>
        <v/>
      </c>
      <c r="N451" s="27" t="str" cm="1">
        <f t="array" ref="N451">GetCSVIndex(A2,312+4158)</f>
        <v/>
      </c>
      <c r="O451" s="43" t="str" cm="1">
        <f t="array" ref="O451">GetCSVIndex(A2,375+4158)</f>
        <v/>
      </c>
    </row>
    <row r="452" spans="1:15" ht="21" customHeight="1" x14ac:dyDescent="0.25">
      <c r="A452" s="42"/>
      <c r="B452" s="25"/>
      <c r="C452" s="25"/>
      <c r="D452" s="26"/>
      <c r="E452" s="45">
        <v>31</v>
      </c>
      <c r="F452" s="29" t="e" cm="1">
        <f t="array" ref="F452">CHOOSE(GetCSVIndex(A2,126+4158)+1,"","Station","Block","","Delay")</f>
        <v>#VALUE!</v>
      </c>
      <c r="G452" s="29" t="str" cm="1">
        <f t="array" ref="G452">GetCSVIndex(A2,127+4158)</f>
        <v/>
      </c>
      <c r="H452" s="45" t="str" cm="1">
        <f t="array" ref="H452">GetCSVIndex(A2,281+4158)</f>
        <v/>
      </c>
      <c r="I452" s="29" t="str" cm="1">
        <f t="array" ref="I452">GetCSVIndex(A2,344+4158)</f>
        <v/>
      </c>
      <c r="J452" s="26"/>
      <c r="K452" s="45">
        <v>63</v>
      </c>
      <c r="L452" s="29" t="e" cm="1">
        <f t="array" ref="L452">CHOOSE(GetCSVIndex(A2,222+4158)+1,"","Station","Block","","Delay")</f>
        <v>#VALUE!</v>
      </c>
      <c r="M452" s="29" t="str" cm="1">
        <f t="array" ref="M452">GetCSVIndex(A2,223+4158)</f>
        <v/>
      </c>
      <c r="N452" s="27" t="str" cm="1">
        <f t="array" ref="N452">GetCSVIndex(A2,313+4158)</f>
        <v/>
      </c>
      <c r="O452" s="43" t="str" cm="1">
        <f t="array" ref="O452">GetCSVIndex(A2,376+4158)</f>
        <v/>
      </c>
    </row>
    <row r="453" spans="1:15" ht="21" customHeight="1" x14ac:dyDescent="0.25">
      <c r="A453" s="37"/>
      <c r="B453" s="28"/>
      <c r="C453" s="29"/>
      <c r="D453" s="29"/>
      <c r="E453" s="45">
        <v>32</v>
      </c>
      <c r="F453" s="29" t="e" cm="1">
        <f t="array" ref="F453">CHOOSE(GetCSVIndex(A2,129+4158)+1,"","Station","Block","","Delay")</f>
        <v>#VALUE!</v>
      </c>
      <c r="G453" s="29" t="str" cm="1">
        <f t="array" ref="G453">GetCSVIndex(A2,130+4158)</f>
        <v/>
      </c>
      <c r="H453" s="45" t="str" cm="1">
        <f t="array" ref="H453">GetCSVIndex(A2,282+4158)</f>
        <v/>
      </c>
      <c r="I453" s="29" t="str" cm="1">
        <f t="array" ref="I453">GetCSVIndex(A2,345+4158)</f>
        <v/>
      </c>
      <c r="J453" s="29"/>
      <c r="K453" s="45">
        <v>64</v>
      </c>
      <c r="L453" s="29" t="e" cm="1">
        <f t="array" ref="L453">CHOOSE(GetCSVIndex(A2,225+4158)+1,"","Station","Block","","Delay")</f>
        <v>#VALUE!</v>
      </c>
      <c r="M453" s="29" t="str" cm="1">
        <f t="array" ref="M453">GetCSVIndex(A2,226+4158)</f>
        <v/>
      </c>
      <c r="N453" s="27" t="str" cm="1">
        <f t="array" ref="N453">GetCSVIndex(A2,314+4158)</f>
        <v/>
      </c>
      <c r="O453" s="43" t="str" cm="1">
        <f t="array" ref="O453">GetCSVIndex(A2,377+4158)</f>
        <v/>
      </c>
    </row>
    <row r="454" spans="1:15" ht="23.25" customHeight="1" x14ac:dyDescent="0.25">
      <c r="A454" s="51" t="str" cm="1">
        <f t="array" ref="A454">CONCATENATE("Schedule  Program Number : ", GetCSVIndex(A2,5+4536))</f>
        <v xml:space="preserve">Schedule  Program Number : </v>
      </c>
      <c r="B454" s="52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3"/>
    </row>
    <row r="455" spans="1:15" ht="21" customHeight="1" x14ac:dyDescent="0.25">
      <c r="A455" s="20" t="s">
        <v>44</v>
      </c>
      <c r="B455" s="22" t="str" cm="1">
        <f t="array" ref="B455">GetCSVIndex(A2,5+4536)</f>
        <v/>
      </c>
      <c r="C455" s="18"/>
      <c r="D455" s="18"/>
      <c r="E455" s="18"/>
      <c r="F455" s="18"/>
      <c r="G455" s="18" t="s">
        <v>19</v>
      </c>
      <c r="H455" s="18" t="e" cm="1">
        <f t="array" ref="H455">CHOOSE(GetCSVIndex(A2,7+4536)+1, "Days of Week", "Odd/Even", "Interval","Manual")</f>
        <v>#VALUE!</v>
      </c>
      <c r="I455" s="18"/>
      <c r="J455" s="15"/>
      <c r="K455" s="15"/>
      <c r="L455" s="15"/>
      <c r="M455" s="15"/>
      <c r="N455" s="15"/>
      <c r="O455" s="16"/>
    </row>
    <row r="456" spans="1:15" ht="18" customHeight="1" x14ac:dyDescent="0.25">
      <c r="A456" s="21" t="s">
        <v>20</v>
      </c>
      <c r="B456" s="19" t="e" cm="1">
        <f t="array" ref="B456">CHOOSE(GetCSVIndex(A2,24+4536)+1, "Program", "Global", "Monthly","Solar Sync")</f>
        <v>#VALUE!</v>
      </c>
      <c r="C456" s="19"/>
      <c r="D456" s="19"/>
      <c r="E456" s="19"/>
      <c r="F456" s="19" t="s">
        <v>21</v>
      </c>
      <c r="G456" s="19" t="e" cm="1">
        <f t="array" ref="G456">IF(CHOOSE(GetCSVIndex(A2,7+4536)+1,IF(_xlfn.BITAND(GetCSVIndex(A2,8+4536), 2^0)=0, 0, 1),IF(_xlfn.BITAND(GetCSVIndex(A2,9+4536), 2^0)=0, 0, 1),IF(_xlfn.BITAND(GetCSVIndex(A2,10+4536), 2^0)=0, 0, 1)) =1,"Mon","")</f>
        <v>#VALUE!</v>
      </c>
      <c r="H456" s="19" t="e" cm="1">
        <f t="array" ref="H456">CONCATENATE(IF(CHOOSE(GetCSVIndex(A2,7+4536)+1,IF(_xlfn.BITAND(GetCSVIndex(A2,8+4536), 2^1)=0, 0, 1),IF(_xlfn.BITAND(GetCSVIndex(A2,9+4536), 2^1)=0, 0, 1),IF(_xlfn.BITAND(GetCSVIndex(A2,10+4536), 2^1)=0, 0, 1)) =1,"Tue       ","       "),IF(CHOOSE(GetCSVIndex(A2,7+4536)+1,IF(_xlfn.BITAND(GetCSVIndex(A2,8+4536), 2^2)=0, 0, 1),IF(_xlfn.BITAND(GetCSVIndex(A2,9+4536), 2^2)=0, 0, 1),IF(_xlfn.BITAND(GetCSVIndex(A2,10+4536), 2^2)=0, 0, 1)) =1,"Wed",""),IF(CHOOSE(GetCSVIndex(A2,7+4536)+1,IF(_xlfn.BITAND(GetCSVIndex(A2,8+4536), 2^3)=0, 0, 1),IF(_xlfn.BITAND(GetCSVIndex(A2,9+4536), 2^3)=0, 0, 1),IF(_xlfn.BITAND(GetCSVIndex(A2,10+4536), 2^3)=0, 0, 1)) =1,"       Thu","       "))</f>
        <v>#VALUE!</v>
      </c>
      <c r="I456" s="32" t="e" cm="1">
        <f t="array" ref="I456">CONCATENATE(IF(CHOOSE(GetCSVIndex(A2,7+4536)+1,IF(_xlfn.BITAND(GetCSVIndex(A2,8+4536), 2^4)=0, 0, 1),IF(_xlfn.BITAND(GetCSVIndex(A2,9+4536), 2^4)=0, 0, 1),IF(_xlfn.BITAND(GetCSVIndex(A2,10+4536), 2^4)=0, 0, 1)) =1,"Fri       ","       "),IF(CHOOSE(GetCSVIndex(A2,7+4536)+1,IF(_xlfn.BITAND(GetCSVIndex(A2,8+4536), 2^5)=0, 0, 1),IF(_xlfn.BITAND(GetCSVIndex(A2,9+4536), 2^5)=0, 0, 1),IF(_xlfn.BITAND(GetCSVIndex(A2,10+4536), 2^5)=0, 0, 1)) =1,"Sat",""),IF(CHOOSE(GetCSVIndex(A2,7+4536)+1,IF(_xlfn.BITAND(GetCSVIndex(A2,8+4536), 2^6)=0, 0, 1),IF(_xlfn.BITAND(GetCSVIndex(A2,9+4536), 2^6)=0, 0, 1),IF(_xlfn.BITAND(GetCSVIndex(A2,10+4536), 2^6)=0, 0, 1)) =1,"       Sun","       "))</f>
        <v>#VALUE!</v>
      </c>
      <c r="J456" s="19"/>
      <c r="K456" s="19"/>
      <c r="L456" s="32" t="s">
        <v>22</v>
      </c>
      <c r="M456" s="19"/>
      <c r="N456" s="19" t="str" cm="1">
        <f t="array" ref="N456">IF(GetCSVIndex(A2,26+4536)="1","Enable","Disable")</f>
        <v>Disable</v>
      </c>
      <c r="O456" s="24"/>
    </row>
    <row r="457" spans="1:15" ht="18" customHeight="1" x14ac:dyDescent="0.25">
      <c r="A457" s="21" t="str" cm="1">
        <f t="array" ref="A457">CONCATENATE("Program ", GetCSVIndex(A2,5+4536))</f>
        <v xml:space="preserve">Program </v>
      </c>
      <c r="B457" s="23" t="str" cm="1">
        <f t="array" ref="B457">CONCATENATE(GetCSVIndex(A2,25+4536)," %")</f>
        <v xml:space="preserve"> %</v>
      </c>
      <c r="C457" s="19"/>
      <c r="D457" s="19"/>
      <c r="E457" s="19"/>
      <c r="F457" s="19" t="str" cm="1">
        <f t="array" ref="F457">IF(GetCSVIndex(A2,7)="2","Water Every"," ")</f>
        <v xml:space="preserve"> </v>
      </c>
      <c r="G457" s="47" t="str" cm="1">
        <f t="array" ref="G457">IF(GetCSVIndex(A2,7+4536)="2",GetCSVIndex(A2,11+4536)," ")</f>
        <v xml:space="preserve"> </v>
      </c>
      <c r="H457" s="19" t="str" cm="1">
        <f t="array" ref="H457">IF(GetCSVIndex(A2,7+4536)="2","Days"," ")</f>
        <v xml:space="preserve"> </v>
      </c>
      <c r="I457" s="32" t="str" cm="1">
        <f t="array" ref="I457">IF(GetCSVIndex(A2,7+4536)="2","Water After"," ")</f>
        <v xml:space="preserve"> </v>
      </c>
      <c r="J457" s="19"/>
      <c r="K457" s="19" t="str" cm="1">
        <f t="array" ref="K457">IF(GetCSVIndex(A2,7+4536)="2",GetCSVIndex(A2,12+4536)," ")</f>
        <v xml:space="preserve"> </v>
      </c>
      <c r="L457" s="47" t="str" cm="1">
        <f t="array" ref="L457">IF(GetCSVIndex(A2,7+4536)="2","Days"," ")</f>
        <v xml:space="preserve"> </v>
      </c>
      <c r="M457" s="32"/>
      <c r="N457" s="32"/>
      <c r="O457" s="24"/>
    </row>
    <row r="458" spans="1:15" ht="21" customHeight="1" x14ac:dyDescent="0.25">
      <c r="A458" s="20" t="s">
        <v>23</v>
      </c>
      <c r="B458" s="18" t="s">
        <v>24</v>
      </c>
      <c r="C458" s="18" t="str" cm="1">
        <f t="array" ref="C458">CHOOSE(GetCSVIndex(A2,13)+1, "Auto", "Start to End","Manual")</f>
        <v>Start to End</v>
      </c>
      <c r="D458" s="31"/>
      <c r="E458" s="17" t="s">
        <v>38</v>
      </c>
      <c r="F458" s="18" t="s">
        <v>39</v>
      </c>
      <c r="G458" s="18" t="s">
        <v>40</v>
      </c>
      <c r="H458" s="18" t="s">
        <v>41</v>
      </c>
      <c r="I458" s="18" t="s">
        <v>43</v>
      </c>
      <c r="J458" s="31"/>
      <c r="K458" s="17" t="s">
        <v>38</v>
      </c>
      <c r="L458" s="18" t="s">
        <v>39</v>
      </c>
      <c r="M458" s="18" t="s">
        <v>40</v>
      </c>
      <c r="N458" s="22" t="s">
        <v>41</v>
      </c>
      <c r="O458" s="44" t="s">
        <v>42</v>
      </c>
    </row>
    <row r="459" spans="1:15" ht="21" customHeight="1" x14ac:dyDescent="0.25">
      <c r="A459" s="36" t="s">
        <v>25</v>
      </c>
      <c r="B459" s="46" t="str" cm="1">
        <f t="array" ref="B459">IF(GetCSVIndex(A2,6+4536)="1","Over","Stack")</f>
        <v>Stack</v>
      </c>
      <c r="C459" s="26" t="str" cm="1">
        <f t="array" ref="C459">GetCSVIndex(A2,29+4536)</f>
        <v/>
      </c>
      <c r="D459" s="25"/>
      <c r="E459" s="45">
        <v>1</v>
      </c>
      <c r="F459" s="29" t="e" cm="1">
        <f t="array" ref="F459">CHOOSE(GetCSVIndex(A2,36+4536)+1,"","Station","Block","","Delay")</f>
        <v>#VALUE!</v>
      </c>
      <c r="G459" s="29" t="str" cm="1">
        <f t="array" ref="G459">GetCSVIndex(A2,37+4536)</f>
        <v/>
      </c>
      <c r="H459" s="45" t="str" cm="1">
        <f t="array" ref="H459">GetCSVIndex(A2,3+4536)</f>
        <v/>
      </c>
      <c r="I459" s="29" t="str" cm="1">
        <f t="array" ref="I459">GetCSVIndex(A2,1+4536)</f>
        <v/>
      </c>
      <c r="J459" s="25"/>
      <c r="K459" s="45">
        <v>33</v>
      </c>
      <c r="L459" s="29" t="e" cm="1">
        <f t="array" ref="L459">CHOOSE(GetCSVIndex(A2,132+4536)+1,"","Station","Block","","Delay")</f>
        <v>#VALUE!</v>
      </c>
      <c r="M459" s="29" t="str" cm="1">
        <f t="array" ref="M459">GetCSVIndex(A2,133+4536)</f>
        <v/>
      </c>
      <c r="N459" s="27" t="str" cm="1">
        <f t="array" ref="N459">GetCSVIndex(A2,283+4536)</f>
        <v/>
      </c>
      <c r="O459" s="43" t="str" cm="1">
        <f t="array" ref="O459">GetCSVIndex(A2,346+4536)</f>
        <v/>
      </c>
    </row>
    <row r="460" spans="1:15" ht="21" customHeight="1" x14ac:dyDescent="0.25">
      <c r="A460" s="36" t="s">
        <v>26</v>
      </c>
      <c r="B460" s="25" t="str" cm="1">
        <f t="array" ref="B460">IF(GetCSVIndex(A2,2+4536)="1092:15","Not Set",CONCATENATE("From     ",GetCSVIndex(A2,2+4536)))</f>
        <v xml:space="preserve">From     </v>
      </c>
      <c r="C460" s="26" t="str" cm="1">
        <f t="array" ref="C460">IF(GetCSVIndex(C4,1+24)="1092:15","Not Set",CONCATENATE("To     ",GetCSVIndex(C4,1+24)))</f>
        <v xml:space="preserve">To     </v>
      </c>
      <c r="D460" s="25"/>
      <c r="E460" s="45">
        <v>2</v>
      </c>
      <c r="F460" s="29" t="e" cm="1">
        <f t="array" ref="F460">CHOOSE(GetCSVIndex(A2,39+4536)+1,"","Station","Block","","Delay")</f>
        <v>#VALUE!</v>
      </c>
      <c r="G460" s="29" t="str" cm="1">
        <f t="array" ref="G460">GetCSVIndex(A2,40+4536)</f>
        <v/>
      </c>
      <c r="H460" s="45" t="str" cm="1">
        <f t="array" ref="H460">GetCSVIndex(A2,252+4536)</f>
        <v/>
      </c>
      <c r="I460" s="29" t="str" cm="1">
        <f t="array" ref="I460">GetCSVIndex(A2,315+4536)</f>
        <v/>
      </c>
      <c r="J460" s="25"/>
      <c r="K460" s="45">
        <v>34</v>
      </c>
      <c r="L460" s="29" t="e" cm="1">
        <f t="array" ref="L460">CHOOSE(GetCSVIndex(A2,135+4536)+1,"","Station","Block","","Delay")</f>
        <v>#VALUE!</v>
      </c>
      <c r="M460" s="29" t="str" cm="1">
        <f t="array" ref="M460">GetCSVIndex(A2,136+4536)</f>
        <v/>
      </c>
      <c r="N460" s="27" t="str" cm="1">
        <f t="array" ref="N460">GetCSVIndex(A2,284+4536)</f>
        <v/>
      </c>
      <c r="O460" s="43" t="str" cm="1">
        <f t="array" ref="O460">GetCSVIndex(A2,347+4536)</f>
        <v/>
      </c>
    </row>
    <row r="461" spans="1:15" ht="21" customHeight="1" x14ac:dyDescent="0.25">
      <c r="A461" s="36" t="s">
        <v>27</v>
      </c>
      <c r="B461" s="25"/>
      <c r="C461" s="26" t="str" cm="1">
        <f t="array" ref="C461">CONCATENATE(GetCSVIndex(A2,249+4536),":", GetCSVIndex(A2,250+4536),":", GetCSVIndex(A2,251+4536))</f>
        <v>::</v>
      </c>
      <c r="D461" s="26"/>
      <c r="E461" s="45">
        <v>3</v>
      </c>
      <c r="F461" s="29" t="e" cm="1">
        <f t="array" ref="F461">CHOOSE(GetCSVIndex(A2,42+4536)+1,"","Station","Block","","Delay")</f>
        <v>#VALUE!</v>
      </c>
      <c r="G461" s="29" t="str" cm="1">
        <f t="array" ref="G461">GetCSVIndex(A2,43+4536)</f>
        <v/>
      </c>
      <c r="H461" s="45" t="str" cm="1">
        <f t="array" ref="H461">GetCSVIndex(A2,253+4536)</f>
        <v/>
      </c>
      <c r="I461" s="29" t="str" cm="1">
        <f t="array" ref="I461">GetCSVIndex(A2,316+4536)</f>
        <v/>
      </c>
      <c r="J461" s="25"/>
      <c r="K461" s="45">
        <v>35</v>
      </c>
      <c r="L461" s="29" t="e" cm="1">
        <f t="array" ref="L461">CHOOSE(GetCSVIndex(A2,138+4536)+1,"","Station","Block","","Delay")</f>
        <v>#VALUE!</v>
      </c>
      <c r="M461" s="29" t="str" cm="1">
        <f t="array" ref="M461">GetCSVIndex(A2,139+4536)</f>
        <v/>
      </c>
      <c r="N461" s="27" t="str" cm="1">
        <f t="array" ref="N461">GetCSVIndex(A2,285+4536)</f>
        <v/>
      </c>
      <c r="O461" s="43" t="str" cm="1">
        <f t="array" ref="O461">GetCSVIndex(A2,348+4536)</f>
        <v/>
      </c>
    </row>
    <row r="462" spans="1:15" ht="21" customHeight="1" x14ac:dyDescent="0.25">
      <c r="A462" s="36"/>
      <c r="B462" s="25"/>
      <c r="C462" s="25"/>
      <c r="D462" s="25"/>
      <c r="E462" s="45">
        <v>4</v>
      </c>
      <c r="F462" s="29" t="e" cm="1">
        <f t="array" ref="F462">CHOOSE(GetCSVIndex(A2,45+4536)+1,"","Station","Block","","Delay")</f>
        <v>#VALUE!</v>
      </c>
      <c r="G462" s="29" t="str" cm="1">
        <f t="array" ref="G462">GetCSVIndex(A2,46+4536)</f>
        <v/>
      </c>
      <c r="H462" s="45" t="str" cm="1">
        <f t="array" ref="H462">GetCSVIndex(A2,254+4536)</f>
        <v/>
      </c>
      <c r="I462" s="29" t="str" cm="1">
        <f t="array" ref="I462">GetCSVIndex(A2,317+4536)</f>
        <v/>
      </c>
      <c r="J462" s="25"/>
      <c r="K462" s="45">
        <v>36</v>
      </c>
      <c r="L462" s="29" t="e" cm="1">
        <f t="array" ref="L462">CHOOSE(GetCSVIndex(A2,141+4536)+1,"","Station","Block","","Delay")</f>
        <v>#VALUE!</v>
      </c>
      <c r="M462" s="29" t="str" cm="1">
        <f t="array" ref="M462">GetCSVIndex(A2,142+4536)</f>
        <v/>
      </c>
      <c r="N462" s="27" t="str" cm="1">
        <f t="array" ref="N462">GetCSVIndex(A2,286+4536)</f>
        <v/>
      </c>
      <c r="O462" s="43" t="str" cm="1">
        <f t="array" ref="O462">GetCSVIndex(A2,349+4536)</f>
        <v/>
      </c>
    </row>
    <row r="463" spans="1:15" ht="21" customHeight="1" x14ac:dyDescent="0.25">
      <c r="A463" s="37" t="s">
        <v>28</v>
      </c>
      <c r="B463" s="28"/>
      <c r="C463" s="29" t="str" cm="1">
        <f t="array" ref="C463">IF(GetCSVIndex(A2,14+4536)&lt;&gt;"65535",CONCATENATE(GetCSVIndex(A2,229+4536),":", GetCSVIndex(A2,239+4536)),"OFF")</f>
        <v>:</v>
      </c>
      <c r="D463" s="25"/>
      <c r="E463" s="45">
        <v>5</v>
      </c>
      <c r="F463" s="29" t="e" cm="1">
        <f t="array" ref="F463">CHOOSE(GetCSVIndex(A2,48+4536)+1,"","Station","Block","","Delay")</f>
        <v>#VALUE!</v>
      </c>
      <c r="G463" s="29" t="str" cm="1">
        <f t="array" ref="G463">GetCSVIndex(A2,49+4536)</f>
        <v/>
      </c>
      <c r="H463" s="45" t="str" cm="1">
        <f t="array" ref="H463">GetCSVIndex(A2,255+4536)</f>
        <v/>
      </c>
      <c r="I463" s="29" t="str" cm="1">
        <f t="array" ref="I463">GetCSVIndex(A2,318+4536)</f>
        <v/>
      </c>
      <c r="J463" s="25"/>
      <c r="K463" s="45">
        <v>37</v>
      </c>
      <c r="L463" s="29" t="e" cm="1">
        <f t="array" ref="L463">CHOOSE(GetCSVIndex(A2,144+4536)+1,"","Station","Block","","Delay")</f>
        <v>#VALUE!</v>
      </c>
      <c r="M463" s="29" t="str" cm="1">
        <f t="array" ref="M463">GetCSVIndex(A2,145+4536)</f>
        <v/>
      </c>
      <c r="N463" s="27" t="str" cm="1">
        <f t="array" ref="N463">GetCSVIndex(A2,287+4536)</f>
        <v/>
      </c>
      <c r="O463" s="43" t="str" cm="1">
        <f t="array" ref="O463">GetCSVIndex(A2,350+4536)</f>
        <v/>
      </c>
    </row>
    <row r="464" spans="1:15" ht="21" customHeight="1" x14ac:dyDescent="0.25">
      <c r="A464" s="38" t="s">
        <v>29</v>
      </c>
      <c r="B464" s="30"/>
      <c r="C464" s="29" t="str" cm="1">
        <f t="array" ref="C464">IF(GetCSVIndex(A2,15+4536)&lt;&gt;"65535",CONCATENATE(GetCSVIndex(A2,231+4536),":", GetCSVIndex(A2,241+4536)),"OFF")</f>
        <v>:</v>
      </c>
      <c r="D464" s="25"/>
      <c r="E464" s="45">
        <v>6</v>
      </c>
      <c r="F464" s="29" t="e" cm="1">
        <f t="array" ref="F464">CHOOSE(GetCSVIndex(A2,51+4536)+1,"","Station","Block","","Delay")</f>
        <v>#VALUE!</v>
      </c>
      <c r="G464" s="29" t="str" cm="1">
        <f t="array" ref="G464">GetCSVIndex(A2,52+4536)</f>
        <v/>
      </c>
      <c r="H464" s="45" t="str" cm="1">
        <f t="array" ref="H464">GetCSVIndex(A2,256+4536)</f>
        <v/>
      </c>
      <c r="I464" s="29" t="str" cm="1">
        <f t="array" ref="I464">GetCSVIndex(A2,319+4536)</f>
        <v/>
      </c>
      <c r="J464" s="25"/>
      <c r="K464" s="45">
        <v>38</v>
      </c>
      <c r="L464" s="29" t="e" cm="1">
        <f t="array" ref="L464">CHOOSE(GetCSVIndex(A2,147+4536)+1,"","Station","Block","","Delay")</f>
        <v>#VALUE!</v>
      </c>
      <c r="M464" s="29" t="str" cm="1">
        <f t="array" ref="M464">GetCSVIndex(A2,148+4536)</f>
        <v/>
      </c>
      <c r="N464" s="27" t="str" cm="1">
        <f t="array" ref="N464">GetCSVIndex(A2,288+4536)</f>
        <v/>
      </c>
      <c r="O464" s="43" t="str" cm="1">
        <f t="array" ref="O464">GetCSVIndex(A2,351+4536)</f>
        <v/>
      </c>
    </row>
    <row r="465" spans="1:15" ht="21" customHeight="1" x14ac:dyDescent="0.25">
      <c r="A465" s="38" t="s">
        <v>30</v>
      </c>
      <c r="B465" s="30"/>
      <c r="C465" s="29" t="str" cm="1">
        <f t="array" ref="C465">IF(GetCSVIndex(A2,16+4536)&lt;&gt;"65535",CONCATENATE(GetCSVIndex(A2,232+4536),":", GetCSVIndex(A2,242+4536)),"OFF")</f>
        <v>:</v>
      </c>
      <c r="D465" s="25"/>
      <c r="E465" s="45">
        <v>7</v>
      </c>
      <c r="F465" s="29" t="e" cm="1">
        <f t="array" ref="F465">CHOOSE(GetCSVIndex(A2,54+4536)+1,"","Station","Block","","Delay")</f>
        <v>#VALUE!</v>
      </c>
      <c r="G465" s="29" t="str" cm="1">
        <f t="array" ref="G465">GetCSVIndex(A2,55+4536)</f>
        <v/>
      </c>
      <c r="H465" s="45" t="str" cm="1">
        <f t="array" ref="H465">GetCSVIndex(A2,257+4536)</f>
        <v/>
      </c>
      <c r="I465" s="29" t="str" cm="1">
        <f t="array" ref="I465">GetCSVIndex(A2,320+4536)</f>
        <v/>
      </c>
      <c r="J465" s="25"/>
      <c r="K465" s="45">
        <v>39</v>
      </c>
      <c r="L465" s="29" t="e" cm="1">
        <f t="array" ref="L465">CHOOSE(GetCSVIndex(A2,150+4536)+1,"","Station","Block","","Delay")</f>
        <v>#VALUE!</v>
      </c>
      <c r="M465" s="29" t="str" cm="1">
        <f t="array" ref="M465">GetCSVIndex(A2,151+4536)</f>
        <v/>
      </c>
      <c r="N465" s="27" t="str" cm="1">
        <f t="array" ref="N465">GetCSVIndex(A2,289+4536)</f>
        <v/>
      </c>
      <c r="O465" s="43" t="str" cm="1">
        <f t="array" ref="O465">GetCSVIndex(A2,352+4536)</f>
        <v/>
      </c>
    </row>
    <row r="466" spans="1:15" ht="21" customHeight="1" x14ac:dyDescent="0.25">
      <c r="A466" s="38" t="s">
        <v>31</v>
      </c>
      <c r="B466" s="30"/>
      <c r="C466" s="29" t="str" cm="1">
        <f t="array" ref="C466">IF(GetCSVIndex(A2,17+4536)&lt;&gt;"65535",CONCATENATE(GetCSVIndex(A2,233+4536),":", GetCSVIndex(A2,243+4536)),"OFF")</f>
        <v>:</v>
      </c>
      <c r="D466" s="25"/>
      <c r="E466" s="45">
        <v>8</v>
      </c>
      <c r="F466" s="29" t="e" cm="1">
        <f t="array" ref="F466">CHOOSE(GetCSVIndex(A2,57+4536)+1,"","Station","Block","","Delay")</f>
        <v>#VALUE!</v>
      </c>
      <c r="G466" s="29" t="str" cm="1">
        <f t="array" ref="G466">GetCSVIndex(A2,58+4536)</f>
        <v/>
      </c>
      <c r="H466" s="45" t="str" cm="1">
        <f t="array" ref="H466">GetCSVIndex(A2,258+4536)</f>
        <v/>
      </c>
      <c r="I466" s="29" t="str" cm="1">
        <f t="array" ref="I466">GetCSVIndex(A2,321+4536)</f>
        <v/>
      </c>
      <c r="J466" s="25"/>
      <c r="K466" s="45">
        <v>40</v>
      </c>
      <c r="L466" s="29" t="e" cm="1">
        <f t="array" ref="L466">CHOOSE(GetCSVIndex(A2,153+4536)+1,"","Station","Block","","Delay")</f>
        <v>#VALUE!</v>
      </c>
      <c r="M466" s="29" t="str" cm="1">
        <f t="array" ref="M466">GetCSVIndex(A2,154+4536)</f>
        <v/>
      </c>
      <c r="N466" s="27" t="str" cm="1">
        <f t="array" ref="N466">GetCSVIndex(A2,290+4536)</f>
        <v/>
      </c>
      <c r="O466" s="43" t="str" cm="1">
        <f t="array" ref="O466">GetCSVIndex(A2,353+4536)</f>
        <v/>
      </c>
    </row>
    <row r="467" spans="1:15" ht="21" customHeight="1" x14ac:dyDescent="0.25">
      <c r="A467" s="38" t="s">
        <v>32</v>
      </c>
      <c r="B467" s="30"/>
      <c r="C467" s="29" t="str" cm="1">
        <f t="array" ref="C467">IF(GetCSVIndex(A2,18+4536)&lt;&gt;"65535",CONCATENATE(GetCSVIndex(A2,234+4536),":", GetCSVIndex(A2,244+4536)),"OFF")</f>
        <v>:</v>
      </c>
      <c r="D467" s="25"/>
      <c r="E467" s="45">
        <v>9</v>
      </c>
      <c r="F467" s="29" t="e" cm="1">
        <f t="array" ref="F467">CHOOSE(GetCSVIndex(A2,60+4536)+1,"","Station","Block","","Delay")</f>
        <v>#VALUE!</v>
      </c>
      <c r="G467" s="29" t="str" cm="1">
        <f t="array" ref="G467">GetCSVIndex(A2,61+4536)</f>
        <v/>
      </c>
      <c r="H467" s="45" t="str" cm="1">
        <f t="array" ref="H467">GetCSVIndex(A2,259+4536)</f>
        <v/>
      </c>
      <c r="I467" s="29" t="str" cm="1">
        <f t="array" ref="I467">GetCSVIndex(A2,322+4536)</f>
        <v/>
      </c>
      <c r="J467" s="25"/>
      <c r="K467" s="45">
        <v>41</v>
      </c>
      <c r="L467" s="29" t="e" cm="1">
        <f t="array" ref="L467">CHOOSE(GetCSVIndex(A2,156+4536)+1,"","Station","Block","","Delay")</f>
        <v>#VALUE!</v>
      </c>
      <c r="M467" s="29" t="str" cm="1">
        <f t="array" ref="M467">GetCSVIndex(A2,157+4536)</f>
        <v/>
      </c>
      <c r="N467" s="27" t="str" cm="1">
        <f t="array" ref="N467">GetCSVIndex(A2,291+4536)</f>
        <v/>
      </c>
      <c r="O467" s="43" t="str" cm="1">
        <f t="array" ref="O467">GetCSVIndex(A2,354+4536)</f>
        <v/>
      </c>
    </row>
    <row r="468" spans="1:15" ht="21" customHeight="1" x14ac:dyDescent="0.25">
      <c r="A468" s="38" t="s">
        <v>33</v>
      </c>
      <c r="B468" s="30"/>
      <c r="C468" s="29" t="str" cm="1">
        <f t="array" ref="C468">IF(GetCSVIndex(A2,19+4536)&lt;&gt;"65535",CONCATENATE(GetCSVIndex(A2,235+4536),":", GetCSVIndex(A2,245+4536)),"OFF")</f>
        <v>:</v>
      </c>
      <c r="D468" s="25"/>
      <c r="E468" s="45">
        <v>10</v>
      </c>
      <c r="F468" s="29" t="e" cm="1">
        <f t="array" ref="F468">CHOOSE(GetCSVIndex(A2,63+4536)+1,"","Station","Block","","Delay")</f>
        <v>#VALUE!</v>
      </c>
      <c r="G468" s="29" t="str" cm="1">
        <f t="array" ref="G468">GetCSVIndex(A2,64+4536)</f>
        <v/>
      </c>
      <c r="H468" s="45" t="str" cm="1">
        <f t="array" ref="H468">GetCSVIndex(A2,260+4536)</f>
        <v/>
      </c>
      <c r="I468" s="29" t="str" cm="1">
        <f t="array" ref="I468">GetCSVIndex(A2,323+4536)</f>
        <v/>
      </c>
      <c r="J468" s="25"/>
      <c r="K468" s="45">
        <v>42</v>
      </c>
      <c r="L468" s="29" t="e" cm="1">
        <f t="array" ref="L468">CHOOSE(GetCSVIndex(A2,159+4536)+1,"","Station","Block","","Delay")</f>
        <v>#VALUE!</v>
      </c>
      <c r="M468" s="29" t="str" cm="1">
        <f t="array" ref="M468">GetCSVIndex(A2,160+4536)</f>
        <v/>
      </c>
      <c r="N468" s="27" t="str" cm="1">
        <f t="array" ref="N468">GetCSVIndex(A2,292+4536)</f>
        <v/>
      </c>
      <c r="O468" s="43" t="str" cm="1">
        <f t="array" ref="O468">GetCSVIndex(A2,355+4536)</f>
        <v/>
      </c>
    </row>
    <row r="469" spans="1:15" ht="21" customHeight="1" x14ac:dyDescent="0.25">
      <c r="A469" s="38" t="s">
        <v>34</v>
      </c>
      <c r="B469" s="30"/>
      <c r="C469" s="29" t="str" cm="1">
        <f t="array" ref="C469">IF(GetCSVIndex(A2,20+4536)&lt;&gt;"65535",CONCATENATE(GetCSVIndex(A2,236+4536),":", GetCSVIndex(A2,246+4536)),"OFF")</f>
        <v>:</v>
      </c>
      <c r="D469" s="25"/>
      <c r="E469" s="45">
        <v>11</v>
      </c>
      <c r="F469" s="29" t="e" cm="1">
        <f t="array" ref="F469">CHOOSE(GetCSVIndex(A2,66+4536)+1,"","Station","Block","","Delay")</f>
        <v>#VALUE!</v>
      </c>
      <c r="G469" s="29" t="str" cm="1">
        <f t="array" ref="G469">GetCSVIndex(A2,67+4536)</f>
        <v/>
      </c>
      <c r="H469" s="45" t="str" cm="1">
        <f t="array" ref="H469">GetCSVIndex(A2,261+4536)</f>
        <v/>
      </c>
      <c r="I469" s="29" t="str" cm="1">
        <f t="array" ref="I469">GetCSVIndex(A2,324+4536)</f>
        <v/>
      </c>
      <c r="J469" s="25"/>
      <c r="K469" s="45">
        <v>43</v>
      </c>
      <c r="L469" s="29" t="e" cm="1">
        <f t="array" ref="L469">CHOOSE(GetCSVIndex(A2,162+4536)+1,"","Station","Block","","Delay")</f>
        <v>#VALUE!</v>
      </c>
      <c r="M469" s="29" t="str" cm="1">
        <f t="array" ref="M469">GetCSVIndex(A2,163+4536)</f>
        <v/>
      </c>
      <c r="N469" s="27" t="str" cm="1">
        <f t="array" ref="N469">GetCSVIndex(A2,293+4536)</f>
        <v/>
      </c>
      <c r="O469" s="43" t="str" cm="1">
        <f t="array" ref="O469">GetCSVIndex(A2,356+4536)</f>
        <v/>
      </c>
    </row>
    <row r="470" spans="1:15" ht="21" customHeight="1" x14ac:dyDescent="0.25">
      <c r="A470" s="38" t="s">
        <v>35</v>
      </c>
      <c r="B470" s="30"/>
      <c r="C470" s="29" t="str" cm="1">
        <f t="array" ref="C470">IF(GetCSVIndex(A2,21+4536)&lt;&gt;"65535",CONCATENATE(GetCSVIndex(A2,237+4536),":", GetCSVIndex(A2,247+4536)),"OFF")</f>
        <v>:</v>
      </c>
      <c r="D470" s="25"/>
      <c r="E470" s="45">
        <v>12</v>
      </c>
      <c r="F470" s="29" t="e" cm="1">
        <f t="array" ref="F470">CHOOSE(GetCSVIndex(A2,69+4536)+1,"","Station","Block","","Delay")</f>
        <v>#VALUE!</v>
      </c>
      <c r="G470" s="29" t="str" cm="1">
        <f t="array" ref="G470">GetCSVIndex(A2,70+4536)</f>
        <v/>
      </c>
      <c r="H470" s="45" t="str" cm="1">
        <f t="array" ref="H470">GetCSVIndex(A2,262+4536)</f>
        <v/>
      </c>
      <c r="I470" s="29" t="str" cm="1">
        <f t="array" ref="I470">GetCSVIndex(A2,325+4536)</f>
        <v/>
      </c>
      <c r="J470" s="25"/>
      <c r="K470" s="45">
        <v>44</v>
      </c>
      <c r="L470" s="29" t="e" cm="1">
        <f t="array" ref="L470">CHOOSE(GetCSVIndex(A2,165+4536)+1,"","Station","Block","","Delay")</f>
        <v>#VALUE!</v>
      </c>
      <c r="M470" s="29" t="str" cm="1">
        <f t="array" ref="M470">GetCSVIndex(A2,166+4536)</f>
        <v/>
      </c>
      <c r="N470" s="27" t="str" cm="1">
        <f t="array" ref="N470">GetCSVIndex(A2,294+4536)</f>
        <v/>
      </c>
      <c r="O470" s="43" t="str" cm="1">
        <f t="array" ref="O470">GetCSVIndex(A2,357+4536)</f>
        <v/>
      </c>
    </row>
    <row r="471" spans="1:15" ht="21" customHeight="1" x14ac:dyDescent="0.25">
      <c r="A471" s="38" t="s">
        <v>36</v>
      </c>
      <c r="B471" s="30"/>
      <c r="C471" s="29" t="str" cm="1">
        <f t="array" ref="C471">IF(GetCSVIndex(A2,22+4536)&lt;&gt;"65535",CONCATENATE(GetCSVIndex(A2,238+4536),":", GetCSVIndex(A2,248+4536)),"OFF")</f>
        <v>:</v>
      </c>
      <c r="D471" s="25"/>
      <c r="E471" s="45">
        <v>13</v>
      </c>
      <c r="F471" s="29" t="e" cm="1">
        <f t="array" ref="F471">CHOOSE(GetCSVIndex(A2,72+4536)+1,"","Station","Block","","Delay")</f>
        <v>#VALUE!</v>
      </c>
      <c r="G471" s="29" t="str" cm="1">
        <f t="array" ref="G471">GetCSVIndex(A2,73+4536)</f>
        <v/>
      </c>
      <c r="H471" s="45" t="str" cm="1">
        <f t="array" ref="H471">GetCSVIndex(A2,263+4536)</f>
        <v/>
      </c>
      <c r="I471" s="29" t="str" cm="1">
        <f t="array" ref="I471">GetCSVIndex(A2,326+4536)</f>
        <v/>
      </c>
      <c r="J471" s="25"/>
      <c r="K471" s="45">
        <v>45</v>
      </c>
      <c r="L471" s="29" t="e" cm="1">
        <f t="array" ref="L471">CHOOSE(GetCSVIndex(A2,168+4536)+1,"","Station","Block","","Delay")</f>
        <v>#VALUE!</v>
      </c>
      <c r="M471" s="29" t="str" cm="1">
        <f t="array" ref="M471">GetCSVIndex(A2,169+4536)</f>
        <v/>
      </c>
      <c r="N471" s="27" t="str" cm="1">
        <f t="array" ref="N471">GetCSVIndex(A2,295+4536)</f>
        <v/>
      </c>
      <c r="O471" s="43" t="str" cm="1">
        <f t="array" ref="O471">GetCSVIndex(A2,358+4536)</f>
        <v/>
      </c>
    </row>
    <row r="472" spans="1:15" ht="21" customHeight="1" x14ac:dyDescent="0.25">
      <c r="A472" s="36" t="s">
        <v>37</v>
      </c>
      <c r="B472" s="25"/>
      <c r="C472" s="29" t="str" cm="1">
        <f t="array" ref="C472">IF(GetCSVIndex(A2,23+4536)&lt;&gt;"65535",CONCATENATE(GetCSVIndex(A2,230+4536),":", GetCSVIndex(A2,240+4536)),"OFF")</f>
        <v>:</v>
      </c>
      <c r="D472" s="25"/>
      <c r="E472" s="45">
        <v>14</v>
      </c>
      <c r="F472" s="29" t="e" cm="1">
        <f t="array" ref="F472">CHOOSE(GetCSVIndex(A2,75+4536)+1,"","Station","Block","","Delay")</f>
        <v>#VALUE!</v>
      </c>
      <c r="G472" s="29" t="str" cm="1">
        <f t="array" ref="G472">GetCSVIndex(A2,76+4536)</f>
        <v/>
      </c>
      <c r="H472" s="45" t="str" cm="1">
        <f t="array" ref="H472">GetCSVIndex(A2,264+4536)</f>
        <v/>
      </c>
      <c r="I472" s="29" t="str" cm="1">
        <f t="array" ref="I472">GetCSVIndex(A2,327+4536)</f>
        <v/>
      </c>
      <c r="J472" s="25"/>
      <c r="K472" s="45">
        <v>46</v>
      </c>
      <c r="L472" s="29" t="e" cm="1">
        <f t="array" ref="L472">CHOOSE(GetCSVIndex(A2,171+4536)+1,"","Station","Block","","Delay")</f>
        <v>#VALUE!</v>
      </c>
      <c r="M472" s="29" t="str" cm="1">
        <f t="array" ref="M472">GetCSVIndex(A2,172+4536)</f>
        <v/>
      </c>
      <c r="N472" s="27" t="str" cm="1">
        <f t="array" ref="N472">GetCSVIndex(A2,296+4536)</f>
        <v/>
      </c>
      <c r="O472" s="43" t="str" cm="1">
        <f t="array" ref="O472">GetCSVIndex(A2,359+4536)</f>
        <v/>
      </c>
    </row>
    <row r="473" spans="1:15" ht="21" customHeight="1" x14ac:dyDescent="0.25">
      <c r="A473" s="39"/>
      <c r="B473" s="40"/>
      <c r="C473" s="41"/>
      <c r="D473" s="26"/>
      <c r="E473" s="45">
        <v>15</v>
      </c>
      <c r="F473" s="29" t="e" cm="1">
        <f t="array" ref="F473">CHOOSE(GetCSVIndex(A2,78+4536)+1,"","Station","Block","","Delay")</f>
        <v>#VALUE!</v>
      </c>
      <c r="G473" s="29" t="str" cm="1">
        <f t="array" ref="G473">GetCSVIndex(A2,79+4536)</f>
        <v/>
      </c>
      <c r="H473" s="45" t="str" cm="1">
        <f t="array" ref="H473">GetCSVIndex(A2,265+4536)</f>
        <v/>
      </c>
      <c r="I473" s="29" t="str" cm="1">
        <f t="array" ref="I473">GetCSVIndex(A2,328+4536)</f>
        <v/>
      </c>
      <c r="J473" s="26"/>
      <c r="K473" s="45">
        <v>47</v>
      </c>
      <c r="L473" s="29" t="e" cm="1">
        <f t="array" ref="L473">CHOOSE(GetCSVIndex(A2,174+4536)+1,"","Station","Block","","Delay")</f>
        <v>#VALUE!</v>
      </c>
      <c r="M473" s="29" t="str" cm="1">
        <f t="array" ref="M473">GetCSVIndex(A2,175+4536)</f>
        <v/>
      </c>
      <c r="N473" s="27" t="str" cm="1">
        <f t="array" ref="N473">GetCSVIndex(A2,297+4536)</f>
        <v/>
      </c>
      <c r="O473" s="43" t="str" cm="1">
        <f t="array" ref="O473">GetCSVIndex(A2,360+4536)</f>
        <v/>
      </c>
    </row>
    <row r="474" spans="1:15" ht="21" customHeight="1" x14ac:dyDescent="0.25">
      <c r="A474" s="42"/>
      <c r="B474" s="25"/>
      <c r="C474" s="25"/>
      <c r="D474" s="26"/>
      <c r="E474" s="45">
        <v>16</v>
      </c>
      <c r="F474" s="29" t="e" cm="1">
        <f t="array" ref="F474">CHOOSE(GetCSVIndex(A2,81+4536)+1,"","Station","Block","","Delay")</f>
        <v>#VALUE!</v>
      </c>
      <c r="G474" s="29" t="str" cm="1">
        <f t="array" ref="G474">GetCSVIndex(A2,82+4536)</f>
        <v/>
      </c>
      <c r="H474" s="45" t="str" cm="1">
        <f t="array" ref="H474">GetCSVIndex(A2,266+4536)</f>
        <v/>
      </c>
      <c r="I474" s="29" t="str" cm="1">
        <f t="array" ref="I474">GetCSVIndex(A2,329+4536)</f>
        <v/>
      </c>
      <c r="J474" s="25"/>
      <c r="K474" s="45">
        <v>48</v>
      </c>
      <c r="L474" s="29" t="e" cm="1">
        <f t="array" ref="L474">CHOOSE(GetCSVIndex(A2,177+4536)+1,"","Station","Block","","Delay")</f>
        <v>#VALUE!</v>
      </c>
      <c r="M474" s="29" t="str" cm="1">
        <f t="array" ref="M474">GetCSVIndex(A2,178+4536)</f>
        <v/>
      </c>
      <c r="N474" s="27" t="str" cm="1">
        <f t="array" ref="N474">GetCSVIndex(A2,298+4536)</f>
        <v/>
      </c>
      <c r="O474" s="43" t="str" cm="1">
        <f t="array" ref="O474">GetCSVIndex(A2,361+4536)</f>
        <v/>
      </c>
    </row>
    <row r="475" spans="1:15" ht="21" customHeight="1" x14ac:dyDescent="0.25">
      <c r="A475" s="42"/>
      <c r="B475" s="25"/>
      <c r="C475" s="25"/>
      <c r="D475" s="26"/>
      <c r="E475" s="45">
        <v>17</v>
      </c>
      <c r="F475" s="29" t="e" cm="1">
        <f t="array" ref="F475">CHOOSE(GetCSVIndex(A2,84+4536)+1,"","Station","Block","","Delay")</f>
        <v>#VALUE!</v>
      </c>
      <c r="G475" s="29" t="str" cm="1">
        <f t="array" ref="G475">GetCSVIndex(A2,85+4536)</f>
        <v/>
      </c>
      <c r="H475" s="45" t="str" cm="1">
        <f t="array" ref="H475">GetCSVIndex(A2,267+4536)</f>
        <v/>
      </c>
      <c r="I475" s="29" t="str" cm="1">
        <f t="array" ref="I475">GetCSVIndex(A2,330+4536)</f>
        <v/>
      </c>
      <c r="J475" s="26"/>
      <c r="K475" s="45">
        <v>49</v>
      </c>
      <c r="L475" s="29" t="e" cm="1">
        <f t="array" ref="L475">CHOOSE(GetCSVIndex(A2,180+4536)+1,"","Station","Block","","Delay")</f>
        <v>#VALUE!</v>
      </c>
      <c r="M475" s="29" t="str" cm="1">
        <f t="array" ref="M475">GetCSVIndex(A2,181+4536)</f>
        <v/>
      </c>
      <c r="N475" s="27" t="str" cm="1">
        <f t="array" ref="N475">GetCSVIndex(A2,299+4536)</f>
        <v/>
      </c>
      <c r="O475" s="43" t="str" cm="1">
        <f t="array" ref="O475">GetCSVIndex(A2,362+4536)</f>
        <v/>
      </c>
    </row>
    <row r="476" spans="1:15" ht="21" customHeight="1" x14ac:dyDescent="0.25">
      <c r="A476" s="42"/>
      <c r="B476" s="25"/>
      <c r="C476" s="25"/>
      <c r="D476" s="26"/>
      <c r="E476" s="45">
        <v>18</v>
      </c>
      <c r="F476" s="29" t="e" cm="1">
        <f t="array" ref="F476">CHOOSE(GetCSVIndex(A2,87+4536)+1,"","Station","Block","","Delay")</f>
        <v>#VALUE!</v>
      </c>
      <c r="G476" s="29" t="str" cm="1">
        <f t="array" ref="G476">GetCSVIndex(A2,88+4536)</f>
        <v/>
      </c>
      <c r="H476" s="45" t="str" cm="1">
        <f t="array" ref="H476">GetCSVIndex(A2,268+4536)</f>
        <v/>
      </c>
      <c r="I476" s="29" t="str" cm="1">
        <f t="array" ref="I476">GetCSVIndex(A2,331+4536)</f>
        <v/>
      </c>
      <c r="J476" s="26"/>
      <c r="K476" s="45">
        <v>50</v>
      </c>
      <c r="L476" s="29" t="e" cm="1">
        <f t="array" ref="L476">CHOOSE(GetCSVIndex(A2,183+4536)+1,"","Station","Block","","Delay")</f>
        <v>#VALUE!</v>
      </c>
      <c r="M476" s="29" t="str" cm="1">
        <f t="array" ref="M476">GetCSVIndex(A2,184+4536)</f>
        <v/>
      </c>
      <c r="N476" s="27" t="str" cm="1">
        <f t="array" ref="N476">GetCSVIndex(A2,300+4536)</f>
        <v/>
      </c>
      <c r="O476" s="43" t="str" cm="1">
        <f t="array" ref="O476">GetCSVIndex(A2,363+4536)</f>
        <v/>
      </c>
    </row>
    <row r="477" spans="1:15" ht="21" customHeight="1" x14ac:dyDescent="0.25">
      <c r="A477" s="42"/>
      <c r="B477" s="25"/>
      <c r="C477" s="25"/>
      <c r="D477" s="26"/>
      <c r="E477" s="45">
        <v>19</v>
      </c>
      <c r="F477" s="29" t="e" cm="1">
        <f t="array" ref="F477">CHOOSE(GetCSVIndex(A2,90+4536)+1,"","Station","Block","","Delay")</f>
        <v>#VALUE!</v>
      </c>
      <c r="G477" s="29" t="str" cm="1">
        <f t="array" ref="G477">GetCSVIndex(A2,91+4536)</f>
        <v/>
      </c>
      <c r="H477" s="45" t="str" cm="1">
        <f t="array" ref="H477">GetCSVIndex(A2,269+4536)</f>
        <v/>
      </c>
      <c r="I477" s="29" t="str" cm="1">
        <f t="array" ref="I477">GetCSVIndex(A2,332+4536)</f>
        <v/>
      </c>
      <c r="J477" s="26"/>
      <c r="K477" s="45">
        <v>51</v>
      </c>
      <c r="L477" s="29" t="e" cm="1">
        <f t="array" ref="L477">CHOOSE(GetCSVIndex(A2,186+4536)+1,"","Station","Block","","Delay")</f>
        <v>#VALUE!</v>
      </c>
      <c r="M477" s="29" t="str" cm="1">
        <f t="array" ref="M477">GetCSVIndex(A2,187+4536)</f>
        <v/>
      </c>
      <c r="N477" s="27" t="str" cm="1">
        <f t="array" ref="N477">GetCSVIndex(A2,301+4536)</f>
        <v/>
      </c>
      <c r="O477" s="43" t="str" cm="1">
        <f t="array" ref="O477">GetCSVIndex(A2,364+4536)</f>
        <v/>
      </c>
    </row>
    <row r="478" spans="1:15" ht="21" customHeight="1" x14ac:dyDescent="0.25">
      <c r="A478" s="42"/>
      <c r="B478" s="25"/>
      <c r="C478" s="25"/>
      <c r="D478" s="26"/>
      <c r="E478" s="45">
        <v>20</v>
      </c>
      <c r="F478" s="29" t="e" cm="1">
        <f t="array" ref="F478">CHOOSE(GetCSVIndex(A2,93+4536)+1,"","Station","Block","","Delay")</f>
        <v>#VALUE!</v>
      </c>
      <c r="G478" s="29" t="str" cm="1">
        <f t="array" ref="G478">GetCSVIndex(A2,94+4536)</f>
        <v/>
      </c>
      <c r="H478" s="45" t="str" cm="1">
        <f t="array" ref="H478">GetCSVIndex(A2,270+4536)</f>
        <v/>
      </c>
      <c r="I478" s="29" t="str" cm="1">
        <f t="array" ref="I478">GetCSVIndex(A2,333+4536)</f>
        <v/>
      </c>
      <c r="J478" s="26"/>
      <c r="K478" s="45">
        <v>52</v>
      </c>
      <c r="L478" s="29" t="e" cm="1">
        <f t="array" ref="L478">CHOOSE(GetCSVIndex(A2,189+4536)+1,"","Station","Block","","Delay")</f>
        <v>#VALUE!</v>
      </c>
      <c r="M478" s="29" t="str" cm="1">
        <f t="array" ref="M478">GetCSVIndex(A2,190+4536)</f>
        <v/>
      </c>
      <c r="N478" s="27" t="str" cm="1">
        <f t="array" ref="N478">GetCSVIndex(A2,302+4536)</f>
        <v/>
      </c>
      <c r="O478" s="43" t="str" cm="1">
        <f t="array" ref="O478">GetCSVIndex(A2,365+4536)</f>
        <v/>
      </c>
    </row>
    <row r="479" spans="1:15" ht="21" customHeight="1" x14ac:dyDescent="0.25">
      <c r="A479" s="42"/>
      <c r="B479" s="25"/>
      <c r="C479" s="25"/>
      <c r="D479" s="26"/>
      <c r="E479" s="45">
        <v>21</v>
      </c>
      <c r="F479" s="29" t="e" cm="1">
        <f t="array" ref="F479">CHOOSE(GetCSVIndex(A2,96+4536)+1,"","Station","Block","","Delay")</f>
        <v>#VALUE!</v>
      </c>
      <c r="G479" s="29" t="str" cm="1">
        <f t="array" ref="G479">GetCSVIndex(A2,97+4536)</f>
        <v/>
      </c>
      <c r="H479" s="45" t="str" cm="1">
        <f t="array" ref="H479">GetCSVIndex(A2,271+4536)</f>
        <v/>
      </c>
      <c r="I479" s="29" t="str" cm="1">
        <f t="array" ref="I479">GetCSVIndex(A2,334+4536)</f>
        <v/>
      </c>
      <c r="J479" s="26"/>
      <c r="K479" s="45">
        <v>53</v>
      </c>
      <c r="L479" s="29" t="e" cm="1">
        <f t="array" ref="L479">CHOOSE(GetCSVIndex(A2,192+4536)+1,"","Station","Block","","Delay")</f>
        <v>#VALUE!</v>
      </c>
      <c r="M479" s="29" t="str" cm="1">
        <f t="array" ref="M479">GetCSVIndex(A2,193+4536)</f>
        <v/>
      </c>
      <c r="N479" s="27" t="str" cm="1">
        <f t="array" ref="N479">GetCSVIndex(A2,303+4536)</f>
        <v/>
      </c>
      <c r="O479" s="43" t="str" cm="1">
        <f t="array" ref="O479">GetCSVIndex(A2,366+4536)</f>
        <v/>
      </c>
    </row>
    <row r="480" spans="1:15" ht="21" customHeight="1" x14ac:dyDescent="0.25">
      <c r="A480" s="42"/>
      <c r="B480" s="25"/>
      <c r="C480" s="25"/>
      <c r="D480" s="26"/>
      <c r="E480" s="45">
        <v>22</v>
      </c>
      <c r="F480" s="29" t="e" cm="1">
        <f t="array" ref="F480">CHOOSE(GetCSVIndex(A2,99+4536)+1,"","Station","Block","","Delay")</f>
        <v>#VALUE!</v>
      </c>
      <c r="G480" s="29" t="str" cm="1">
        <f t="array" ref="G480">GetCSVIndex(A2,100+4536)</f>
        <v/>
      </c>
      <c r="H480" s="45" t="str" cm="1">
        <f t="array" ref="H480">GetCSVIndex(A2,272+4536)</f>
        <v/>
      </c>
      <c r="I480" s="29" t="str" cm="1">
        <f t="array" ref="I480">GetCSVIndex(A2,335+4536)</f>
        <v/>
      </c>
      <c r="J480" s="26"/>
      <c r="K480" s="45">
        <v>54</v>
      </c>
      <c r="L480" s="29" t="e" cm="1">
        <f t="array" ref="L480">CHOOSE(GetCSVIndex(A2,195+4536)+1,"","Station","Block","","Delay")</f>
        <v>#VALUE!</v>
      </c>
      <c r="M480" s="29" t="str" cm="1">
        <f t="array" ref="M480">GetCSVIndex(A2,196+4536)</f>
        <v/>
      </c>
      <c r="N480" s="27" t="str" cm="1">
        <f t="array" ref="N480">GetCSVIndex(A2,304+4536)</f>
        <v/>
      </c>
      <c r="O480" s="43" t="str" cm="1">
        <f t="array" ref="O480">GetCSVIndex(A2,367+4536)</f>
        <v/>
      </c>
    </row>
    <row r="481" spans="1:15" ht="21" customHeight="1" x14ac:dyDescent="0.25">
      <c r="A481" s="42"/>
      <c r="B481" s="25"/>
      <c r="C481" s="25"/>
      <c r="D481" s="26"/>
      <c r="E481" s="45">
        <v>23</v>
      </c>
      <c r="F481" s="29" t="e" cm="1">
        <f t="array" ref="F481">CHOOSE(GetCSVIndex(A2,102+4536)+1,"","Station","Block","","Delay")</f>
        <v>#VALUE!</v>
      </c>
      <c r="G481" s="29" t="str" cm="1">
        <f t="array" ref="G481">GetCSVIndex(A2,103+4536)</f>
        <v/>
      </c>
      <c r="H481" s="45" t="str" cm="1">
        <f t="array" ref="H481">GetCSVIndex(A2,273+4536)</f>
        <v/>
      </c>
      <c r="I481" s="29" t="str" cm="1">
        <f t="array" ref="I481">GetCSVIndex(A2,336+4536)</f>
        <v/>
      </c>
      <c r="J481" s="26"/>
      <c r="K481" s="45">
        <v>55</v>
      </c>
      <c r="L481" s="29" t="e" cm="1">
        <f t="array" ref="L481">CHOOSE(GetCSVIndex(A2,198+4536)+1,"","Station","Block","","Delay")</f>
        <v>#VALUE!</v>
      </c>
      <c r="M481" s="29" t="str" cm="1">
        <f t="array" ref="M481">GetCSVIndex(A2,199+4536)</f>
        <v/>
      </c>
      <c r="N481" s="27" t="str" cm="1">
        <f t="array" ref="N481">GetCSVIndex(A2,305+4536)</f>
        <v/>
      </c>
      <c r="O481" s="43" t="str" cm="1">
        <f t="array" ref="O481">GetCSVIndex(A2,368+4536)</f>
        <v/>
      </c>
    </row>
    <row r="482" spans="1:15" ht="21" customHeight="1" x14ac:dyDescent="0.25">
      <c r="A482" s="42"/>
      <c r="B482" s="25"/>
      <c r="C482" s="25"/>
      <c r="D482" s="26"/>
      <c r="E482" s="45">
        <v>24</v>
      </c>
      <c r="F482" s="29" t="e" cm="1">
        <f t="array" ref="F482">CHOOSE(GetCSVIndex(A2,105+4536)+1,"","Station","Block","","Delay")</f>
        <v>#VALUE!</v>
      </c>
      <c r="G482" s="29" t="str" cm="1">
        <f t="array" ref="G482">GetCSVIndex(A2,106+4536)</f>
        <v/>
      </c>
      <c r="H482" s="45" t="str" cm="1">
        <f t="array" ref="H482">GetCSVIndex(A2,274+4536)</f>
        <v/>
      </c>
      <c r="I482" s="29" t="str" cm="1">
        <f t="array" ref="I482">GetCSVIndex(A2,337+4536)</f>
        <v/>
      </c>
      <c r="J482" s="26"/>
      <c r="K482" s="45">
        <v>56</v>
      </c>
      <c r="L482" s="29" t="e" cm="1">
        <f t="array" ref="L482">CHOOSE(GetCSVIndex(A2,201+4536)+1,"","Station","Block","","Delay")</f>
        <v>#VALUE!</v>
      </c>
      <c r="M482" s="29" t="str" cm="1">
        <f t="array" ref="M482">GetCSVIndex(A2,202+4536)</f>
        <v/>
      </c>
      <c r="N482" s="27" t="str" cm="1">
        <f t="array" ref="N482">GetCSVIndex(A2,306+4536)</f>
        <v/>
      </c>
      <c r="O482" s="43" t="str" cm="1">
        <f t="array" ref="O482">GetCSVIndex(A2,369+4536)</f>
        <v/>
      </c>
    </row>
    <row r="483" spans="1:15" ht="21" customHeight="1" x14ac:dyDescent="0.25">
      <c r="A483" s="42"/>
      <c r="B483" s="25"/>
      <c r="C483" s="25"/>
      <c r="D483" s="26"/>
      <c r="E483" s="45">
        <v>25</v>
      </c>
      <c r="F483" s="29" t="e" cm="1">
        <f t="array" ref="F483">CHOOSE(GetCSVIndex(A2,108+4536)+1,"","Station","Block","","Delay")</f>
        <v>#VALUE!</v>
      </c>
      <c r="G483" s="29" t="str" cm="1">
        <f t="array" ref="G483">GetCSVIndex(A2,109+4536)</f>
        <v/>
      </c>
      <c r="H483" s="45" t="str" cm="1">
        <f t="array" ref="H483">GetCSVIndex(A2,275+4536)</f>
        <v/>
      </c>
      <c r="I483" s="29" t="str" cm="1">
        <f t="array" ref="I483">GetCSVIndex(A2,338+4536)</f>
        <v/>
      </c>
      <c r="J483" s="26"/>
      <c r="K483" s="45">
        <v>57</v>
      </c>
      <c r="L483" s="29" t="e" cm="1">
        <f t="array" ref="L483">CHOOSE(GetCSVIndex(A2,204+4536)+1,"","Station","Block","","Delay")</f>
        <v>#VALUE!</v>
      </c>
      <c r="M483" s="29" t="str" cm="1">
        <f t="array" ref="M483">GetCSVIndex(A2,205+4536)</f>
        <v/>
      </c>
      <c r="N483" s="27" t="str" cm="1">
        <f t="array" ref="N483">GetCSVIndex(A2,307+4536)</f>
        <v/>
      </c>
      <c r="O483" s="43" t="str" cm="1">
        <f t="array" ref="O483">GetCSVIndex(A2,370+4536)</f>
        <v/>
      </c>
    </row>
    <row r="484" spans="1:15" ht="21" customHeight="1" x14ac:dyDescent="0.25">
      <c r="A484" s="42"/>
      <c r="B484" s="25"/>
      <c r="C484" s="25"/>
      <c r="D484" s="26"/>
      <c r="E484" s="45">
        <v>26</v>
      </c>
      <c r="F484" s="29" t="e" cm="1">
        <f t="array" ref="F484">CHOOSE(GetCSVIndex(A2,111+4536)+1,"","Station","Block","","Delay")</f>
        <v>#VALUE!</v>
      </c>
      <c r="G484" s="29" t="str" cm="1">
        <f t="array" ref="G484">GetCSVIndex(A2,112+4536)</f>
        <v/>
      </c>
      <c r="H484" s="45" t="str" cm="1">
        <f t="array" ref="H484">GetCSVIndex(A2,276+4536)</f>
        <v/>
      </c>
      <c r="I484" s="29" t="str" cm="1">
        <f t="array" ref="I484">GetCSVIndex(A2,339+4536)</f>
        <v/>
      </c>
      <c r="J484" s="26"/>
      <c r="K484" s="45">
        <v>58</v>
      </c>
      <c r="L484" s="29" t="e" cm="1">
        <f t="array" ref="L484">CHOOSE(GetCSVIndex(A2,207+4536)+1,"","Station","Block","","Delay")</f>
        <v>#VALUE!</v>
      </c>
      <c r="M484" s="29" t="str" cm="1">
        <f t="array" ref="M484">GetCSVIndex(A2,208+4536)</f>
        <v/>
      </c>
      <c r="N484" s="27" t="str" cm="1">
        <f t="array" ref="N484">GetCSVIndex(A2,308+4536)</f>
        <v/>
      </c>
      <c r="O484" s="43" t="str" cm="1">
        <f t="array" ref="O484">GetCSVIndex(A2,371+4536)</f>
        <v/>
      </c>
    </row>
    <row r="485" spans="1:15" ht="21" customHeight="1" x14ac:dyDescent="0.25">
      <c r="A485" s="42"/>
      <c r="B485" s="25"/>
      <c r="C485" s="25"/>
      <c r="D485" s="26"/>
      <c r="E485" s="45">
        <v>27</v>
      </c>
      <c r="F485" s="29" t="e" cm="1">
        <f t="array" ref="F485">CHOOSE(GetCSVIndex(A2,114+4536)+1,"","Station","Block","","Delay")</f>
        <v>#VALUE!</v>
      </c>
      <c r="G485" s="29" t="str" cm="1">
        <f t="array" ref="G485">GetCSVIndex(A2,115+4536)</f>
        <v/>
      </c>
      <c r="H485" s="45" t="str" cm="1">
        <f t="array" ref="H485">GetCSVIndex(A2,277+4536)</f>
        <v/>
      </c>
      <c r="I485" s="29" t="str" cm="1">
        <f t="array" ref="I485">GetCSVIndex(A2,340+4536)</f>
        <v/>
      </c>
      <c r="J485" s="26"/>
      <c r="K485" s="45">
        <v>59</v>
      </c>
      <c r="L485" s="29" t="e" cm="1">
        <f t="array" ref="L485">CHOOSE(GetCSVIndex(A2,210+4536)+1,"","Station","Block","","Delay")</f>
        <v>#VALUE!</v>
      </c>
      <c r="M485" s="29" t="str" cm="1">
        <f t="array" ref="M485">GetCSVIndex(A2,211+4536)</f>
        <v/>
      </c>
      <c r="N485" s="27" t="str" cm="1">
        <f t="array" ref="N485">GetCSVIndex(A2,309+4536)</f>
        <v/>
      </c>
      <c r="O485" s="43" t="str" cm="1">
        <f t="array" ref="O485">GetCSVIndex(A2,372+4536)</f>
        <v/>
      </c>
    </row>
    <row r="486" spans="1:15" ht="21" customHeight="1" x14ac:dyDescent="0.25">
      <c r="A486" s="42"/>
      <c r="B486" s="25"/>
      <c r="C486" s="25"/>
      <c r="D486" s="26"/>
      <c r="E486" s="45">
        <v>28</v>
      </c>
      <c r="F486" s="29" t="e" cm="1">
        <f t="array" ref="F486">CHOOSE(GetCSVIndex(A2,117+4536)+1,"","Station","Block","","Delay")</f>
        <v>#VALUE!</v>
      </c>
      <c r="G486" s="29" t="str" cm="1">
        <f t="array" ref="G486">GetCSVIndex(A2,118+4536)</f>
        <v/>
      </c>
      <c r="H486" s="45" t="str" cm="1">
        <f t="array" ref="H486">GetCSVIndex(A2,278+4536)</f>
        <v/>
      </c>
      <c r="I486" s="29" t="str" cm="1">
        <f t="array" ref="I486">GetCSVIndex(A2,341+4536)</f>
        <v/>
      </c>
      <c r="J486" s="26"/>
      <c r="K486" s="45">
        <v>60</v>
      </c>
      <c r="L486" s="29" t="e" cm="1">
        <f t="array" ref="L486">CHOOSE(GetCSVIndex(A2,213+4536)+1,"","Station","Block","","Delay")</f>
        <v>#VALUE!</v>
      </c>
      <c r="M486" s="29" t="str" cm="1">
        <f t="array" ref="M486">GetCSVIndex(A2,214+4536)</f>
        <v/>
      </c>
      <c r="N486" s="27" t="str" cm="1">
        <f t="array" ref="N486">GetCSVIndex(A2,310+4536)</f>
        <v/>
      </c>
      <c r="O486" s="43" t="str" cm="1">
        <f t="array" ref="O486">GetCSVIndex(A2,373+4536)</f>
        <v/>
      </c>
    </row>
    <row r="487" spans="1:15" ht="21" customHeight="1" x14ac:dyDescent="0.25">
      <c r="A487" s="42"/>
      <c r="B487" s="25"/>
      <c r="C487" s="25"/>
      <c r="D487" s="26"/>
      <c r="E487" s="45">
        <v>29</v>
      </c>
      <c r="F487" s="29" t="e" cm="1">
        <f t="array" ref="F487">CHOOSE(GetCSVIndex(A2,120+4536)+1,"","Station","Block","","Delay")</f>
        <v>#VALUE!</v>
      </c>
      <c r="G487" s="29" t="str" cm="1">
        <f t="array" ref="G487">GetCSVIndex(A2,121+4536)</f>
        <v/>
      </c>
      <c r="H487" s="45" t="str" cm="1">
        <f t="array" ref="H487">GetCSVIndex(A2,279+4536)</f>
        <v/>
      </c>
      <c r="I487" s="29" t="str" cm="1">
        <f t="array" ref="I487">GetCSVIndex(A2,342+4536)</f>
        <v/>
      </c>
      <c r="J487" s="26"/>
      <c r="K487" s="45">
        <v>61</v>
      </c>
      <c r="L487" s="29" t="e" cm="1">
        <f t="array" ref="L487">CHOOSE(GetCSVIndex(A2,216+4536)+1,"","Station","Block","","Delay")</f>
        <v>#VALUE!</v>
      </c>
      <c r="M487" s="29" t="str" cm="1">
        <f t="array" ref="M487">GetCSVIndex(A2,217+4536)</f>
        <v/>
      </c>
      <c r="N487" s="27" t="str" cm="1">
        <f t="array" ref="N487">GetCSVIndex(A2,311+4536)</f>
        <v/>
      </c>
      <c r="O487" s="43" t="str" cm="1">
        <f t="array" ref="O487">GetCSVIndex(A2,374+4536)</f>
        <v/>
      </c>
    </row>
    <row r="488" spans="1:15" ht="21" customHeight="1" x14ac:dyDescent="0.25">
      <c r="A488" s="42"/>
      <c r="B488" s="25"/>
      <c r="C488" s="25"/>
      <c r="D488" s="26"/>
      <c r="E488" s="45">
        <v>30</v>
      </c>
      <c r="F488" s="29" t="e" cm="1">
        <f t="array" ref="F488">CHOOSE(GetCSVIndex(A2,123+4536)+1,"","Station","Block","","Delay")</f>
        <v>#VALUE!</v>
      </c>
      <c r="G488" s="29" t="str" cm="1">
        <f t="array" ref="G488">GetCSVIndex(A2,124+4536)</f>
        <v/>
      </c>
      <c r="H488" s="45" t="str" cm="1">
        <f t="array" ref="H488">GetCSVIndex(A2,280+4536)</f>
        <v/>
      </c>
      <c r="I488" s="29" t="str" cm="1">
        <f t="array" ref="I488">GetCSVIndex(A2,343+4536)</f>
        <v/>
      </c>
      <c r="J488" s="26"/>
      <c r="K488" s="45">
        <v>62</v>
      </c>
      <c r="L488" s="29" t="e" cm="1">
        <f t="array" ref="L488">CHOOSE(GetCSVIndex(A2,219+4536)+1,"","Station","Block","","Delay")</f>
        <v>#VALUE!</v>
      </c>
      <c r="M488" s="29" t="str" cm="1">
        <f t="array" ref="M488">GetCSVIndex(A2,220+4536)</f>
        <v/>
      </c>
      <c r="N488" s="27" t="str" cm="1">
        <f t="array" ref="N488">GetCSVIndex(A2,312+4536)</f>
        <v/>
      </c>
      <c r="O488" s="43" t="str" cm="1">
        <f t="array" ref="O488">GetCSVIndex(A2,375+4536)</f>
        <v/>
      </c>
    </row>
    <row r="489" spans="1:15" ht="21" customHeight="1" x14ac:dyDescent="0.25">
      <c r="A489" s="42"/>
      <c r="B489" s="25"/>
      <c r="C489" s="25"/>
      <c r="D489" s="26"/>
      <c r="E489" s="45">
        <v>31</v>
      </c>
      <c r="F489" s="29" t="e" cm="1">
        <f t="array" ref="F489">CHOOSE(GetCSVIndex(A2,126+4536)+1,"","Station","Block","","Delay")</f>
        <v>#VALUE!</v>
      </c>
      <c r="G489" s="29" t="str" cm="1">
        <f t="array" ref="G489">GetCSVIndex(A2,127+4536)</f>
        <v/>
      </c>
      <c r="H489" s="45" t="str" cm="1">
        <f t="array" ref="H489">GetCSVIndex(A2,281+4536)</f>
        <v/>
      </c>
      <c r="I489" s="29" t="str" cm="1">
        <f t="array" ref="I489">GetCSVIndex(A2,344+4536)</f>
        <v/>
      </c>
      <c r="J489" s="26"/>
      <c r="K489" s="45">
        <v>63</v>
      </c>
      <c r="L489" s="29" t="e" cm="1">
        <f t="array" ref="L489">CHOOSE(GetCSVIndex(A2,222+4536)+1,"","Station","Block","","Delay")</f>
        <v>#VALUE!</v>
      </c>
      <c r="M489" s="29" t="str" cm="1">
        <f t="array" ref="M489">GetCSVIndex(A2,223+4536)</f>
        <v/>
      </c>
      <c r="N489" s="27" t="str" cm="1">
        <f t="array" ref="N489">GetCSVIndex(A2,313+4536)</f>
        <v/>
      </c>
      <c r="O489" s="43" t="str" cm="1">
        <f t="array" ref="O489">GetCSVIndex(A2,376+4536)</f>
        <v/>
      </c>
    </row>
    <row r="490" spans="1:15" ht="21" customHeight="1" x14ac:dyDescent="0.25">
      <c r="A490" s="37"/>
      <c r="B490" s="28"/>
      <c r="C490" s="29"/>
      <c r="D490" s="29"/>
      <c r="E490" s="45">
        <v>32</v>
      </c>
      <c r="F490" s="29" t="e" cm="1">
        <f t="array" ref="F490">CHOOSE(GetCSVIndex(A2,129+4536)+1,"","Station","Block","","Delay")</f>
        <v>#VALUE!</v>
      </c>
      <c r="G490" s="29" t="str" cm="1">
        <f t="array" ref="G490">GetCSVIndex(A2,130+4536)</f>
        <v/>
      </c>
      <c r="H490" s="45" t="str" cm="1">
        <f t="array" ref="H490">GetCSVIndex(A2,282+4536)</f>
        <v/>
      </c>
      <c r="I490" s="29" t="str" cm="1">
        <f t="array" ref="I490">GetCSVIndex(A2,345+4536)</f>
        <v/>
      </c>
      <c r="J490" s="29"/>
      <c r="K490" s="45">
        <v>64</v>
      </c>
      <c r="L490" s="29" t="e" cm="1">
        <f t="array" ref="L490">CHOOSE(GetCSVIndex(A2,225+4536)+1,"","Station","Block","","Delay")</f>
        <v>#VALUE!</v>
      </c>
      <c r="M490" s="29" t="str" cm="1">
        <f t="array" ref="M490">GetCSVIndex(A2,226+4536)</f>
        <v/>
      </c>
      <c r="N490" s="27" t="str" cm="1">
        <f t="array" ref="N490">GetCSVIndex(A2,314+4536)</f>
        <v/>
      </c>
      <c r="O490" s="43" t="str" cm="1">
        <f t="array" ref="O490">GetCSVIndex(A2,377+4536)</f>
        <v/>
      </c>
    </row>
    <row r="491" spans="1:15" ht="23.25" customHeight="1" x14ac:dyDescent="0.25">
      <c r="A491" s="51" t="str" cm="1">
        <f t="array" ref="A491">CONCATENATE("Schedule  Program Number : ", GetCSVIndex(A2,5+4914))</f>
        <v xml:space="preserve">Schedule  Program Number : </v>
      </c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3"/>
    </row>
    <row r="492" spans="1:15" ht="21" customHeight="1" x14ac:dyDescent="0.25">
      <c r="A492" s="20" t="s">
        <v>44</v>
      </c>
      <c r="B492" s="22" t="str" cm="1">
        <f t="array" ref="B492">GetCSVIndex(A2,5+4914)</f>
        <v/>
      </c>
      <c r="C492" s="18"/>
      <c r="D492" s="18"/>
      <c r="E492" s="18"/>
      <c r="F492" s="18"/>
      <c r="G492" s="18" t="s">
        <v>19</v>
      </c>
      <c r="H492" s="18" t="e" cm="1">
        <f t="array" ref="H492">CHOOSE(GetCSVIndex(A2,7+4914)+1, "Days of Week", "Odd/Even", "Interval","Manual")</f>
        <v>#VALUE!</v>
      </c>
      <c r="I492" s="18"/>
      <c r="J492" s="15"/>
      <c r="K492" s="15"/>
      <c r="L492" s="15"/>
      <c r="M492" s="15"/>
      <c r="N492" s="15"/>
      <c r="O492" s="16"/>
    </row>
    <row r="493" spans="1:15" ht="18" customHeight="1" x14ac:dyDescent="0.25">
      <c r="A493" s="21" t="s">
        <v>20</v>
      </c>
      <c r="B493" s="19" t="e" cm="1">
        <f t="array" ref="B493">CHOOSE(GetCSVIndex(A2,24+4914)+1, "Program", "Global", "Monthly","Solar Sync")</f>
        <v>#VALUE!</v>
      </c>
      <c r="C493" s="19"/>
      <c r="D493" s="19"/>
      <c r="E493" s="19"/>
      <c r="F493" s="19" t="s">
        <v>21</v>
      </c>
      <c r="G493" s="19" t="e" cm="1">
        <f t="array" ref="G493">IF(CHOOSE(GetCSVIndex(A2,7+4914)+1,IF(_xlfn.BITAND(GetCSVIndex(A2,8+4914), 2^0)=0, 0, 1),IF(_xlfn.BITAND(GetCSVIndex(A2,9+4914), 2^0)=0, 0, 1),IF(_xlfn.BITAND(GetCSVIndex(A2,10+4914), 2^0)=0, 0, 1)) =1,"Mon","")</f>
        <v>#VALUE!</v>
      </c>
      <c r="H493" s="19" t="e" cm="1">
        <f t="array" ref="H493">CONCATENATE(IF(CHOOSE(GetCSVIndex(A2,7+4914)+1,IF(_xlfn.BITAND(GetCSVIndex(A2,8+4914), 2^1)=0, 0, 1),IF(_xlfn.BITAND(GetCSVIndex(A2,9+4914), 2^1)=0, 0, 1),IF(_xlfn.BITAND(GetCSVIndex(A2,10+4914), 2^1)=0, 0, 1)) =1,"Tue       ","       "),IF(CHOOSE(GetCSVIndex(A2,7+4914)+1,IF(_xlfn.BITAND(GetCSVIndex(A2,8+4914), 2^2)=0, 0, 1),IF(_xlfn.BITAND(GetCSVIndex(A2,9+4914), 2^2)=0, 0, 1),IF(_xlfn.BITAND(GetCSVIndex(A2,10+4914), 2^2)=0, 0, 1)) =1,"Wed",""),IF(CHOOSE(GetCSVIndex(A2,7+4914)+1,IF(_xlfn.BITAND(GetCSVIndex(A2,8+4914), 2^3)=0, 0, 1),IF(_xlfn.BITAND(GetCSVIndex(A2,9+4914), 2^3)=0, 0, 1),IF(_xlfn.BITAND(GetCSVIndex(A2,10+4914), 2^3)=0, 0, 1)) =1,"       Thu","       "))</f>
        <v>#VALUE!</v>
      </c>
      <c r="I493" s="32" t="e" cm="1">
        <f t="array" ref="I493">CONCATENATE(IF(CHOOSE(GetCSVIndex(A2,7+4914)+1,IF(_xlfn.BITAND(GetCSVIndex(A2,8+4914), 2^4)=0, 0, 1),IF(_xlfn.BITAND(GetCSVIndex(A2,9+4914), 2^4)=0, 0, 1),IF(_xlfn.BITAND(GetCSVIndex(A2,10+4914), 2^4)=0, 0, 1)) =1,"Fri       ","       "),IF(CHOOSE(GetCSVIndex(A2,7+4914)+1,IF(_xlfn.BITAND(GetCSVIndex(A2,8+4914), 2^5)=0, 0, 1),IF(_xlfn.BITAND(GetCSVIndex(A2,9+4914), 2^5)=0, 0, 1),IF(_xlfn.BITAND(GetCSVIndex(A2,10+4914), 2^5)=0, 0, 1)) =1,"Sat",""),IF(CHOOSE(GetCSVIndex(A2,7+4914)+1,IF(_xlfn.BITAND(GetCSVIndex(A2,8+4914), 2^6)=0, 0, 1),IF(_xlfn.BITAND(GetCSVIndex(A2,9+4914), 2^6)=0, 0, 1),IF(_xlfn.BITAND(GetCSVIndex(A2,10+4914), 2^6)=0, 0, 1)) =1,"       Sun","       "))</f>
        <v>#VALUE!</v>
      </c>
      <c r="J493" s="19"/>
      <c r="K493" s="19"/>
      <c r="L493" s="32" t="s">
        <v>22</v>
      </c>
      <c r="M493" s="19"/>
      <c r="N493" s="19" t="str" cm="1">
        <f t="array" ref="N493">IF(GetCSVIndex(A2,26+4914)="1","Enable","Disable")</f>
        <v>Disable</v>
      </c>
      <c r="O493" s="24"/>
    </row>
    <row r="494" spans="1:15" ht="18" customHeight="1" x14ac:dyDescent="0.25">
      <c r="A494" s="21" t="str" cm="1">
        <f t="array" ref="A494">CONCATENATE("Program ", GetCSVIndex(A2,5+4914))</f>
        <v xml:space="preserve">Program </v>
      </c>
      <c r="B494" s="23" t="str" cm="1">
        <f t="array" ref="B494">CONCATENATE(GetCSVIndex(A2,25+4914)," %")</f>
        <v xml:space="preserve"> %</v>
      </c>
      <c r="C494" s="19"/>
      <c r="D494" s="19"/>
      <c r="E494" s="19"/>
      <c r="F494" s="19" t="str" cm="1">
        <f t="array" ref="F494">IF(GetCSVIndex(A2,7)="2","Water Every"," ")</f>
        <v xml:space="preserve"> </v>
      </c>
      <c r="G494" s="47" t="str" cm="1">
        <f t="array" ref="G494">IF(GetCSVIndex(A2,7+4914)="2",GetCSVIndex(A2,11+4914)," ")</f>
        <v xml:space="preserve"> </v>
      </c>
      <c r="H494" s="19" t="str" cm="1">
        <f t="array" ref="H494">IF(GetCSVIndex(A2,7+4914)="2","Days"," ")</f>
        <v xml:space="preserve"> </v>
      </c>
      <c r="I494" s="32" t="str" cm="1">
        <f t="array" ref="I494">IF(GetCSVIndex(A2,7+4914)="2","Water After"," ")</f>
        <v xml:space="preserve"> </v>
      </c>
      <c r="J494" s="19"/>
      <c r="K494" s="19" t="str" cm="1">
        <f t="array" ref="K494">IF(GetCSVIndex(A2,7+4914)="2",GetCSVIndex(A2,12+4914)," ")</f>
        <v xml:space="preserve"> </v>
      </c>
      <c r="L494" s="47" t="str" cm="1">
        <f t="array" ref="L494">IF(GetCSVIndex(A2,7+4914)="2","Days"," ")</f>
        <v xml:space="preserve"> </v>
      </c>
      <c r="M494" s="32"/>
      <c r="N494" s="32"/>
      <c r="O494" s="24"/>
    </row>
    <row r="495" spans="1:15" ht="21" customHeight="1" x14ac:dyDescent="0.25">
      <c r="A495" s="20" t="s">
        <v>23</v>
      </c>
      <c r="B495" s="18" t="s">
        <v>24</v>
      </c>
      <c r="C495" s="18" t="str" cm="1">
        <f t="array" ref="C495">CHOOSE(GetCSVIndex(A2,13)+1, "Auto", "Start to End","Manual")</f>
        <v>Start to End</v>
      </c>
      <c r="D495" s="31"/>
      <c r="E495" s="17" t="s">
        <v>38</v>
      </c>
      <c r="F495" s="18" t="s">
        <v>39</v>
      </c>
      <c r="G495" s="18" t="s">
        <v>40</v>
      </c>
      <c r="H495" s="18" t="s">
        <v>41</v>
      </c>
      <c r="I495" s="18" t="s">
        <v>43</v>
      </c>
      <c r="J495" s="31"/>
      <c r="K495" s="17" t="s">
        <v>38</v>
      </c>
      <c r="L495" s="18" t="s">
        <v>39</v>
      </c>
      <c r="M495" s="18" t="s">
        <v>40</v>
      </c>
      <c r="N495" s="22" t="s">
        <v>41</v>
      </c>
      <c r="O495" s="44" t="s">
        <v>42</v>
      </c>
    </row>
    <row r="496" spans="1:15" ht="21" customHeight="1" x14ac:dyDescent="0.25">
      <c r="A496" s="36" t="s">
        <v>25</v>
      </c>
      <c r="B496" s="46" t="str" cm="1">
        <f t="array" ref="B496">IF(GetCSVIndex(A2,6+4914)="1","Over","Stack")</f>
        <v>Stack</v>
      </c>
      <c r="C496" s="26" t="str" cm="1">
        <f t="array" ref="C496">GetCSVIndex(A2,29+4914)</f>
        <v/>
      </c>
      <c r="D496" s="25"/>
      <c r="E496" s="45">
        <v>1</v>
      </c>
      <c r="F496" s="29" t="e" cm="1">
        <f t="array" ref="F496">CHOOSE(GetCSVIndex(A2,36+4914)+1,"","Station","Block","","Delay")</f>
        <v>#VALUE!</v>
      </c>
      <c r="G496" s="29" t="str" cm="1">
        <f t="array" ref="G496">GetCSVIndex(A2,37+4914)</f>
        <v/>
      </c>
      <c r="H496" s="45" t="str" cm="1">
        <f t="array" ref="H496">GetCSVIndex(A2,3+4914)</f>
        <v/>
      </c>
      <c r="I496" s="29" t="str" cm="1">
        <f t="array" ref="I496">GetCSVIndex(A2,1+4914)</f>
        <v/>
      </c>
      <c r="J496" s="25"/>
      <c r="K496" s="45">
        <v>33</v>
      </c>
      <c r="L496" s="29" t="e" cm="1">
        <f t="array" ref="L496">CHOOSE(GetCSVIndex(A2,132+4914)+1,"","Station","Block","","Delay")</f>
        <v>#VALUE!</v>
      </c>
      <c r="M496" s="29" t="str" cm="1">
        <f t="array" ref="M496">GetCSVIndex(A2,133+4914)</f>
        <v/>
      </c>
      <c r="N496" s="27" t="str" cm="1">
        <f t="array" ref="N496">GetCSVIndex(A2,283+4914)</f>
        <v/>
      </c>
      <c r="O496" s="43" t="str" cm="1">
        <f t="array" ref="O496">GetCSVIndex(A2,346+4914)</f>
        <v/>
      </c>
    </row>
    <row r="497" spans="1:15" ht="21" customHeight="1" x14ac:dyDescent="0.25">
      <c r="A497" s="36" t="s">
        <v>26</v>
      </c>
      <c r="B497" s="25" t="str" cm="1">
        <f t="array" ref="B497">IF(GetCSVIndex(A2,2+4914)="1092:15","Not Set",CONCATENATE("From     ",GetCSVIndex(A2,2+4914)))</f>
        <v xml:space="preserve">From     </v>
      </c>
      <c r="C497" s="26" t="str" cm="1">
        <f t="array" ref="C497">IF(GetCSVIndex(C4,1+26)="1092:15","Not Set",CONCATENATE("To     ",GetCSVIndex(C4,1+26)))</f>
        <v xml:space="preserve">To     </v>
      </c>
      <c r="D497" s="25"/>
      <c r="E497" s="45">
        <v>2</v>
      </c>
      <c r="F497" s="29" t="e" cm="1">
        <f t="array" ref="F497">CHOOSE(GetCSVIndex(A2,39+4914)+1,"","Station","Block","","Delay")</f>
        <v>#VALUE!</v>
      </c>
      <c r="G497" s="29" t="str" cm="1">
        <f t="array" ref="G497">GetCSVIndex(A2,40+4914)</f>
        <v/>
      </c>
      <c r="H497" s="45" t="str" cm="1">
        <f t="array" ref="H497">GetCSVIndex(A2,252+4914)</f>
        <v/>
      </c>
      <c r="I497" s="29" t="str" cm="1">
        <f t="array" ref="I497">GetCSVIndex(A2,315+4914)</f>
        <v/>
      </c>
      <c r="J497" s="25"/>
      <c r="K497" s="45">
        <v>34</v>
      </c>
      <c r="L497" s="29" t="e" cm="1">
        <f t="array" ref="L497">CHOOSE(GetCSVIndex(A2,135+4914)+1,"","Station","Block","","Delay")</f>
        <v>#VALUE!</v>
      </c>
      <c r="M497" s="29" t="str" cm="1">
        <f t="array" ref="M497">GetCSVIndex(A2,136+4914)</f>
        <v/>
      </c>
      <c r="N497" s="27" t="str" cm="1">
        <f t="array" ref="N497">GetCSVIndex(A2,284+4914)</f>
        <v/>
      </c>
      <c r="O497" s="43" t="str" cm="1">
        <f t="array" ref="O497">GetCSVIndex(A2,347+4914)</f>
        <v/>
      </c>
    </row>
    <row r="498" spans="1:15" ht="21" customHeight="1" x14ac:dyDescent="0.25">
      <c r="A498" s="36" t="s">
        <v>27</v>
      </c>
      <c r="B498" s="25"/>
      <c r="C498" s="26" t="str" cm="1">
        <f t="array" ref="C498">CONCATENATE(GetCSVIndex(A2,249+4914),":", GetCSVIndex(A2,250+4914),":", GetCSVIndex(A2,251+4914))</f>
        <v>::</v>
      </c>
      <c r="D498" s="26"/>
      <c r="E498" s="45">
        <v>3</v>
      </c>
      <c r="F498" s="29" t="e" cm="1">
        <f t="array" ref="F498">CHOOSE(GetCSVIndex(A2,42+4914)+1,"","Station","Block","","Delay")</f>
        <v>#VALUE!</v>
      </c>
      <c r="G498" s="29" t="str" cm="1">
        <f t="array" ref="G498">GetCSVIndex(A2,43+4914)</f>
        <v/>
      </c>
      <c r="H498" s="45" t="str" cm="1">
        <f t="array" ref="H498">GetCSVIndex(A2,253+4914)</f>
        <v/>
      </c>
      <c r="I498" s="29" t="str" cm="1">
        <f t="array" ref="I498">GetCSVIndex(A2,316+4914)</f>
        <v/>
      </c>
      <c r="J498" s="25"/>
      <c r="K498" s="45">
        <v>35</v>
      </c>
      <c r="L498" s="29" t="e" cm="1">
        <f t="array" ref="L498">CHOOSE(GetCSVIndex(A2,138+4914)+1,"","Station","Block","","Delay")</f>
        <v>#VALUE!</v>
      </c>
      <c r="M498" s="29" t="str" cm="1">
        <f t="array" ref="M498">GetCSVIndex(A2,139+4914)</f>
        <v/>
      </c>
      <c r="N498" s="27" t="str" cm="1">
        <f t="array" ref="N498">GetCSVIndex(A2,285+4914)</f>
        <v/>
      </c>
      <c r="O498" s="43" t="str" cm="1">
        <f t="array" ref="O498">GetCSVIndex(A2,348+4914)</f>
        <v/>
      </c>
    </row>
    <row r="499" spans="1:15" ht="21" customHeight="1" x14ac:dyDescent="0.25">
      <c r="A499" s="36"/>
      <c r="B499" s="25"/>
      <c r="C499" s="25"/>
      <c r="D499" s="25"/>
      <c r="E499" s="45">
        <v>4</v>
      </c>
      <c r="F499" s="29" t="e" cm="1">
        <f t="array" ref="F499">CHOOSE(GetCSVIndex(A2,45+4914)+1,"","Station","Block","","Delay")</f>
        <v>#VALUE!</v>
      </c>
      <c r="G499" s="29" t="str" cm="1">
        <f t="array" ref="G499">GetCSVIndex(A2,46+4914)</f>
        <v/>
      </c>
      <c r="H499" s="45" t="str" cm="1">
        <f t="array" ref="H499">GetCSVIndex(A2,254+4914)</f>
        <v/>
      </c>
      <c r="I499" s="29" t="str" cm="1">
        <f t="array" ref="I499">GetCSVIndex(A2,317+4914)</f>
        <v/>
      </c>
      <c r="J499" s="25"/>
      <c r="K499" s="45">
        <v>36</v>
      </c>
      <c r="L499" s="29" t="e" cm="1">
        <f t="array" ref="L499">CHOOSE(GetCSVIndex(A2,141+4914)+1,"","Station","Block","","Delay")</f>
        <v>#VALUE!</v>
      </c>
      <c r="M499" s="29" t="str" cm="1">
        <f t="array" ref="M499">GetCSVIndex(A2,142+4914)</f>
        <v/>
      </c>
      <c r="N499" s="27" t="str" cm="1">
        <f t="array" ref="N499">GetCSVIndex(A2,286+4914)</f>
        <v/>
      </c>
      <c r="O499" s="43" t="str" cm="1">
        <f t="array" ref="O499">GetCSVIndex(A2,349+4914)</f>
        <v/>
      </c>
    </row>
    <row r="500" spans="1:15" ht="21" customHeight="1" x14ac:dyDescent="0.25">
      <c r="A500" s="37" t="s">
        <v>28</v>
      </c>
      <c r="B500" s="28"/>
      <c r="C500" s="29" t="str" cm="1">
        <f t="array" ref="C500">IF(GetCSVIndex(A2,14+4914)&lt;&gt;"65535",CONCATENATE(GetCSVIndex(A2,229+4914),":", GetCSVIndex(A2,239+4914)),"OFF")</f>
        <v>:</v>
      </c>
      <c r="D500" s="25"/>
      <c r="E500" s="45">
        <v>5</v>
      </c>
      <c r="F500" s="29" t="e" cm="1">
        <f t="array" ref="F500">CHOOSE(GetCSVIndex(A2,48+4914)+1,"","Station","Block","","Delay")</f>
        <v>#VALUE!</v>
      </c>
      <c r="G500" s="29" t="str" cm="1">
        <f t="array" ref="G500">GetCSVIndex(A2,49+4914)</f>
        <v/>
      </c>
      <c r="H500" s="45" t="str" cm="1">
        <f t="array" ref="H500">GetCSVIndex(A2,255+4914)</f>
        <v/>
      </c>
      <c r="I500" s="29" t="str" cm="1">
        <f t="array" ref="I500">GetCSVIndex(A2,318+4914)</f>
        <v/>
      </c>
      <c r="J500" s="25"/>
      <c r="K500" s="45">
        <v>37</v>
      </c>
      <c r="L500" s="29" t="e" cm="1">
        <f t="array" ref="L500">CHOOSE(GetCSVIndex(A2,144+4914)+1,"","Station","Block","","Delay")</f>
        <v>#VALUE!</v>
      </c>
      <c r="M500" s="29" t="str" cm="1">
        <f t="array" ref="M500">GetCSVIndex(A2,145+4914)</f>
        <v/>
      </c>
      <c r="N500" s="27" t="str" cm="1">
        <f t="array" ref="N500">GetCSVIndex(A2,287+4914)</f>
        <v/>
      </c>
      <c r="O500" s="43" t="str" cm="1">
        <f t="array" ref="O500">GetCSVIndex(A2,350+4914)</f>
        <v/>
      </c>
    </row>
    <row r="501" spans="1:15" ht="21" customHeight="1" x14ac:dyDescent="0.25">
      <c r="A501" s="38" t="s">
        <v>29</v>
      </c>
      <c r="B501" s="30"/>
      <c r="C501" s="29" t="str" cm="1">
        <f t="array" ref="C501">IF(GetCSVIndex(A2,15+4914)&lt;&gt;"65535",CONCATENATE(GetCSVIndex(A2,231+4914),":", GetCSVIndex(A2,241+4914)),"OFF")</f>
        <v>:</v>
      </c>
      <c r="D501" s="25"/>
      <c r="E501" s="45">
        <v>6</v>
      </c>
      <c r="F501" s="29" t="e" cm="1">
        <f t="array" ref="F501">CHOOSE(GetCSVIndex(A2,51+4914)+1,"","Station","Block","","Delay")</f>
        <v>#VALUE!</v>
      </c>
      <c r="G501" s="29" t="str" cm="1">
        <f t="array" ref="G501">GetCSVIndex(A2,52+4914)</f>
        <v/>
      </c>
      <c r="H501" s="45" t="str" cm="1">
        <f t="array" ref="H501">GetCSVIndex(A2,256+4914)</f>
        <v/>
      </c>
      <c r="I501" s="29" t="str" cm="1">
        <f t="array" ref="I501">GetCSVIndex(A2,319+4914)</f>
        <v/>
      </c>
      <c r="J501" s="25"/>
      <c r="K501" s="45">
        <v>38</v>
      </c>
      <c r="L501" s="29" t="e" cm="1">
        <f t="array" ref="L501">CHOOSE(GetCSVIndex(A2,147+4914)+1,"","Station","Block","","Delay")</f>
        <v>#VALUE!</v>
      </c>
      <c r="M501" s="29" t="str" cm="1">
        <f t="array" ref="M501">GetCSVIndex(A2,148+4914)</f>
        <v/>
      </c>
      <c r="N501" s="27" t="str" cm="1">
        <f t="array" ref="N501">GetCSVIndex(A2,288+4914)</f>
        <v/>
      </c>
      <c r="O501" s="43" t="str" cm="1">
        <f t="array" ref="O501">GetCSVIndex(A2,351+4914)</f>
        <v/>
      </c>
    </row>
    <row r="502" spans="1:15" ht="21" customHeight="1" x14ac:dyDescent="0.25">
      <c r="A502" s="38" t="s">
        <v>30</v>
      </c>
      <c r="B502" s="30"/>
      <c r="C502" s="29" t="str" cm="1">
        <f t="array" ref="C502">IF(GetCSVIndex(A2,16+4914)&lt;&gt;"65535",CONCATENATE(GetCSVIndex(A2,232+4914),":", GetCSVIndex(A2,242+4914)),"OFF")</f>
        <v>:</v>
      </c>
      <c r="D502" s="25"/>
      <c r="E502" s="45">
        <v>7</v>
      </c>
      <c r="F502" s="29" t="e" cm="1">
        <f t="array" ref="F502">CHOOSE(GetCSVIndex(A2,54+4914)+1,"","Station","Block","","Delay")</f>
        <v>#VALUE!</v>
      </c>
      <c r="G502" s="29" t="str" cm="1">
        <f t="array" ref="G502">GetCSVIndex(A2,55+4914)</f>
        <v/>
      </c>
      <c r="H502" s="45" t="str" cm="1">
        <f t="array" ref="H502">GetCSVIndex(A2,257+4914)</f>
        <v/>
      </c>
      <c r="I502" s="29" t="str" cm="1">
        <f t="array" ref="I502">GetCSVIndex(A2,320+4914)</f>
        <v/>
      </c>
      <c r="J502" s="25"/>
      <c r="K502" s="45">
        <v>39</v>
      </c>
      <c r="L502" s="29" t="e" cm="1">
        <f t="array" ref="L502">CHOOSE(GetCSVIndex(A2,150+4914)+1,"","Station","Block","","Delay")</f>
        <v>#VALUE!</v>
      </c>
      <c r="M502" s="29" t="str" cm="1">
        <f t="array" ref="M502">GetCSVIndex(A2,151+4914)</f>
        <v/>
      </c>
      <c r="N502" s="27" t="str" cm="1">
        <f t="array" ref="N502">GetCSVIndex(A2,289+4914)</f>
        <v/>
      </c>
      <c r="O502" s="43" t="str" cm="1">
        <f t="array" ref="O502">GetCSVIndex(A2,352+4914)</f>
        <v/>
      </c>
    </row>
    <row r="503" spans="1:15" ht="21" customHeight="1" x14ac:dyDescent="0.25">
      <c r="A503" s="38" t="s">
        <v>31</v>
      </c>
      <c r="B503" s="30"/>
      <c r="C503" s="29" t="str" cm="1">
        <f t="array" ref="C503">IF(GetCSVIndex(A2,17+4914)&lt;&gt;"65535",CONCATENATE(GetCSVIndex(A2,233+4914),":", GetCSVIndex(A2,243+4914)),"OFF")</f>
        <v>:</v>
      </c>
      <c r="D503" s="25"/>
      <c r="E503" s="45">
        <v>8</v>
      </c>
      <c r="F503" s="29" t="e" cm="1">
        <f t="array" ref="F503">CHOOSE(GetCSVIndex(A2,57+4914)+1,"","Station","Block","","Delay")</f>
        <v>#VALUE!</v>
      </c>
      <c r="G503" s="29" t="str" cm="1">
        <f t="array" ref="G503">GetCSVIndex(A2,58+4914)</f>
        <v/>
      </c>
      <c r="H503" s="45" t="str" cm="1">
        <f t="array" ref="H503">GetCSVIndex(A2,258+4914)</f>
        <v/>
      </c>
      <c r="I503" s="29" t="str" cm="1">
        <f t="array" ref="I503">GetCSVIndex(A2,321+4914)</f>
        <v/>
      </c>
      <c r="J503" s="25"/>
      <c r="K503" s="45">
        <v>40</v>
      </c>
      <c r="L503" s="29" t="e" cm="1">
        <f t="array" ref="L503">CHOOSE(GetCSVIndex(A2,153+4914)+1,"","Station","Block","","Delay")</f>
        <v>#VALUE!</v>
      </c>
      <c r="M503" s="29" t="str" cm="1">
        <f t="array" ref="M503">GetCSVIndex(A2,154+4914)</f>
        <v/>
      </c>
      <c r="N503" s="27" t="str" cm="1">
        <f t="array" ref="N503">GetCSVIndex(A2,290+4914)</f>
        <v/>
      </c>
      <c r="O503" s="43" t="str" cm="1">
        <f t="array" ref="O503">GetCSVIndex(A2,353+4914)</f>
        <v/>
      </c>
    </row>
    <row r="504" spans="1:15" ht="21" customHeight="1" x14ac:dyDescent="0.25">
      <c r="A504" s="38" t="s">
        <v>32</v>
      </c>
      <c r="B504" s="30"/>
      <c r="C504" s="29" t="str" cm="1">
        <f t="array" ref="C504">IF(GetCSVIndex(A2,18+4914)&lt;&gt;"65535",CONCATENATE(GetCSVIndex(A2,234+4914),":", GetCSVIndex(A2,244+4914)),"OFF")</f>
        <v>:</v>
      </c>
      <c r="D504" s="25"/>
      <c r="E504" s="45">
        <v>9</v>
      </c>
      <c r="F504" s="29" t="e" cm="1">
        <f t="array" ref="F504">CHOOSE(GetCSVIndex(A2,60+4914)+1,"","Station","Block","","Delay")</f>
        <v>#VALUE!</v>
      </c>
      <c r="G504" s="29" t="str" cm="1">
        <f t="array" ref="G504">GetCSVIndex(A2,61+4914)</f>
        <v/>
      </c>
      <c r="H504" s="45" t="str" cm="1">
        <f t="array" ref="H504">GetCSVIndex(A2,259+4914)</f>
        <v/>
      </c>
      <c r="I504" s="29" t="str" cm="1">
        <f t="array" ref="I504">GetCSVIndex(A2,322+4914)</f>
        <v/>
      </c>
      <c r="J504" s="25"/>
      <c r="K504" s="45">
        <v>41</v>
      </c>
      <c r="L504" s="29" t="e" cm="1">
        <f t="array" ref="L504">CHOOSE(GetCSVIndex(A2,156+4914)+1,"","Station","Block","","Delay")</f>
        <v>#VALUE!</v>
      </c>
      <c r="M504" s="29" t="str" cm="1">
        <f t="array" ref="M504">GetCSVIndex(A2,157+4914)</f>
        <v/>
      </c>
      <c r="N504" s="27" t="str" cm="1">
        <f t="array" ref="N504">GetCSVIndex(A2,291+4914)</f>
        <v/>
      </c>
      <c r="O504" s="43" t="str" cm="1">
        <f t="array" ref="O504">GetCSVIndex(A2,354+4914)</f>
        <v/>
      </c>
    </row>
    <row r="505" spans="1:15" ht="21" customHeight="1" x14ac:dyDescent="0.25">
      <c r="A505" s="38" t="s">
        <v>33</v>
      </c>
      <c r="B505" s="30"/>
      <c r="C505" s="29" t="str" cm="1">
        <f t="array" ref="C505">IF(GetCSVIndex(A2,19+4914)&lt;&gt;"65535",CONCATENATE(GetCSVIndex(A2,235+4914),":", GetCSVIndex(A2,245+4914)),"OFF")</f>
        <v>:</v>
      </c>
      <c r="D505" s="25"/>
      <c r="E505" s="45">
        <v>10</v>
      </c>
      <c r="F505" s="29" t="e" cm="1">
        <f t="array" ref="F505">CHOOSE(GetCSVIndex(A2,63+4914)+1,"","Station","Block","","Delay")</f>
        <v>#VALUE!</v>
      </c>
      <c r="G505" s="29" t="str" cm="1">
        <f t="array" ref="G505">GetCSVIndex(A2,64+4914)</f>
        <v/>
      </c>
      <c r="H505" s="45" t="str" cm="1">
        <f t="array" ref="H505">GetCSVIndex(A2,260+4914)</f>
        <v/>
      </c>
      <c r="I505" s="29" t="str" cm="1">
        <f t="array" ref="I505">GetCSVIndex(A2,323+4914)</f>
        <v/>
      </c>
      <c r="J505" s="25"/>
      <c r="K505" s="45">
        <v>42</v>
      </c>
      <c r="L505" s="29" t="e" cm="1">
        <f t="array" ref="L505">CHOOSE(GetCSVIndex(A2,159+4914)+1,"","Station","Block","","Delay")</f>
        <v>#VALUE!</v>
      </c>
      <c r="M505" s="29" t="str" cm="1">
        <f t="array" ref="M505">GetCSVIndex(A2,160+4914)</f>
        <v/>
      </c>
      <c r="N505" s="27" t="str" cm="1">
        <f t="array" ref="N505">GetCSVIndex(A2,292+4914)</f>
        <v/>
      </c>
      <c r="O505" s="43" t="str" cm="1">
        <f t="array" ref="O505">GetCSVIndex(A2,355+4914)</f>
        <v/>
      </c>
    </row>
    <row r="506" spans="1:15" ht="21" customHeight="1" x14ac:dyDescent="0.25">
      <c r="A506" s="38" t="s">
        <v>34</v>
      </c>
      <c r="B506" s="30"/>
      <c r="C506" s="29" t="str" cm="1">
        <f t="array" ref="C506">IF(GetCSVIndex(A2,20+4914)&lt;&gt;"65535",CONCATENATE(GetCSVIndex(A2,236+4914),":", GetCSVIndex(A2,246+4914)),"OFF")</f>
        <v>:</v>
      </c>
      <c r="D506" s="25"/>
      <c r="E506" s="45">
        <v>11</v>
      </c>
      <c r="F506" s="29" t="e" cm="1">
        <f t="array" ref="F506">CHOOSE(GetCSVIndex(A2,66+4914)+1,"","Station","Block","","Delay")</f>
        <v>#VALUE!</v>
      </c>
      <c r="G506" s="29" t="str" cm="1">
        <f t="array" ref="G506">GetCSVIndex(A2,67+4914)</f>
        <v/>
      </c>
      <c r="H506" s="45" t="str" cm="1">
        <f t="array" ref="H506">GetCSVIndex(A2,261+4914)</f>
        <v/>
      </c>
      <c r="I506" s="29" t="str" cm="1">
        <f t="array" ref="I506">GetCSVIndex(A2,324+4914)</f>
        <v/>
      </c>
      <c r="J506" s="25"/>
      <c r="K506" s="45">
        <v>43</v>
      </c>
      <c r="L506" s="29" t="e" cm="1">
        <f t="array" ref="L506">CHOOSE(GetCSVIndex(A2,162+4914)+1,"","Station","Block","","Delay")</f>
        <v>#VALUE!</v>
      </c>
      <c r="M506" s="29" t="str" cm="1">
        <f t="array" ref="M506">GetCSVIndex(A2,163+4914)</f>
        <v/>
      </c>
      <c r="N506" s="27" t="str" cm="1">
        <f t="array" ref="N506">GetCSVIndex(A2,293+4914)</f>
        <v/>
      </c>
      <c r="O506" s="43" t="str" cm="1">
        <f t="array" ref="O506">GetCSVIndex(A2,356+4914)</f>
        <v/>
      </c>
    </row>
    <row r="507" spans="1:15" ht="21" customHeight="1" x14ac:dyDescent="0.25">
      <c r="A507" s="38" t="s">
        <v>35</v>
      </c>
      <c r="B507" s="30"/>
      <c r="C507" s="29" t="str" cm="1">
        <f t="array" ref="C507">IF(GetCSVIndex(A2,21+4914)&lt;&gt;"65535",CONCATENATE(GetCSVIndex(A2,237+4914),":", GetCSVIndex(A2,247+4914)),"OFF")</f>
        <v>:</v>
      </c>
      <c r="D507" s="25"/>
      <c r="E507" s="45">
        <v>12</v>
      </c>
      <c r="F507" s="29" t="e" cm="1">
        <f t="array" ref="F507">CHOOSE(GetCSVIndex(A2,69+4914)+1,"","Station","Block","","Delay")</f>
        <v>#VALUE!</v>
      </c>
      <c r="G507" s="29" t="str" cm="1">
        <f t="array" ref="G507">GetCSVIndex(A2,70+4914)</f>
        <v/>
      </c>
      <c r="H507" s="45" t="str" cm="1">
        <f t="array" ref="H507">GetCSVIndex(A2,262+4914)</f>
        <v/>
      </c>
      <c r="I507" s="29" t="str" cm="1">
        <f t="array" ref="I507">GetCSVIndex(A2,325+4914)</f>
        <v/>
      </c>
      <c r="J507" s="25"/>
      <c r="K507" s="45">
        <v>44</v>
      </c>
      <c r="L507" s="29" t="e" cm="1">
        <f t="array" ref="L507">CHOOSE(GetCSVIndex(A2,165+4914)+1,"","Station","Block","","Delay")</f>
        <v>#VALUE!</v>
      </c>
      <c r="M507" s="29" t="str" cm="1">
        <f t="array" ref="M507">GetCSVIndex(A2,166+4914)</f>
        <v/>
      </c>
      <c r="N507" s="27" t="str" cm="1">
        <f t="array" ref="N507">GetCSVIndex(A2,294+4914)</f>
        <v/>
      </c>
      <c r="O507" s="43" t="str" cm="1">
        <f t="array" ref="O507">GetCSVIndex(A2,357+4914)</f>
        <v/>
      </c>
    </row>
    <row r="508" spans="1:15" ht="21" customHeight="1" x14ac:dyDescent="0.25">
      <c r="A508" s="38" t="s">
        <v>36</v>
      </c>
      <c r="B508" s="30"/>
      <c r="C508" s="29" t="str" cm="1">
        <f t="array" ref="C508">IF(GetCSVIndex(A2,22+4914)&lt;&gt;"65535",CONCATENATE(GetCSVIndex(A2,238+4914),":", GetCSVIndex(A2,248+4914)),"OFF")</f>
        <v>:</v>
      </c>
      <c r="D508" s="25"/>
      <c r="E508" s="45">
        <v>13</v>
      </c>
      <c r="F508" s="29" t="e" cm="1">
        <f t="array" ref="F508">CHOOSE(GetCSVIndex(A2,72+4914)+1,"","Station","Block","","Delay")</f>
        <v>#VALUE!</v>
      </c>
      <c r="G508" s="29" t="str" cm="1">
        <f t="array" ref="G508">GetCSVIndex(A2,73+4914)</f>
        <v/>
      </c>
      <c r="H508" s="45" t="str" cm="1">
        <f t="array" ref="H508">GetCSVIndex(A2,263+4914)</f>
        <v/>
      </c>
      <c r="I508" s="29" t="str" cm="1">
        <f t="array" ref="I508">GetCSVIndex(A2,326+4914)</f>
        <v/>
      </c>
      <c r="J508" s="25"/>
      <c r="K508" s="45">
        <v>45</v>
      </c>
      <c r="L508" s="29" t="e" cm="1">
        <f t="array" ref="L508">CHOOSE(GetCSVIndex(A2,168+4914)+1,"","Station","Block","","Delay")</f>
        <v>#VALUE!</v>
      </c>
      <c r="M508" s="29" t="str" cm="1">
        <f t="array" ref="M508">GetCSVIndex(A2,169+4914)</f>
        <v/>
      </c>
      <c r="N508" s="27" t="str" cm="1">
        <f t="array" ref="N508">GetCSVIndex(A2,295+4914)</f>
        <v/>
      </c>
      <c r="O508" s="43" t="str" cm="1">
        <f t="array" ref="O508">GetCSVIndex(A2,358+4914)</f>
        <v/>
      </c>
    </row>
    <row r="509" spans="1:15" ht="21" customHeight="1" x14ac:dyDescent="0.25">
      <c r="A509" s="36" t="s">
        <v>37</v>
      </c>
      <c r="B509" s="25"/>
      <c r="C509" s="29" t="str" cm="1">
        <f t="array" ref="C509">IF(GetCSVIndex(A2,23+4914)&lt;&gt;"65535",CONCATENATE(GetCSVIndex(A2,230+4914),":", GetCSVIndex(A2,240+4914)),"OFF")</f>
        <v>:</v>
      </c>
      <c r="D509" s="25"/>
      <c r="E509" s="45">
        <v>14</v>
      </c>
      <c r="F509" s="29" t="e" cm="1">
        <f t="array" ref="F509">CHOOSE(GetCSVIndex(A2,75+4914)+1,"","Station","Block","","Delay")</f>
        <v>#VALUE!</v>
      </c>
      <c r="G509" s="29" t="str" cm="1">
        <f t="array" ref="G509">GetCSVIndex(A2,76+4914)</f>
        <v/>
      </c>
      <c r="H509" s="45" t="str" cm="1">
        <f t="array" ref="H509">GetCSVIndex(A2,264+4914)</f>
        <v/>
      </c>
      <c r="I509" s="29" t="str" cm="1">
        <f t="array" ref="I509">GetCSVIndex(A2,327+4914)</f>
        <v/>
      </c>
      <c r="J509" s="25"/>
      <c r="K509" s="45">
        <v>46</v>
      </c>
      <c r="L509" s="29" t="e" cm="1">
        <f t="array" ref="L509">CHOOSE(GetCSVIndex(A2,171+4914)+1,"","Station","Block","","Delay")</f>
        <v>#VALUE!</v>
      </c>
      <c r="M509" s="29" t="str" cm="1">
        <f t="array" ref="M509">GetCSVIndex(A2,172+4914)</f>
        <v/>
      </c>
      <c r="N509" s="27" t="str" cm="1">
        <f t="array" ref="N509">GetCSVIndex(A2,296+4914)</f>
        <v/>
      </c>
      <c r="O509" s="43" t="str" cm="1">
        <f t="array" ref="O509">GetCSVIndex(A2,359+4914)</f>
        <v/>
      </c>
    </row>
    <row r="510" spans="1:15" ht="21" customHeight="1" x14ac:dyDescent="0.25">
      <c r="A510" s="39"/>
      <c r="B510" s="40"/>
      <c r="C510" s="41"/>
      <c r="D510" s="26"/>
      <c r="E510" s="45">
        <v>15</v>
      </c>
      <c r="F510" s="29" t="e" cm="1">
        <f t="array" ref="F510">CHOOSE(GetCSVIndex(A2,78+4914)+1,"","Station","Block","","Delay")</f>
        <v>#VALUE!</v>
      </c>
      <c r="G510" s="29" t="str" cm="1">
        <f t="array" ref="G510">GetCSVIndex(A2,79+4914)</f>
        <v/>
      </c>
      <c r="H510" s="45" t="str" cm="1">
        <f t="array" ref="H510">GetCSVIndex(A2,265+4914)</f>
        <v/>
      </c>
      <c r="I510" s="29" t="str" cm="1">
        <f t="array" ref="I510">GetCSVIndex(A2,328+4914)</f>
        <v/>
      </c>
      <c r="J510" s="26"/>
      <c r="K510" s="45">
        <v>47</v>
      </c>
      <c r="L510" s="29" t="e" cm="1">
        <f t="array" ref="L510">CHOOSE(GetCSVIndex(A2,174+4914)+1,"","Station","Block","","Delay")</f>
        <v>#VALUE!</v>
      </c>
      <c r="M510" s="29" t="str" cm="1">
        <f t="array" ref="M510">GetCSVIndex(A2,175+4914)</f>
        <v/>
      </c>
      <c r="N510" s="27" t="str" cm="1">
        <f t="array" ref="N510">GetCSVIndex(A2,297+4914)</f>
        <v/>
      </c>
      <c r="O510" s="43" t="str" cm="1">
        <f t="array" ref="O510">GetCSVIndex(A2,360+4914)</f>
        <v/>
      </c>
    </row>
    <row r="511" spans="1:15" ht="21" customHeight="1" x14ac:dyDescent="0.25">
      <c r="A511" s="42"/>
      <c r="B511" s="25"/>
      <c r="C511" s="25"/>
      <c r="D511" s="26"/>
      <c r="E511" s="45">
        <v>16</v>
      </c>
      <c r="F511" s="29" t="e" cm="1">
        <f t="array" ref="F511">CHOOSE(GetCSVIndex(A2,81+4914)+1,"","Station","Block","","Delay")</f>
        <v>#VALUE!</v>
      </c>
      <c r="G511" s="29" t="str" cm="1">
        <f t="array" ref="G511">GetCSVIndex(A2,82+4914)</f>
        <v/>
      </c>
      <c r="H511" s="45" t="str" cm="1">
        <f t="array" ref="H511">GetCSVIndex(A2,266+4914)</f>
        <v/>
      </c>
      <c r="I511" s="29" t="str" cm="1">
        <f t="array" ref="I511">GetCSVIndex(A2,329+4914)</f>
        <v/>
      </c>
      <c r="J511" s="25"/>
      <c r="K511" s="45">
        <v>48</v>
      </c>
      <c r="L511" s="29" t="e" cm="1">
        <f t="array" ref="L511">CHOOSE(GetCSVIndex(A2,177+4914)+1,"","Station","Block","","Delay")</f>
        <v>#VALUE!</v>
      </c>
      <c r="M511" s="29" t="str" cm="1">
        <f t="array" ref="M511">GetCSVIndex(A2,178+4914)</f>
        <v/>
      </c>
      <c r="N511" s="27" t="str" cm="1">
        <f t="array" ref="N511">GetCSVIndex(A2,298+4914)</f>
        <v/>
      </c>
      <c r="O511" s="43" t="str" cm="1">
        <f t="array" ref="O511">GetCSVIndex(A2,361+4914)</f>
        <v/>
      </c>
    </row>
    <row r="512" spans="1:15" ht="21" customHeight="1" x14ac:dyDescent="0.25">
      <c r="A512" s="42"/>
      <c r="B512" s="25"/>
      <c r="C512" s="25"/>
      <c r="D512" s="26"/>
      <c r="E512" s="45">
        <v>17</v>
      </c>
      <c r="F512" s="29" t="e" cm="1">
        <f t="array" ref="F512">CHOOSE(GetCSVIndex(A2,84+4914)+1,"","Station","Block","","Delay")</f>
        <v>#VALUE!</v>
      </c>
      <c r="G512" s="29" t="str" cm="1">
        <f t="array" ref="G512">GetCSVIndex(A2,85+4914)</f>
        <v/>
      </c>
      <c r="H512" s="45" t="str" cm="1">
        <f t="array" ref="H512">GetCSVIndex(A2,267+4914)</f>
        <v/>
      </c>
      <c r="I512" s="29" t="str" cm="1">
        <f t="array" ref="I512">GetCSVIndex(A2,330+4914)</f>
        <v/>
      </c>
      <c r="J512" s="26"/>
      <c r="K512" s="45">
        <v>49</v>
      </c>
      <c r="L512" s="29" t="e" cm="1">
        <f t="array" ref="L512">CHOOSE(GetCSVIndex(A2,180+4914)+1,"","Station","Block","","Delay")</f>
        <v>#VALUE!</v>
      </c>
      <c r="M512" s="29" t="str" cm="1">
        <f t="array" ref="M512">GetCSVIndex(A2,181+4914)</f>
        <v/>
      </c>
      <c r="N512" s="27" t="str" cm="1">
        <f t="array" ref="N512">GetCSVIndex(A2,299+4914)</f>
        <v/>
      </c>
      <c r="O512" s="43" t="str" cm="1">
        <f t="array" ref="O512">GetCSVIndex(A2,362+4914)</f>
        <v/>
      </c>
    </row>
    <row r="513" spans="1:15" ht="21" customHeight="1" x14ac:dyDescent="0.25">
      <c r="A513" s="42"/>
      <c r="B513" s="25"/>
      <c r="C513" s="25"/>
      <c r="D513" s="26"/>
      <c r="E513" s="45">
        <v>18</v>
      </c>
      <c r="F513" s="29" t="e" cm="1">
        <f t="array" ref="F513">CHOOSE(GetCSVIndex(A2,87+4914)+1,"","Station","Block","","Delay")</f>
        <v>#VALUE!</v>
      </c>
      <c r="G513" s="29" t="str" cm="1">
        <f t="array" ref="G513">GetCSVIndex(A2,88+4914)</f>
        <v/>
      </c>
      <c r="H513" s="45" t="str" cm="1">
        <f t="array" ref="H513">GetCSVIndex(A2,268+4914)</f>
        <v/>
      </c>
      <c r="I513" s="29" t="str" cm="1">
        <f t="array" ref="I513">GetCSVIndex(A2,331+4914)</f>
        <v/>
      </c>
      <c r="J513" s="26"/>
      <c r="K513" s="45">
        <v>50</v>
      </c>
      <c r="L513" s="29" t="e" cm="1">
        <f t="array" ref="L513">CHOOSE(GetCSVIndex(A2,183+4914)+1,"","Station","Block","","Delay")</f>
        <v>#VALUE!</v>
      </c>
      <c r="M513" s="29" t="str" cm="1">
        <f t="array" ref="M513">GetCSVIndex(A2,184+4914)</f>
        <v/>
      </c>
      <c r="N513" s="27" t="str" cm="1">
        <f t="array" ref="N513">GetCSVIndex(A2,300+4914)</f>
        <v/>
      </c>
      <c r="O513" s="43" t="str" cm="1">
        <f t="array" ref="O513">GetCSVIndex(A2,363+4914)</f>
        <v/>
      </c>
    </row>
    <row r="514" spans="1:15" ht="21" customHeight="1" x14ac:dyDescent="0.25">
      <c r="A514" s="42"/>
      <c r="B514" s="25"/>
      <c r="C514" s="25"/>
      <c r="D514" s="26"/>
      <c r="E514" s="45">
        <v>19</v>
      </c>
      <c r="F514" s="29" t="e" cm="1">
        <f t="array" ref="F514">CHOOSE(GetCSVIndex(A2,90+4914)+1,"","Station","Block","","Delay")</f>
        <v>#VALUE!</v>
      </c>
      <c r="G514" s="29" t="str" cm="1">
        <f t="array" ref="G514">GetCSVIndex(A2,91+4914)</f>
        <v/>
      </c>
      <c r="H514" s="45" t="str" cm="1">
        <f t="array" ref="H514">GetCSVIndex(A2,269+4914)</f>
        <v/>
      </c>
      <c r="I514" s="29" t="str" cm="1">
        <f t="array" ref="I514">GetCSVIndex(A2,332+4914)</f>
        <v/>
      </c>
      <c r="J514" s="26"/>
      <c r="K514" s="45">
        <v>51</v>
      </c>
      <c r="L514" s="29" t="e" cm="1">
        <f t="array" ref="L514">CHOOSE(GetCSVIndex(A2,186+4914)+1,"","Station","Block","","Delay")</f>
        <v>#VALUE!</v>
      </c>
      <c r="M514" s="29" t="str" cm="1">
        <f t="array" ref="M514">GetCSVIndex(A2,187+4914)</f>
        <v/>
      </c>
      <c r="N514" s="27" t="str" cm="1">
        <f t="array" ref="N514">GetCSVIndex(A2,301+4914)</f>
        <v/>
      </c>
      <c r="O514" s="43" t="str" cm="1">
        <f t="array" ref="O514">GetCSVIndex(A2,364+4914)</f>
        <v/>
      </c>
    </row>
    <row r="515" spans="1:15" ht="21" customHeight="1" x14ac:dyDescent="0.25">
      <c r="A515" s="42"/>
      <c r="B515" s="25"/>
      <c r="C515" s="25"/>
      <c r="D515" s="26"/>
      <c r="E515" s="45">
        <v>20</v>
      </c>
      <c r="F515" s="29" t="e" cm="1">
        <f t="array" ref="F515">CHOOSE(GetCSVIndex(A2,93+4914)+1,"","Station","Block","","Delay")</f>
        <v>#VALUE!</v>
      </c>
      <c r="G515" s="29" t="str" cm="1">
        <f t="array" ref="G515">GetCSVIndex(A2,94+4914)</f>
        <v/>
      </c>
      <c r="H515" s="45" t="str" cm="1">
        <f t="array" ref="H515">GetCSVIndex(A2,270+4914)</f>
        <v/>
      </c>
      <c r="I515" s="29" t="str" cm="1">
        <f t="array" ref="I515">GetCSVIndex(A2,333+4914)</f>
        <v/>
      </c>
      <c r="J515" s="26"/>
      <c r="K515" s="45">
        <v>52</v>
      </c>
      <c r="L515" s="29" t="e" cm="1">
        <f t="array" ref="L515">CHOOSE(GetCSVIndex(A2,189+4914)+1,"","Station","Block","","Delay")</f>
        <v>#VALUE!</v>
      </c>
      <c r="M515" s="29" t="str" cm="1">
        <f t="array" ref="M515">GetCSVIndex(A2,190+4914)</f>
        <v/>
      </c>
      <c r="N515" s="27" t="str" cm="1">
        <f t="array" ref="N515">GetCSVIndex(A2,302+4914)</f>
        <v/>
      </c>
      <c r="O515" s="43" t="str" cm="1">
        <f t="array" ref="O515">GetCSVIndex(A2,365+4914)</f>
        <v/>
      </c>
    </row>
    <row r="516" spans="1:15" ht="21" customHeight="1" x14ac:dyDescent="0.25">
      <c r="A516" s="42"/>
      <c r="B516" s="25"/>
      <c r="C516" s="25"/>
      <c r="D516" s="26"/>
      <c r="E516" s="45">
        <v>21</v>
      </c>
      <c r="F516" s="29" t="e" cm="1">
        <f t="array" ref="F516">CHOOSE(GetCSVIndex(A2,96+4914)+1,"","Station","Block","","Delay")</f>
        <v>#VALUE!</v>
      </c>
      <c r="G516" s="29" t="str" cm="1">
        <f t="array" ref="G516">GetCSVIndex(A2,97+4914)</f>
        <v/>
      </c>
      <c r="H516" s="45" t="str" cm="1">
        <f t="array" ref="H516">GetCSVIndex(A2,271+4914)</f>
        <v/>
      </c>
      <c r="I516" s="29" t="str" cm="1">
        <f t="array" ref="I516">GetCSVIndex(A2,334+4914)</f>
        <v/>
      </c>
      <c r="J516" s="26"/>
      <c r="K516" s="45">
        <v>53</v>
      </c>
      <c r="L516" s="29" t="e" cm="1">
        <f t="array" ref="L516">CHOOSE(GetCSVIndex(A2,192+4914)+1,"","Station","Block","","Delay")</f>
        <v>#VALUE!</v>
      </c>
      <c r="M516" s="29" t="str" cm="1">
        <f t="array" ref="M516">GetCSVIndex(A2,193+4914)</f>
        <v/>
      </c>
      <c r="N516" s="27" t="str" cm="1">
        <f t="array" ref="N516">GetCSVIndex(A2,303+4914)</f>
        <v/>
      </c>
      <c r="O516" s="43" t="str" cm="1">
        <f t="array" ref="O516">GetCSVIndex(A2,366+4914)</f>
        <v/>
      </c>
    </row>
    <row r="517" spans="1:15" ht="21" customHeight="1" x14ac:dyDescent="0.25">
      <c r="A517" s="42"/>
      <c r="B517" s="25"/>
      <c r="C517" s="25"/>
      <c r="D517" s="26"/>
      <c r="E517" s="45">
        <v>22</v>
      </c>
      <c r="F517" s="29" t="e" cm="1">
        <f t="array" ref="F517">CHOOSE(GetCSVIndex(A2,99+4914)+1,"","Station","Block","","Delay")</f>
        <v>#VALUE!</v>
      </c>
      <c r="G517" s="29" t="str" cm="1">
        <f t="array" ref="G517">GetCSVIndex(A2,100+4914)</f>
        <v/>
      </c>
      <c r="H517" s="45" t="str" cm="1">
        <f t="array" ref="H517">GetCSVIndex(A2,272+4914)</f>
        <v/>
      </c>
      <c r="I517" s="29" t="str" cm="1">
        <f t="array" ref="I517">GetCSVIndex(A2,335+4914)</f>
        <v/>
      </c>
      <c r="J517" s="26"/>
      <c r="K517" s="45">
        <v>54</v>
      </c>
      <c r="L517" s="29" t="e" cm="1">
        <f t="array" ref="L517">CHOOSE(GetCSVIndex(A2,195+4914)+1,"","Station","Block","","Delay")</f>
        <v>#VALUE!</v>
      </c>
      <c r="M517" s="29" t="str" cm="1">
        <f t="array" ref="M517">GetCSVIndex(A2,196+4914)</f>
        <v/>
      </c>
      <c r="N517" s="27" t="str" cm="1">
        <f t="array" ref="N517">GetCSVIndex(A2,304+4914)</f>
        <v/>
      </c>
      <c r="O517" s="43" t="str" cm="1">
        <f t="array" ref="O517">GetCSVIndex(A2,367+4914)</f>
        <v/>
      </c>
    </row>
    <row r="518" spans="1:15" ht="21" customHeight="1" x14ac:dyDescent="0.25">
      <c r="A518" s="42"/>
      <c r="B518" s="25"/>
      <c r="C518" s="25"/>
      <c r="D518" s="26"/>
      <c r="E518" s="45">
        <v>23</v>
      </c>
      <c r="F518" s="29" t="e" cm="1">
        <f t="array" ref="F518">CHOOSE(GetCSVIndex(A2,102+4914)+1,"","Station","Block","","Delay")</f>
        <v>#VALUE!</v>
      </c>
      <c r="G518" s="29" t="str" cm="1">
        <f t="array" ref="G518">GetCSVIndex(A2,103+4914)</f>
        <v/>
      </c>
      <c r="H518" s="45" t="str" cm="1">
        <f t="array" ref="H518">GetCSVIndex(A2,273+4914)</f>
        <v/>
      </c>
      <c r="I518" s="29" t="str" cm="1">
        <f t="array" ref="I518">GetCSVIndex(A2,336+4914)</f>
        <v/>
      </c>
      <c r="J518" s="26"/>
      <c r="K518" s="45">
        <v>55</v>
      </c>
      <c r="L518" s="29" t="e" cm="1">
        <f t="array" ref="L518">CHOOSE(GetCSVIndex(A2,198+4914)+1,"","Station","Block","","Delay")</f>
        <v>#VALUE!</v>
      </c>
      <c r="M518" s="29" t="str" cm="1">
        <f t="array" ref="M518">GetCSVIndex(A2,199+4914)</f>
        <v/>
      </c>
      <c r="N518" s="27" t="str" cm="1">
        <f t="array" ref="N518">GetCSVIndex(A2,305+4914)</f>
        <v/>
      </c>
      <c r="O518" s="43" t="str" cm="1">
        <f t="array" ref="O518">GetCSVIndex(A2,368+4914)</f>
        <v/>
      </c>
    </row>
    <row r="519" spans="1:15" ht="21" customHeight="1" x14ac:dyDescent="0.25">
      <c r="A519" s="42"/>
      <c r="B519" s="25"/>
      <c r="C519" s="25"/>
      <c r="D519" s="26"/>
      <c r="E519" s="45">
        <v>24</v>
      </c>
      <c r="F519" s="29" t="e" cm="1">
        <f t="array" ref="F519">CHOOSE(GetCSVIndex(A2,105+4914)+1,"","Station","Block","","Delay")</f>
        <v>#VALUE!</v>
      </c>
      <c r="G519" s="29" t="str" cm="1">
        <f t="array" ref="G519">GetCSVIndex(A2,106+4914)</f>
        <v/>
      </c>
      <c r="H519" s="45" t="str" cm="1">
        <f t="array" ref="H519">GetCSVIndex(A2,274+4914)</f>
        <v/>
      </c>
      <c r="I519" s="29" t="str" cm="1">
        <f t="array" ref="I519">GetCSVIndex(A2,337+4914)</f>
        <v/>
      </c>
      <c r="J519" s="26"/>
      <c r="K519" s="45">
        <v>56</v>
      </c>
      <c r="L519" s="29" t="e" cm="1">
        <f t="array" ref="L519">CHOOSE(GetCSVIndex(A2,201+4914)+1,"","Station","Block","","Delay")</f>
        <v>#VALUE!</v>
      </c>
      <c r="M519" s="29" t="str" cm="1">
        <f t="array" ref="M519">GetCSVIndex(A2,202+4914)</f>
        <v/>
      </c>
      <c r="N519" s="27" t="str" cm="1">
        <f t="array" ref="N519">GetCSVIndex(A2,306+4914)</f>
        <v/>
      </c>
      <c r="O519" s="43" t="str" cm="1">
        <f t="array" ref="O519">GetCSVIndex(A2,369+4914)</f>
        <v/>
      </c>
    </row>
    <row r="520" spans="1:15" ht="21" customHeight="1" x14ac:dyDescent="0.25">
      <c r="A520" s="42"/>
      <c r="B520" s="25"/>
      <c r="C520" s="25"/>
      <c r="D520" s="26"/>
      <c r="E520" s="45">
        <v>25</v>
      </c>
      <c r="F520" s="29" t="e" cm="1">
        <f t="array" ref="F520">CHOOSE(GetCSVIndex(A2,108+4914)+1,"","Station","Block","","Delay")</f>
        <v>#VALUE!</v>
      </c>
      <c r="G520" s="29" t="str" cm="1">
        <f t="array" ref="G520">GetCSVIndex(A2,109+4914)</f>
        <v/>
      </c>
      <c r="H520" s="45" t="str" cm="1">
        <f t="array" ref="H520">GetCSVIndex(A2,275+4914)</f>
        <v/>
      </c>
      <c r="I520" s="29" t="str" cm="1">
        <f t="array" ref="I520">GetCSVIndex(A2,338+4914)</f>
        <v/>
      </c>
      <c r="J520" s="26"/>
      <c r="K520" s="45">
        <v>57</v>
      </c>
      <c r="L520" s="29" t="e" cm="1">
        <f t="array" ref="L520">CHOOSE(GetCSVIndex(A2,204+4914)+1,"","Station","Block","","Delay")</f>
        <v>#VALUE!</v>
      </c>
      <c r="M520" s="29" t="str" cm="1">
        <f t="array" ref="M520">GetCSVIndex(A2,205+4914)</f>
        <v/>
      </c>
      <c r="N520" s="27" t="str" cm="1">
        <f t="array" ref="N520">GetCSVIndex(A2,307+4914)</f>
        <v/>
      </c>
      <c r="O520" s="43" t="str" cm="1">
        <f t="array" ref="O520">GetCSVIndex(A2,370+4914)</f>
        <v/>
      </c>
    </row>
    <row r="521" spans="1:15" ht="21" customHeight="1" x14ac:dyDescent="0.25">
      <c r="A521" s="42"/>
      <c r="B521" s="25"/>
      <c r="C521" s="25"/>
      <c r="D521" s="26"/>
      <c r="E521" s="45">
        <v>26</v>
      </c>
      <c r="F521" s="29" t="e" cm="1">
        <f t="array" ref="F521">CHOOSE(GetCSVIndex(A2,111+4914)+1,"","Station","Block","","Delay")</f>
        <v>#VALUE!</v>
      </c>
      <c r="G521" s="29" t="str" cm="1">
        <f t="array" ref="G521">GetCSVIndex(A2,112+4914)</f>
        <v/>
      </c>
      <c r="H521" s="45" t="str" cm="1">
        <f t="array" ref="H521">GetCSVIndex(A2,276+4914)</f>
        <v/>
      </c>
      <c r="I521" s="29" t="str" cm="1">
        <f t="array" ref="I521">GetCSVIndex(A2,339+4914)</f>
        <v/>
      </c>
      <c r="J521" s="26"/>
      <c r="K521" s="45">
        <v>58</v>
      </c>
      <c r="L521" s="29" t="e" cm="1">
        <f t="array" ref="L521">CHOOSE(GetCSVIndex(A2,207+4914)+1,"","Station","Block","","Delay")</f>
        <v>#VALUE!</v>
      </c>
      <c r="M521" s="29" t="str" cm="1">
        <f t="array" ref="M521">GetCSVIndex(A2,208+4914)</f>
        <v/>
      </c>
      <c r="N521" s="27" t="str" cm="1">
        <f t="array" ref="N521">GetCSVIndex(A2,308+4914)</f>
        <v/>
      </c>
      <c r="O521" s="43" t="str" cm="1">
        <f t="array" ref="O521">GetCSVIndex(A2,371+4914)</f>
        <v/>
      </c>
    </row>
    <row r="522" spans="1:15" ht="21" customHeight="1" x14ac:dyDescent="0.25">
      <c r="A522" s="42"/>
      <c r="B522" s="25"/>
      <c r="C522" s="25"/>
      <c r="D522" s="26"/>
      <c r="E522" s="45">
        <v>27</v>
      </c>
      <c r="F522" s="29" t="e" cm="1">
        <f t="array" ref="F522">CHOOSE(GetCSVIndex(A2,114+4914)+1,"","Station","Block","","Delay")</f>
        <v>#VALUE!</v>
      </c>
      <c r="G522" s="29" t="str" cm="1">
        <f t="array" ref="G522">GetCSVIndex(A2,115+4914)</f>
        <v/>
      </c>
      <c r="H522" s="45" t="str" cm="1">
        <f t="array" ref="H522">GetCSVIndex(A2,277+4914)</f>
        <v/>
      </c>
      <c r="I522" s="29" t="str" cm="1">
        <f t="array" ref="I522">GetCSVIndex(A2,340+4914)</f>
        <v/>
      </c>
      <c r="J522" s="26"/>
      <c r="K522" s="45">
        <v>59</v>
      </c>
      <c r="L522" s="29" t="e" cm="1">
        <f t="array" ref="L522">CHOOSE(GetCSVIndex(A2,210+4914)+1,"","Station","Block","","Delay")</f>
        <v>#VALUE!</v>
      </c>
      <c r="M522" s="29" t="str" cm="1">
        <f t="array" ref="M522">GetCSVIndex(A2,211+4914)</f>
        <v/>
      </c>
      <c r="N522" s="27" t="str" cm="1">
        <f t="array" ref="N522">GetCSVIndex(A2,309+4914)</f>
        <v/>
      </c>
      <c r="O522" s="43" t="str" cm="1">
        <f t="array" ref="O522">GetCSVIndex(A2,372+4914)</f>
        <v/>
      </c>
    </row>
    <row r="523" spans="1:15" ht="21" customHeight="1" x14ac:dyDescent="0.25">
      <c r="A523" s="42"/>
      <c r="B523" s="25"/>
      <c r="C523" s="25"/>
      <c r="D523" s="26"/>
      <c r="E523" s="45">
        <v>28</v>
      </c>
      <c r="F523" s="29" t="e" cm="1">
        <f t="array" ref="F523">CHOOSE(GetCSVIndex(A2,117+4914)+1,"","Station","Block","","Delay")</f>
        <v>#VALUE!</v>
      </c>
      <c r="G523" s="29" t="str" cm="1">
        <f t="array" ref="G523">GetCSVIndex(A2,118+4914)</f>
        <v/>
      </c>
      <c r="H523" s="45" t="str" cm="1">
        <f t="array" ref="H523">GetCSVIndex(A2,278+4914)</f>
        <v/>
      </c>
      <c r="I523" s="29" t="str" cm="1">
        <f t="array" ref="I523">GetCSVIndex(A2,341+4914)</f>
        <v/>
      </c>
      <c r="J523" s="26"/>
      <c r="K523" s="45">
        <v>60</v>
      </c>
      <c r="L523" s="29" t="e" cm="1">
        <f t="array" ref="L523">CHOOSE(GetCSVIndex(A2,213+4914)+1,"","Station","Block","","Delay")</f>
        <v>#VALUE!</v>
      </c>
      <c r="M523" s="29" t="str" cm="1">
        <f t="array" ref="M523">GetCSVIndex(A2,214+4914)</f>
        <v/>
      </c>
      <c r="N523" s="27" t="str" cm="1">
        <f t="array" ref="N523">GetCSVIndex(A2,310+4914)</f>
        <v/>
      </c>
      <c r="O523" s="43" t="str" cm="1">
        <f t="array" ref="O523">GetCSVIndex(A2,373+4914)</f>
        <v/>
      </c>
    </row>
    <row r="524" spans="1:15" ht="21" customHeight="1" x14ac:dyDescent="0.25">
      <c r="A524" s="42"/>
      <c r="B524" s="25"/>
      <c r="C524" s="25"/>
      <c r="D524" s="26"/>
      <c r="E524" s="45">
        <v>29</v>
      </c>
      <c r="F524" s="29" t="e" cm="1">
        <f t="array" ref="F524">CHOOSE(GetCSVIndex(A2,120+4914)+1,"","Station","Block","","Delay")</f>
        <v>#VALUE!</v>
      </c>
      <c r="G524" s="29" t="str" cm="1">
        <f t="array" ref="G524">GetCSVIndex(A2,121+4914)</f>
        <v/>
      </c>
      <c r="H524" s="45" t="str" cm="1">
        <f t="array" ref="H524">GetCSVIndex(A2,279+4914)</f>
        <v/>
      </c>
      <c r="I524" s="29" t="str" cm="1">
        <f t="array" ref="I524">GetCSVIndex(A2,342+4914)</f>
        <v/>
      </c>
      <c r="J524" s="26"/>
      <c r="K524" s="45">
        <v>61</v>
      </c>
      <c r="L524" s="29" t="e" cm="1">
        <f t="array" ref="L524">CHOOSE(GetCSVIndex(A2,216+4914)+1,"","Station","Block","","Delay")</f>
        <v>#VALUE!</v>
      </c>
      <c r="M524" s="29" t="str" cm="1">
        <f t="array" ref="M524">GetCSVIndex(A2,217+4914)</f>
        <v/>
      </c>
      <c r="N524" s="27" t="str" cm="1">
        <f t="array" ref="N524">GetCSVIndex(A2,311+4914)</f>
        <v/>
      </c>
      <c r="O524" s="43" t="str" cm="1">
        <f t="array" ref="O524">GetCSVIndex(A2,374+4914)</f>
        <v/>
      </c>
    </row>
    <row r="525" spans="1:15" ht="21" customHeight="1" x14ac:dyDescent="0.25">
      <c r="A525" s="42"/>
      <c r="B525" s="25"/>
      <c r="C525" s="25"/>
      <c r="D525" s="26"/>
      <c r="E525" s="45">
        <v>30</v>
      </c>
      <c r="F525" s="29" t="e" cm="1">
        <f t="array" ref="F525">CHOOSE(GetCSVIndex(A2,123+4914)+1,"","Station","Block","","Delay")</f>
        <v>#VALUE!</v>
      </c>
      <c r="G525" s="29" t="str" cm="1">
        <f t="array" ref="G525">GetCSVIndex(A2,124+4914)</f>
        <v/>
      </c>
      <c r="H525" s="45" t="str" cm="1">
        <f t="array" ref="H525">GetCSVIndex(A2,280+4914)</f>
        <v/>
      </c>
      <c r="I525" s="29" t="str" cm="1">
        <f t="array" ref="I525">GetCSVIndex(A2,343+4914)</f>
        <v/>
      </c>
      <c r="J525" s="26"/>
      <c r="K525" s="45">
        <v>62</v>
      </c>
      <c r="L525" s="29" t="e" cm="1">
        <f t="array" ref="L525">CHOOSE(GetCSVIndex(A2,219+4914)+1,"","Station","Block","","Delay")</f>
        <v>#VALUE!</v>
      </c>
      <c r="M525" s="29" t="str" cm="1">
        <f t="array" ref="M525">GetCSVIndex(A2,220+4914)</f>
        <v/>
      </c>
      <c r="N525" s="27" t="str" cm="1">
        <f t="array" ref="N525">GetCSVIndex(A2,312+4914)</f>
        <v/>
      </c>
      <c r="O525" s="43" t="str" cm="1">
        <f t="array" ref="O525">GetCSVIndex(A2,375+4914)</f>
        <v/>
      </c>
    </row>
    <row r="526" spans="1:15" ht="21" customHeight="1" x14ac:dyDescent="0.25">
      <c r="A526" s="42"/>
      <c r="B526" s="25"/>
      <c r="C526" s="25"/>
      <c r="D526" s="26"/>
      <c r="E526" s="45">
        <v>31</v>
      </c>
      <c r="F526" s="29" t="e" cm="1">
        <f t="array" ref="F526">CHOOSE(GetCSVIndex(A2,126+4914)+1,"","Station","Block","","Delay")</f>
        <v>#VALUE!</v>
      </c>
      <c r="G526" s="29" t="str" cm="1">
        <f t="array" ref="G526">GetCSVIndex(A2,127+4914)</f>
        <v/>
      </c>
      <c r="H526" s="45" t="str" cm="1">
        <f t="array" ref="H526">GetCSVIndex(A2,281+4914)</f>
        <v/>
      </c>
      <c r="I526" s="29" t="str" cm="1">
        <f t="array" ref="I526">GetCSVIndex(A2,344+4914)</f>
        <v/>
      </c>
      <c r="J526" s="26"/>
      <c r="K526" s="45">
        <v>63</v>
      </c>
      <c r="L526" s="29" t="e" cm="1">
        <f t="array" ref="L526">CHOOSE(GetCSVIndex(A2,222+4914)+1,"","Station","Block","","Delay")</f>
        <v>#VALUE!</v>
      </c>
      <c r="M526" s="29" t="str" cm="1">
        <f t="array" ref="M526">GetCSVIndex(A2,223+4914)</f>
        <v/>
      </c>
      <c r="N526" s="27" t="str" cm="1">
        <f t="array" ref="N526">GetCSVIndex(A2,313+4914)</f>
        <v/>
      </c>
      <c r="O526" s="43" t="str" cm="1">
        <f t="array" ref="O526">GetCSVIndex(A2,376+4914)</f>
        <v/>
      </c>
    </row>
    <row r="527" spans="1:15" ht="21" customHeight="1" x14ac:dyDescent="0.25">
      <c r="A527" s="37"/>
      <c r="B527" s="28"/>
      <c r="C527" s="29"/>
      <c r="D527" s="29"/>
      <c r="E527" s="45">
        <v>32</v>
      </c>
      <c r="F527" s="29" t="e" cm="1">
        <f t="array" ref="F527">CHOOSE(GetCSVIndex(A2,129+4914)+1,"","Station","Block","","Delay")</f>
        <v>#VALUE!</v>
      </c>
      <c r="G527" s="29" t="str" cm="1">
        <f t="array" ref="G527">GetCSVIndex(A2,130+4914)</f>
        <v/>
      </c>
      <c r="H527" s="45" t="str" cm="1">
        <f t="array" ref="H527">GetCSVIndex(A2,282+4914)</f>
        <v/>
      </c>
      <c r="I527" s="29" t="str" cm="1">
        <f t="array" ref="I527">GetCSVIndex(A2,345+4914)</f>
        <v/>
      </c>
      <c r="J527" s="29"/>
      <c r="K527" s="45">
        <v>64</v>
      </c>
      <c r="L527" s="29" t="e" cm="1">
        <f t="array" ref="L527">CHOOSE(GetCSVIndex(A2,225+4914)+1,"","Station","Block","","Delay")</f>
        <v>#VALUE!</v>
      </c>
      <c r="M527" s="29" t="str" cm="1">
        <f t="array" ref="M527">GetCSVIndex(A2,226+4914)</f>
        <v/>
      </c>
      <c r="N527" s="27" t="str" cm="1">
        <f t="array" ref="N527">GetCSVIndex(A2,314+4914)</f>
        <v/>
      </c>
      <c r="O527" s="43" t="str" cm="1">
        <f t="array" ref="O527">GetCSVIndex(A2,377+4914)</f>
        <v/>
      </c>
    </row>
    <row r="528" spans="1:15" ht="23.25" customHeight="1" x14ac:dyDescent="0.25">
      <c r="A528" s="51" t="str" cm="1">
        <f t="array" ref="A528">CONCATENATE("Schedule  Program Number : ", GetCSVIndex(A2,5+5292))</f>
        <v xml:space="preserve">Schedule  Program Number : </v>
      </c>
      <c r="B528" s="52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3"/>
    </row>
    <row r="529" spans="1:15" ht="21" customHeight="1" x14ac:dyDescent="0.25">
      <c r="A529" s="20" t="s">
        <v>44</v>
      </c>
      <c r="B529" s="22" t="str" cm="1">
        <f t="array" ref="B529">GetCSVIndex(A2,5+5292)</f>
        <v/>
      </c>
      <c r="C529" s="18"/>
      <c r="D529" s="18"/>
      <c r="E529" s="18"/>
      <c r="F529" s="18"/>
      <c r="G529" s="18" t="s">
        <v>19</v>
      </c>
      <c r="H529" s="18" t="e" cm="1">
        <f t="array" ref="H529">CHOOSE(GetCSVIndex(A2,7+5292)+1, "Days of Week", "Odd/Even", "Interval","Manual")</f>
        <v>#VALUE!</v>
      </c>
      <c r="I529" s="18"/>
      <c r="J529" s="15"/>
      <c r="K529" s="15"/>
      <c r="L529" s="15"/>
      <c r="M529" s="15"/>
      <c r="N529" s="15"/>
      <c r="O529" s="16"/>
    </row>
    <row r="530" spans="1:15" ht="18" customHeight="1" x14ac:dyDescent="0.25">
      <c r="A530" s="21" t="s">
        <v>20</v>
      </c>
      <c r="B530" s="19" t="e" cm="1">
        <f t="array" ref="B530">CHOOSE(GetCSVIndex(A2,24+5292)+1, "Program", "Global", "Monthly","Solar Sync")</f>
        <v>#VALUE!</v>
      </c>
      <c r="C530" s="19"/>
      <c r="D530" s="19"/>
      <c r="E530" s="19"/>
      <c r="F530" s="19" t="s">
        <v>21</v>
      </c>
      <c r="G530" s="19" t="e" cm="1">
        <f t="array" ref="G530">IF(CHOOSE(GetCSVIndex(A2,7+5292)+1,IF(_xlfn.BITAND(GetCSVIndex(A2,8+5292), 2^0)=0, 0, 1),IF(_xlfn.BITAND(GetCSVIndex(A2,9+5292), 2^0)=0, 0, 1),IF(_xlfn.BITAND(GetCSVIndex(A2,10+5292), 2^0)=0, 0, 1)) =1,"Mon","")</f>
        <v>#VALUE!</v>
      </c>
      <c r="H530" s="19" t="e" cm="1">
        <f t="array" ref="H530">CONCATENATE(IF(CHOOSE(GetCSVIndex(A2,7+5292)+1,IF(_xlfn.BITAND(GetCSVIndex(A2,8+5292), 2^1)=0, 0, 1),IF(_xlfn.BITAND(GetCSVIndex(A2,9+5292), 2^1)=0, 0, 1),IF(_xlfn.BITAND(GetCSVIndex(A2,10+5292), 2^1)=0, 0, 1)) =1,"Tue       ","       "),IF(CHOOSE(GetCSVIndex(A2,7+5292)+1,IF(_xlfn.BITAND(GetCSVIndex(A2,8+5292), 2^2)=0, 0, 1),IF(_xlfn.BITAND(GetCSVIndex(A2,9+5292), 2^2)=0, 0, 1),IF(_xlfn.BITAND(GetCSVIndex(A2,10+5292), 2^2)=0, 0, 1)) =1,"Wed",""),IF(CHOOSE(GetCSVIndex(A2,7+5292)+1,IF(_xlfn.BITAND(GetCSVIndex(A2,8+5292), 2^3)=0, 0, 1),IF(_xlfn.BITAND(GetCSVIndex(A2,9+5292), 2^3)=0, 0, 1),IF(_xlfn.BITAND(GetCSVIndex(A2,10+5292), 2^3)=0, 0, 1)) =1,"       Thu","       "))</f>
        <v>#VALUE!</v>
      </c>
      <c r="I530" s="32" t="e" cm="1">
        <f t="array" ref="I530">CONCATENATE(IF(CHOOSE(GetCSVIndex(A2,7+5292)+1,IF(_xlfn.BITAND(GetCSVIndex(A2,8+5292), 2^4)=0, 0, 1),IF(_xlfn.BITAND(GetCSVIndex(A2,9+5292), 2^4)=0, 0, 1),IF(_xlfn.BITAND(GetCSVIndex(A2,10+5292), 2^4)=0, 0, 1)) =1,"Fri       ","       "),IF(CHOOSE(GetCSVIndex(A2,7+5292)+1,IF(_xlfn.BITAND(GetCSVIndex(A2,8+5292), 2^5)=0, 0, 1),IF(_xlfn.BITAND(GetCSVIndex(A2,9+5292), 2^5)=0, 0, 1),IF(_xlfn.BITAND(GetCSVIndex(A2,10+5292), 2^5)=0, 0, 1)) =1,"Sat",""),IF(CHOOSE(GetCSVIndex(A2,7+5292)+1,IF(_xlfn.BITAND(GetCSVIndex(A2,8+5292), 2^6)=0, 0, 1),IF(_xlfn.BITAND(GetCSVIndex(A2,9+5292), 2^6)=0, 0, 1),IF(_xlfn.BITAND(GetCSVIndex(A2,10+5292), 2^6)=0, 0, 1)) =1,"       Sun","       "))</f>
        <v>#VALUE!</v>
      </c>
      <c r="J530" s="19"/>
      <c r="K530" s="19"/>
      <c r="L530" s="32" t="s">
        <v>22</v>
      </c>
      <c r="M530" s="19"/>
      <c r="N530" s="19" t="str" cm="1">
        <f t="array" ref="N530">IF(GetCSVIndex(A2,26+5292)="1","Enable","Disable")</f>
        <v>Disable</v>
      </c>
      <c r="O530" s="24"/>
    </row>
    <row r="531" spans="1:15" ht="18" customHeight="1" x14ac:dyDescent="0.25">
      <c r="A531" s="21" t="str" cm="1">
        <f t="array" ref="A531">CONCATENATE("Program ", GetCSVIndex(A2,5+5292))</f>
        <v xml:space="preserve">Program </v>
      </c>
      <c r="B531" s="23" t="str" cm="1">
        <f t="array" ref="B531">CONCATENATE(GetCSVIndex(A2,25+5292)," %")</f>
        <v xml:space="preserve"> %</v>
      </c>
      <c r="C531" s="19"/>
      <c r="D531" s="19"/>
      <c r="E531" s="19"/>
      <c r="F531" s="19" t="str" cm="1">
        <f t="array" ref="F531">IF(GetCSVIndex(A2,7)="2","Water Every"," ")</f>
        <v xml:space="preserve"> </v>
      </c>
      <c r="G531" s="47" t="str" cm="1">
        <f t="array" ref="G531">IF(GetCSVIndex(A2,7+5292)="2",GetCSVIndex(A2,11+5292)," ")</f>
        <v xml:space="preserve"> </v>
      </c>
      <c r="H531" s="19" t="str" cm="1">
        <f t="array" ref="H531">IF(GetCSVIndex(A2,7+5292)="2","Days"," ")</f>
        <v xml:space="preserve"> </v>
      </c>
      <c r="I531" s="32" t="str" cm="1">
        <f t="array" ref="I531">IF(GetCSVIndex(A2,7+5292)="2","Water After"," ")</f>
        <v xml:space="preserve"> </v>
      </c>
      <c r="J531" s="19"/>
      <c r="K531" s="19" t="str" cm="1">
        <f t="array" ref="K531">IF(GetCSVIndex(A2,7+5292)="2",GetCSVIndex(A2,12+5292)," ")</f>
        <v xml:space="preserve"> </v>
      </c>
      <c r="L531" s="47" t="str" cm="1">
        <f t="array" ref="L531">IF(GetCSVIndex(A2,7+5292)="2","Days"," ")</f>
        <v xml:space="preserve"> </v>
      </c>
      <c r="M531" s="32"/>
      <c r="N531" s="32"/>
      <c r="O531" s="24"/>
    </row>
    <row r="532" spans="1:15" ht="21" customHeight="1" x14ac:dyDescent="0.25">
      <c r="A532" s="20" t="s">
        <v>23</v>
      </c>
      <c r="B532" s="18" t="s">
        <v>24</v>
      </c>
      <c r="C532" s="18" t="str" cm="1">
        <f t="array" ref="C532">CHOOSE(GetCSVIndex(A2,13)+1, "Auto", "Start to End","Manual")</f>
        <v>Start to End</v>
      </c>
      <c r="D532" s="31"/>
      <c r="E532" s="17" t="s">
        <v>38</v>
      </c>
      <c r="F532" s="18" t="s">
        <v>39</v>
      </c>
      <c r="G532" s="18" t="s">
        <v>40</v>
      </c>
      <c r="H532" s="18" t="s">
        <v>41</v>
      </c>
      <c r="I532" s="18" t="s">
        <v>43</v>
      </c>
      <c r="J532" s="31"/>
      <c r="K532" s="17" t="s">
        <v>38</v>
      </c>
      <c r="L532" s="18" t="s">
        <v>39</v>
      </c>
      <c r="M532" s="18" t="s">
        <v>40</v>
      </c>
      <c r="N532" s="22" t="s">
        <v>41</v>
      </c>
      <c r="O532" s="44" t="s">
        <v>42</v>
      </c>
    </row>
    <row r="533" spans="1:15" ht="21" customHeight="1" x14ac:dyDescent="0.25">
      <c r="A533" s="36" t="s">
        <v>25</v>
      </c>
      <c r="B533" s="46" t="str" cm="1">
        <f t="array" ref="B533">IF(GetCSVIndex(A2,6+5292)="1","Over","Stack")</f>
        <v>Stack</v>
      </c>
      <c r="C533" s="26" t="str" cm="1">
        <f t="array" ref="C533">GetCSVIndex(A2,29+5292)</f>
        <v/>
      </c>
      <c r="D533" s="25"/>
      <c r="E533" s="45">
        <v>1</v>
      </c>
      <c r="F533" s="29" t="e" cm="1">
        <f t="array" ref="F533">CHOOSE(GetCSVIndex(A2,36+5292)+1,"","Station","Block","","Delay")</f>
        <v>#VALUE!</v>
      </c>
      <c r="G533" s="29" t="str" cm="1">
        <f t="array" ref="G533">GetCSVIndex(A2,37+5292)</f>
        <v/>
      </c>
      <c r="H533" s="45" t="str" cm="1">
        <f t="array" ref="H533">GetCSVIndex(A2,3+5292)</f>
        <v/>
      </c>
      <c r="I533" s="29" t="str" cm="1">
        <f t="array" ref="I533">GetCSVIndex(A2,1+5292)</f>
        <v/>
      </c>
      <c r="J533" s="25"/>
      <c r="K533" s="45">
        <v>33</v>
      </c>
      <c r="L533" s="29" t="e" cm="1">
        <f t="array" ref="L533">CHOOSE(GetCSVIndex(A2,132+5292)+1,"","Station","Block","","Delay")</f>
        <v>#VALUE!</v>
      </c>
      <c r="M533" s="29" t="str" cm="1">
        <f t="array" ref="M533">GetCSVIndex(A2,133+5292)</f>
        <v/>
      </c>
      <c r="N533" s="27" t="str" cm="1">
        <f t="array" ref="N533">GetCSVIndex(A2,283+5292)</f>
        <v/>
      </c>
      <c r="O533" s="43" t="str" cm="1">
        <f t="array" ref="O533">GetCSVIndex(A2,346+5292)</f>
        <v/>
      </c>
    </row>
    <row r="534" spans="1:15" ht="21" customHeight="1" x14ac:dyDescent="0.25">
      <c r="A534" s="36" t="s">
        <v>26</v>
      </c>
      <c r="B534" s="25" t="str" cm="1">
        <f t="array" ref="B534">IF(GetCSVIndex(A2,2+5292)="1092:15","Not Set",CONCATENATE("From     ",GetCSVIndex(A2,2+5292)))</f>
        <v xml:space="preserve">From     </v>
      </c>
      <c r="C534" s="26" t="str" cm="1">
        <f t="array" ref="C534">IF(GetCSVIndex(C4,1+28)="1092:15","Not Set",CONCATENATE("To     ",GetCSVIndex(C4,1+28)))</f>
        <v xml:space="preserve">To     </v>
      </c>
      <c r="D534" s="25"/>
      <c r="E534" s="45">
        <v>2</v>
      </c>
      <c r="F534" s="29" t="e" cm="1">
        <f t="array" ref="F534">CHOOSE(GetCSVIndex(A2,39+5292)+1,"","Station","Block","","Delay")</f>
        <v>#VALUE!</v>
      </c>
      <c r="G534" s="29" t="str" cm="1">
        <f t="array" ref="G534">GetCSVIndex(A2,40+5292)</f>
        <v/>
      </c>
      <c r="H534" s="45" t="str" cm="1">
        <f t="array" ref="H534">GetCSVIndex(A2,252+5292)</f>
        <v/>
      </c>
      <c r="I534" s="29" t="str" cm="1">
        <f t="array" ref="I534">GetCSVIndex(A2,315+5292)</f>
        <v/>
      </c>
      <c r="J534" s="25"/>
      <c r="K534" s="45">
        <v>34</v>
      </c>
      <c r="L534" s="29" t="e" cm="1">
        <f t="array" ref="L534">CHOOSE(GetCSVIndex(A2,135+5292)+1,"","Station","Block","","Delay")</f>
        <v>#VALUE!</v>
      </c>
      <c r="M534" s="29" t="str" cm="1">
        <f t="array" ref="M534">GetCSVIndex(A2,136+5292)</f>
        <v/>
      </c>
      <c r="N534" s="27" t="str" cm="1">
        <f t="array" ref="N534">GetCSVIndex(A2,284+5292)</f>
        <v/>
      </c>
      <c r="O534" s="43" t="str" cm="1">
        <f t="array" ref="O534">GetCSVIndex(A2,347+5292)</f>
        <v/>
      </c>
    </row>
    <row r="535" spans="1:15" ht="21" customHeight="1" x14ac:dyDescent="0.25">
      <c r="A535" s="36" t="s">
        <v>27</v>
      </c>
      <c r="B535" s="25"/>
      <c r="C535" s="26" t="str" cm="1">
        <f t="array" ref="C535">CONCATENATE(GetCSVIndex(A2,249+5292),":", GetCSVIndex(A2,250+5292),":", GetCSVIndex(A2,251+5292))</f>
        <v>::</v>
      </c>
      <c r="D535" s="26"/>
      <c r="E535" s="45">
        <v>3</v>
      </c>
      <c r="F535" s="29" t="e" cm="1">
        <f t="array" ref="F535">CHOOSE(GetCSVIndex(A2,42+5292)+1,"","Station","Block","","Delay")</f>
        <v>#VALUE!</v>
      </c>
      <c r="G535" s="29" t="str" cm="1">
        <f t="array" ref="G535">GetCSVIndex(A2,43+5292)</f>
        <v/>
      </c>
      <c r="H535" s="45" t="str" cm="1">
        <f t="array" ref="H535">GetCSVIndex(A2,253+5292)</f>
        <v/>
      </c>
      <c r="I535" s="29" t="str" cm="1">
        <f t="array" ref="I535">GetCSVIndex(A2,316+5292)</f>
        <v/>
      </c>
      <c r="J535" s="25"/>
      <c r="K535" s="45">
        <v>35</v>
      </c>
      <c r="L535" s="29" t="e" cm="1">
        <f t="array" ref="L535">CHOOSE(GetCSVIndex(A2,138+5292)+1,"","Station","Block","","Delay")</f>
        <v>#VALUE!</v>
      </c>
      <c r="M535" s="29" t="str" cm="1">
        <f t="array" ref="M535">GetCSVIndex(A2,139+5292)</f>
        <v/>
      </c>
      <c r="N535" s="27" t="str" cm="1">
        <f t="array" ref="N535">GetCSVIndex(A2,285+5292)</f>
        <v/>
      </c>
      <c r="O535" s="43" t="str" cm="1">
        <f t="array" ref="O535">GetCSVIndex(A2,348+5292)</f>
        <v/>
      </c>
    </row>
    <row r="536" spans="1:15" ht="21" customHeight="1" x14ac:dyDescent="0.25">
      <c r="A536" s="36"/>
      <c r="B536" s="25"/>
      <c r="C536" s="25"/>
      <c r="D536" s="25"/>
      <c r="E536" s="45">
        <v>4</v>
      </c>
      <c r="F536" s="29" t="e" cm="1">
        <f t="array" ref="F536">CHOOSE(GetCSVIndex(A2,45+5292)+1,"","Station","Block","","Delay")</f>
        <v>#VALUE!</v>
      </c>
      <c r="G536" s="29" t="str" cm="1">
        <f t="array" ref="G536">GetCSVIndex(A2,46+5292)</f>
        <v/>
      </c>
      <c r="H536" s="45" t="str" cm="1">
        <f t="array" ref="H536">GetCSVIndex(A2,254+5292)</f>
        <v/>
      </c>
      <c r="I536" s="29" t="str" cm="1">
        <f t="array" ref="I536">GetCSVIndex(A2,317+5292)</f>
        <v/>
      </c>
      <c r="J536" s="25"/>
      <c r="K536" s="45">
        <v>36</v>
      </c>
      <c r="L536" s="29" t="e" cm="1">
        <f t="array" ref="L536">CHOOSE(GetCSVIndex(A2,141+5292)+1,"","Station","Block","","Delay")</f>
        <v>#VALUE!</v>
      </c>
      <c r="M536" s="29" t="str" cm="1">
        <f t="array" ref="M536">GetCSVIndex(A2,142+5292)</f>
        <v/>
      </c>
      <c r="N536" s="27" t="str" cm="1">
        <f t="array" ref="N536">GetCSVIndex(A2,286+5292)</f>
        <v/>
      </c>
      <c r="O536" s="43" t="str" cm="1">
        <f t="array" ref="O536">GetCSVIndex(A2,349+5292)</f>
        <v/>
      </c>
    </row>
    <row r="537" spans="1:15" ht="21" customHeight="1" x14ac:dyDescent="0.25">
      <c r="A537" s="37" t="s">
        <v>28</v>
      </c>
      <c r="B537" s="28"/>
      <c r="C537" s="29" t="str" cm="1">
        <f t="array" ref="C537">IF(GetCSVIndex(A2,14+5292)&lt;&gt;"65535",CONCATENATE(GetCSVIndex(A2,229+5292),":", GetCSVIndex(A2,239+5292)),"OFF")</f>
        <v>:</v>
      </c>
      <c r="D537" s="25"/>
      <c r="E537" s="45">
        <v>5</v>
      </c>
      <c r="F537" s="29" t="e" cm="1">
        <f t="array" ref="F537">CHOOSE(GetCSVIndex(A2,48+5292)+1,"","Station","Block","","Delay")</f>
        <v>#VALUE!</v>
      </c>
      <c r="G537" s="29" t="str" cm="1">
        <f t="array" ref="G537">GetCSVIndex(A2,49+5292)</f>
        <v/>
      </c>
      <c r="H537" s="45" t="str" cm="1">
        <f t="array" ref="H537">GetCSVIndex(A2,255+5292)</f>
        <v/>
      </c>
      <c r="I537" s="29" t="str" cm="1">
        <f t="array" ref="I537">GetCSVIndex(A2,318+5292)</f>
        <v/>
      </c>
      <c r="J537" s="25"/>
      <c r="K537" s="45">
        <v>37</v>
      </c>
      <c r="L537" s="29" t="e" cm="1">
        <f t="array" ref="L537">CHOOSE(GetCSVIndex(A2,144+5292)+1,"","Station","Block","","Delay")</f>
        <v>#VALUE!</v>
      </c>
      <c r="M537" s="29" t="str" cm="1">
        <f t="array" ref="M537">GetCSVIndex(A2,145+5292)</f>
        <v/>
      </c>
      <c r="N537" s="27" t="str" cm="1">
        <f t="array" ref="N537">GetCSVIndex(A2,287+5292)</f>
        <v/>
      </c>
      <c r="O537" s="43" t="str" cm="1">
        <f t="array" ref="O537">GetCSVIndex(A2,350+5292)</f>
        <v/>
      </c>
    </row>
    <row r="538" spans="1:15" ht="21" customHeight="1" x14ac:dyDescent="0.25">
      <c r="A538" s="38" t="s">
        <v>29</v>
      </c>
      <c r="B538" s="30"/>
      <c r="C538" s="29" t="str" cm="1">
        <f t="array" ref="C538">IF(GetCSVIndex(A2,15+5292)&lt;&gt;"65535",CONCATENATE(GetCSVIndex(A2,231+5292),":", GetCSVIndex(A2,241+5292)),"OFF")</f>
        <v>:</v>
      </c>
      <c r="D538" s="25"/>
      <c r="E538" s="45">
        <v>6</v>
      </c>
      <c r="F538" s="29" t="e" cm="1">
        <f t="array" ref="F538">CHOOSE(GetCSVIndex(A2,51+5292)+1,"","Station","Block","","Delay")</f>
        <v>#VALUE!</v>
      </c>
      <c r="G538" s="29" t="str" cm="1">
        <f t="array" ref="G538">GetCSVIndex(A2,52+5292)</f>
        <v/>
      </c>
      <c r="H538" s="45" t="str" cm="1">
        <f t="array" ref="H538">GetCSVIndex(A2,256+5292)</f>
        <v/>
      </c>
      <c r="I538" s="29" t="str" cm="1">
        <f t="array" ref="I538">GetCSVIndex(A2,319+5292)</f>
        <v/>
      </c>
      <c r="J538" s="25"/>
      <c r="K538" s="45">
        <v>38</v>
      </c>
      <c r="L538" s="29" t="e" cm="1">
        <f t="array" ref="L538">CHOOSE(GetCSVIndex(A2,147+5292)+1,"","Station","Block","","Delay")</f>
        <v>#VALUE!</v>
      </c>
      <c r="M538" s="29" t="str" cm="1">
        <f t="array" ref="M538">GetCSVIndex(A2,148+5292)</f>
        <v/>
      </c>
      <c r="N538" s="27" t="str" cm="1">
        <f t="array" ref="N538">GetCSVIndex(A2,288+5292)</f>
        <v/>
      </c>
      <c r="O538" s="43" t="str" cm="1">
        <f t="array" ref="O538">GetCSVIndex(A2,351+5292)</f>
        <v/>
      </c>
    </row>
    <row r="539" spans="1:15" ht="21" customHeight="1" x14ac:dyDescent="0.25">
      <c r="A539" s="38" t="s">
        <v>30</v>
      </c>
      <c r="B539" s="30"/>
      <c r="C539" s="29" t="str" cm="1">
        <f t="array" ref="C539">IF(GetCSVIndex(A2,16+5292)&lt;&gt;"65535",CONCATENATE(GetCSVIndex(A2,232+5292),":", GetCSVIndex(A2,242+5292)),"OFF")</f>
        <v>:</v>
      </c>
      <c r="D539" s="25"/>
      <c r="E539" s="45">
        <v>7</v>
      </c>
      <c r="F539" s="29" t="e" cm="1">
        <f t="array" ref="F539">CHOOSE(GetCSVIndex(A2,54+5292)+1,"","Station","Block","","Delay")</f>
        <v>#VALUE!</v>
      </c>
      <c r="G539" s="29" t="str" cm="1">
        <f t="array" ref="G539">GetCSVIndex(A2,55+5292)</f>
        <v/>
      </c>
      <c r="H539" s="45" t="str" cm="1">
        <f t="array" ref="H539">GetCSVIndex(A2,257+5292)</f>
        <v/>
      </c>
      <c r="I539" s="29" t="str" cm="1">
        <f t="array" ref="I539">GetCSVIndex(A2,320+5292)</f>
        <v/>
      </c>
      <c r="J539" s="25"/>
      <c r="K539" s="45">
        <v>39</v>
      </c>
      <c r="L539" s="29" t="e" cm="1">
        <f t="array" ref="L539">CHOOSE(GetCSVIndex(A2,150+5292)+1,"","Station","Block","","Delay")</f>
        <v>#VALUE!</v>
      </c>
      <c r="M539" s="29" t="str" cm="1">
        <f t="array" ref="M539">GetCSVIndex(A2,151+5292)</f>
        <v/>
      </c>
      <c r="N539" s="27" t="str" cm="1">
        <f t="array" ref="N539">GetCSVIndex(A2,289+5292)</f>
        <v/>
      </c>
      <c r="O539" s="43" t="str" cm="1">
        <f t="array" ref="O539">GetCSVIndex(A2,352+5292)</f>
        <v/>
      </c>
    </row>
    <row r="540" spans="1:15" ht="21" customHeight="1" x14ac:dyDescent="0.25">
      <c r="A540" s="38" t="s">
        <v>31</v>
      </c>
      <c r="B540" s="30"/>
      <c r="C540" s="29" t="str" cm="1">
        <f t="array" ref="C540">IF(GetCSVIndex(A2,17+5292)&lt;&gt;"65535",CONCATENATE(GetCSVIndex(A2,233+5292),":", GetCSVIndex(A2,243+5292)),"OFF")</f>
        <v>:</v>
      </c>
      <c r="D540" s="25"/>
      <c r="E540" s="45">
        <v>8</v>
      </c>
      <c r="F540" s="29" t="e" cm="1">
        <f t="array" ref="F540">CHOOSE(GetCSVIndex(A2,57+5292)+1,"","Station","Block","","Delay")</f>
        <v>#VALUE!</v>
      </c>
      <c r="G540" s="29" t="str" cm="1">
        <f t="array" ref="G540">GetCSVIndex(A2,58+5292)</f>
        <v/>
      </c>
      <c r="H540" s="45" t="str" cm="1">
        <f t="array" ref="H540">GetCSVIndex(A2,258+5292)</f>
        <v/>
      </c>
      <c r="I540" s="29" t="str" cm="1">
        <f t="array" ref="I540">GetCSVIndex(A2,321+5292)</f>
        <v/>
      </c>
      <c r="J540" s="25"/>
      <c r="K540" s="45">
        <v>40</v>
      </c>
      <c r="L540" s="29" t="e" cm="1">
        <f t="array" ref="L540">CHOOSE(GetCSVIndex(A2,153+5292)+1,"","Station","Block","","Delay")</f>
        <v>#VALUE!</v>
      </c>
      <c r="M540" s="29" t="str" cm="1">
        <f t="array" ref="M540">GetCSVIndex(A2,154+5292)</f>
        <v/>
      </c>
      <c r="N540" s="27" t="str" cm="1">
        <f t="array" ref="N540">GetCSVIndex(A2,290+5292)</f>
        <v/>
      </c>
      <c r="O540" s="43" t="str" cm="1">
        <f t="array" ref="O540">GetCSVIndex(A2,353+5292)</f>
        <v/>
      </c>
    </row>
    <row r="541" spans="1:15" ht="21" customHeight="1" x14ac:dyDescent="0.25">
      <c r="A541" s="38" t="s">
        <v>32</v>
      </c>
      <c r="B541" s="30"/>
      <c r="C541" s="29" t="str" cm="1">
        <f t="array" ref="C541">IF(GetCSVIndex(A2,18+5292)&lt;&gt;"65535",CONCATENATE(GetCSVIndex(A2,234+5292),":", GetCSVIndex(A2,244+5292)),"OFF")</f>
        <v>:</v>
      </c>
      <c r="D541" s="25"/>
      <c r="E541" s="45">
        <v>9</v>
      </c>
      <c r="F541" s="29" t="e" cm="1">
        <f t="array" ref="F541">CHOOSE(GetCSVIndex(A2,60+5292)+1,"","Station","Block","","Delay")</f>
        <v>#VALUE!</v>
      </c>
      <c r="G541" s="29" t="str" cm="1">
        <f t="array" ref="G541">GetCSVIndex(A2,61+5292)</f>
        <v/>
      </c>
      <c r="H541" s="45" t="str" cm="1">
        <f t="array" ref="H541">GetCSVIndex(A2,259+5292)</f>
        <v/>
      </c>
      <c r="I541" s="29" t="str" cm="1">
        <f t="array" ref="I541">GetCSVIndex(A2,322+5292)</f>
        <v/>
      </c>
      <c r="J541" s="25"/>
      <c r="K541" s="45">
        <v>41</v>
      </c>
      <c r="L541" s="29" t="e" cm="1">
        <f t="array" ref="L541">CHOOSE(GetCSVIndex(A2,156+5292)+1,"","Station","Block","","Delay")</f>
        <v>#VALUE!</v>
      </c>
      <c r="M541" s="29" t="str" cm="1">
        <f t="array" ref="M541">GetCSVIndex(A2,157+5292)</f>
        <v/>
      </c>
      <c r="N541" s="27" t="str" cm="1">
        <f t="array" ref="N541">GetCSVIndex(A2,291+5292)</f>
        <v/>
      </c>
      <c r="O541" s="43" t="str" cm="1">
        <f t="array" ref="O541">GetCSVIndex(A2,354+5292)</f>
        <v/>
      </c>
    </row>
    <row r="542" spans="1:15" ht="21" customHeight="1" x14ac:dyDescent="0.25">
      <c r="A542" s="38" t="s">
        <v>33</v>
      </c>
      <c r="B542" s="30"/>
      <c r="C542" s="29" t="str" cm="1">
        <f t="array" ref="C542">IF(GetCSVIndex(A2,19+5292)&lt;&gt;"65535",CONCATENATE(GetCSVIndex(A2,235+5292),":", GetCSVIndex(A2,245+5292)),"OFF")</f>
        <v>:</v>
      </c>
      <c r="D542" s="25"/>
      <c r="E542" s="45">
        <v>10</v>
      </c>
      <c r="F542" s="29" t="e" cm="1">
        <f t="array" ref="F542">CHOOSE(GetCSVIndex(A2,63+5292)+1,"","Station","Block","","Delay")</f>
        <v>#VALUE!</v>
      </c>
      <c r="G542" s="29" t="str" cm="1">
        <f t="array" ref="G542">GetCSVIndex(A2,64+5292)</f>
        <v/>
      </c>
      <c r="H542" s="45" t="str" cm="1">
        <f t="array" ref="H542">GetCSVIndex(A2,260+5292)</f>
        <v/>
      </c>
      <c r="I542" s="29" t="str" cm="1">
        <f t="array" ref="I542">GetCSVIndex(A2,323+5292)</f>
        <v/>
      </c>
      <c r="J542" s="25"/>
      <c r="K542" s="45">
        <v>42</v>
      </c>
      <c r="L542" s="29" t="e" cm="1">
        <f t="array" ref="L542">CHOOSE(GetCSVIndex(A2,159+5292)+1,"","Station","Block","","Delay")</f>
        <v>#VALUE!</v>
      </c>
      <c r="M542" s="29" t="str" cm="1">
        <f t="array" ref="M542">GetCSVIndex(A2,160+5292)</f>
        <v/>
      </c>
      <c r="N542" s="27" t="str" cm="1">
        <f t="array" ref="N542">GetCSVIndex(A2,292+5292)</f>
        <v/>
      </c>
      <c r="O542" s="43" t="str" cm="1">
        <f t="array" ref="O542">GetCSVIndex(A2,355+5292)</f>
        <v/>
      </c>
    </row>
    <row r="543" spans="1:15" ht="21" customHeight="1" x14ac:dyDescent="0.25">
      <c r="A543" s="38" t="s">
        <v>34</v>
      </c>
      <c r="B543" s="30"/>
      <c r="C543" s="29" t="str" cm="1">
        <f t="array" ref="C543">IF(GetCSVIndex(A2,20+5292)&lt;&gt;"65535",CONCATENATE(GetCSVIndex(A2,236+5292),":", GetCSVIndex(A2,246+5292)),"OFF")</f>
        <v>:</v>
      </c>
      <c r="D543" s="25"/>
      <c r="E543" s="45">
        <v>11</v>
      </c>
      <c r="F543" s="29" t="e" cm="1">
        <f t="array" ref="F543">CHOOSE(GetCSVIndex(A2,66+5292)+1,"","Station","Block","","Delay")</f>
        <v>#VALUE!</v>
      </c>
      <c r="G543" s="29" t="str" cm="1">
        <f t="array" ref="G543">GetCSVIndex(A2,67+5292)</f>
        <v/>
      </c>
      <c r="H543" s="45" t="str" cm="1">
        <f t="array" ref="H543">GetCSVIndex(A2,261+5292)</f>
        <v/>
      </c>
      <c r="I543" s="29" t="str" cm="1">
        <f t="array" ref="I543">GetCSVIndex(A2,324+5292)</f>
        <v/>
      </c>
      <c r="J543" s="25"/>
      <c r="K543" s="45">
        <v>43</v>
      </c>
      <c r="L543" s="29" t="e" cm="1">
        <f t="array" ref="L543">CHOOSE(GetCSVIndex(A2,162+5292)+1,"","Station","Block","","Delay")</f>
        <v>#VALUE!</v>
      </c>
      <c r="M543" s="29" t="str" cm="1">
        <f t="array" ref="M543">GetCSVIndex(A2,163+5292)</f>
        <v/>
      </c>
      <c r="N543" s="27" t="str" cm="1">
        <f t="array" ref="N543">GetCSVIndex(A2,293+5292)</f>
        <v/>
      </c>
      <c r="O543" s="43" t="str" cm="1">
        <f t="array" ref="O543">GetCSVIndex(A2,356+5292)</f>
        <v/>
      </c>
    </row>
    <row r="544" spans="1:15" ht="21" customHeight="1" x14ac:dyDescent="0.25">
      <c r="A544" s="38" t="s">
        <v>35</v>
      </c>
      <c r="B544" s="30"/>
      <c r="C544" s="29" t="str" cm="1">
        <f t="array" ref="C544">IF(GetCSVIndex(A2,21+5292)&lt;&gt;"65535",CONCATENATE(GetCSVIndex(A2,237+5292),":", GetCSVIndex(A2,247+5292)),"OFF")</f>
        <v>:</v>
      </c>
      <c r="D544" s="25"/>
      <c r="E544" s="45">
        <v>12</v>
      </c>
      <c r="F544" s="29" t="e" cm="1">
        <f t="array" ref="F544">CHOOSE(GetCSVIndex(A2,69+5292)+1,"","Station","Block","","Delay")</f>
        <v>#VALUE!</v>
      </c>
      <c r="G544" s="29" t="str" cm="1">
        <f t="array" ref="G544">GetCSVIndex(A2,70+5292)</f>
        <v/>
      </c>
      <c r="H544" s="45" t="str" cm="1">
        <f t="array" ref="H544">GetCSVIndex(A2,262+5292)</f>
        <v/>
      </c>
      <c r="I544" s="29" t="str" cm="1">
        <f t="array" ref="I544">GetCSVIndex(A2,325+5292)</f>
        <v/>
      </c>
      <c r="J544" s="25"/>
      <c r="K544" s="45">
        <v>44</v>
      </c>
      <c r="L544" s="29" t="e" cm="1">
        <f t="array" ref="L544">CHOOSE(GetCSVIndex(A2,165+5292)+1,"","Station","Block","","Delay")</f>
        <v>#VALUE!</v>
      </c>
      <c r="M544" s="29" t="str" cm="1">
        <f t="array" ref="M544">GetCSVIndex(A2,166+5292)</f>
        <v/>
      </c>
      <c r="N544" s="27" t="str" cm="1">
        <f t="array" ref="N544">GetCSVIndex(A2,294+5292)</f>
        <v/>
      </c>
      <c r="O544" s="43" t="str" cm="1">
        <f t="array" ref="O544">GetCSVIndex(A2,357+5292)</f>
        <v/>
      </c>
    </row>
    <row r="545" spans="1:15" ht="21" customHeight="1" x14ac:dyDescent="0.25">
      <c r="A545" s="38" t="s">
        <v>36</v>
      </c>
      <c r="B545" s="30"/>
      <c r="C545" s="29" t="str" cm="1">
        <f t="array" ref="C545">IF(GetCSVIndex(A2,22+5292)&lt;&gt;"65535",CONCATENATE(GetCSVIndex(A2,238+5292),":", GetCSVIndex(A2,248+5292)),"OFF")</f>
        <v>:</v>
      </c>
      <c r="D545" s="25"/>
      <c r="E545" s="45">
        <v>13</v>
      </c>
      <c r="F545" s="29" t="e" cm="1">
        <f t="array" ref="F545">CHOOSE(GetCSVIndex(A2,72+5292)+1,"","Station","Block","","Delay")</f>
        <v>#VALUE!</v>
      </c>
      <c r="G545" s="29" t="str" cm="1">
        <f t="array" ref="G545">GetCSVIndex(A2,73+5292)</f>
        <v/>
      </c>
      <c r="H545" s="45" t="str" cm="1">
        <f t="array" ref="H545">GetCSVIndex(A2,263+5292)</f>
        <v/>
      </c>
      <c r="I545" s="29" t="str" cm="1">
        <f t="array" ref="I545">GetCSVIndex(A2,326+5292)</f>
        <v/>
      </c>
      <c r="J545" s="25"/>
      <c r="K545" s="45">
        <v>45</v>
      </c>
      <c r="L545" s="29" t="e" cm="1">
        <f t="array" ref="L545">CHOOSE(GetCSVIndex(A2,168+5292)+1,"","Station","Block","","Delay")</f>
        <v>#VALUE!</v>
      </c>
      <c r="M545" s="29" t="str" cm="1">
        <f t="array" ref="M545">GetCSVIndex(A2,169+5292)</f>
        <v/>
      </c>
      <c r="N545" s="27" t="str" cm="1">
        <f t="array" ref="N545">GetCSVIndex(A2,295+5292)</f>
        <v/>
      </c>
      <c r="O545" s="43" t="str" cm="1">
        <f t="array" ref="O545">GetCSVIndex(A2,358+5292)</f>
        <v/>
      </c>
    </row>
    <row r="546" spans="1:15" ht="21" customHeight="1" x14ac:dyDescent="0.25">
      <c r="A546" s="36" t="s">
        <v>37</v>
      </c>
      <c r="B546" s="25"/>
      <c r="C546" s="29" t="str" cm="1">
        <f t="array" ref="C546">IF(GetCSVIndex(A2,23+5292)&lt;&gt;"65535",CONCATENATE(GetCSVIndex(A2,230+5292),":", GetCSVIndex(A2,240+5292)),"OFF")</f>
        <v>:</v>
      </c>
      <c r="D546" s="25"/>
      <c r="E546" s="45">
        <v>14</v>
      </c>
      <c r="F546" s="29" t="e" cm="1">
        <f t="array" ref="F546">CHOOSE(GetCSVIndex(A2,75+5292)+1,"","Station","Block","","Delay")</f>
        <v>#VALUE!</v>
      </c>
      <c r="G546" s="29" t="str" cm="1">
        <f t="array" ref="G546">GetCSVIndex(A2,76+5292)</f>
        <v/>
      </c>
      <c r="H546" s="45" t="str" cm="1">
        <f t="array" ref="H546">GetCSVIndex(A2,264+5292)</f>
        <v/>
      </c>
      <c r="I546" s="29" t="str" cm="1">
        <f t="array" ref="I546">GetCSVIndex(A2,327+5292)</f>
        <v/>
      </c>
      <c r="J546" s="25"/>
      <c r="K546" s="45">
        <v>46</v>
      </c>
      <c r="L546" s="29" t="e" cm="1">
        <f t="array" ref="L546">CHOOSE(GetCSVIndex(A2,171+5292)+1,"","Station","Block","","Delay")</f>
        <v>#VALUE!</v>
      </c>
      <c r="M546" s="29" t="str" cm="1">
        <f t="array" ref="M546">GetCSVIndex(A2,172+5292)</f>
        <v/>
      </c>
      <c r="N546" s="27" t="str" cm="1">
        <f t="array" ref="N546">GetCSVIndex(A2,296+5292)</f>
        <v/>
      </c>
      <c r="O546" s="43" t="str" cm="1">
        <f t="array" ref="O546">GetCSVIndex(A2,359+5292)</f>
        <v/>
      </c>
    </row>
    <row r="547" spans="1:15" ht="21" customHeight="1" x14ac:dyDescent="0.25">
      <c r="A547" s="39"/>
      <c r="B547" s="40"/>
      <c r="C547" s="41"/>
      <c r="D547" s="26"/>
      <c r="E547" s="45">
        <v>15</v>
      </c>
      <c r="F547" s="29" t="e" cm="1">
        <f t="array" ref="F547">CHOOSE(GetCSVIndex(A2,78+5292)+1,"","Station","Block","","Delay")</f>
        <v>#VALUE!</v>
      </c>
      <c r="G547" s="29" t="str" cm="1">
        <f t="array" ref="G547">GetCSVIndex(A2,79+5292)</f>
        <v/>
      </c>
      <c r="H547" s="45" t="str" cm="1">
        <f t="array" ref="H547">GetCSVIndex(A2,265+5292)</f>
        <v/>
      </c>
      <c r="I547" s="29" t="str" cm="1">
        <f t="array" ref="I547">GetCSVIndex(A2,328+5292)</f>
        <v/>
      </c>
      <c r="J547" s="26"/>
      <c r="K547" s="45">
        <v>47</v>
      </c>
      <c r="L547" s="29" t="e" cm="1">
        <f t="array" ref="L547">CHOOSE(GetCSVIndex(A2,174+5292)+1,"","Station","Block","","Delay")</f>
        <v>#VALUE!</v>
      </c>
      <c r="M547" s="29" t="str" cm="1">
        <f t="array" ref="M547">GetCSVIndex(A2,175+5292)</f>
        <v/>
      </c>
      <c r="N547" s="27" t="str" cm="1">
        <f t="array" ref="N547">GetCSVIndex(A2,297+5292)</f>
        <v/>
      </c>
      <c r="O547" s="43" t="str" cm="1">
        <f t="array" ref="O547">GetCSVIndex(A2,360+5292)</f>
        <v/>
      </c>
    </row>
    <row r="548" spans="1:15" ht="21" customHeight="1" x14ac:dyDescent="0.25">
      <c r="A548" s="42"/>
      <c r="B548" s="25"/>
      <c r="C548" s="25"/>
      <c r="D548" s="26"/>
      <c r="E548" s="45">
        <v>16</v>
      </c>
      <c r="F548" s="29" t="e" cm="1">
        <f t="array" ref="F548">CHOOSE(GetCSVIndex(A2,81+5292)+1,"","Station","Block","","Delay")</f>
        <v>#VALUE!</v>
      </c>
      <c r="G548" s="29" t="str" cm="1">
        <f t="array" ref="G548">GetCSVIndex(A2,82+5292)</f>
        <v/>
      </c>
      <c r="H548" s="45" t="str" cm="1">
        <f t="array" ref="H548">GetCSVIndex(A2,266+5292)</f>
        <v/>
      </c>
      <c r="I548" s="29" t="str" cm="1">
        <f t="array" ref="I548">GetCSVIndex(A2,329+5292)</f>
        <v/>
      </c>
      <c r="J548" s="25"/>
      <c r="K548" s="45">
        <v>48</v>
      </c>
      <c r="L548" s="29" t="e" cm="1">
        <f t="array" ref="L548">CHOOSE(GetCSVIndex(A2,177+5292)+1,"","Station","Block","","Delay")</f>
        <v>#VALUE!</v>
      </c>
      <c r="M548" s="29" t="str" cm="1">
        <f t="array" ref="M548">GetCSVIndex(A2,178+5292)</f>
        <v/>
      </c>
      <c r="N548" s="27" t="str" cm="1">
        <f t="array" ref="N548">GetCSVIndex(A2,298+5292)</f>
        <v/>
      </c>
      <c r="O548" s="43" t="str" cm="1">
        <f t="array" ref="O548">GetCSVIndex(A2,361+5292)</f>
        <v/>
      </c>
    </row>
    <row r="549" spans="1:15" ht="21" customHeight="1" x14ac:dyDescent="0.25">
      <c r="A549" s="42"/>
      <c r="B549" s="25"/>
      <c r="C549" s="25"/>
      <c r="D549" s="26"/>
      <c r="E549" s="45">
        <v>17</v>
      </c>
      <c r="F549" s="29" t="e" cm="1">
        <f t="array" ref="F549">CHOOSE(GetCSVIndex(A2,84+5292)+1,"","Station","Block","","Delay")</f>
        <v>#VALUE!</v>
      </c>
      <c r="G549" s="29" t="str" cm="1">
        <f t="array" ref="G549">GetCSVIndex(A2,85+5292)</f>
        <v/>
      </c>
      <c r="H549" s="45" t="str" cm="1">
        <f t="array" ref="H549">GetCSVIndex(A2,267+5292)</f>
        <v/>
      </c>
      <c r="I549" s="29" t="str" cm="1">
        <f t="array" ref="I549">GetCSVIndex(A2,330+5292)</f>
        <v/>
      </c>
      <c r="J549" s="26"/>
      <c r="K549" s="45">
        <v>49</v>
      </c>
      <c r="L549" s="29" t="e" cm="1">
        <f t="array" ref="L549">CHOOSE(GetCSVIndex(A2,180+5292)+1,"","Station","Block","","Delay")</f>
        <v>#VALUE!</v>
      </c>
      <c r="M549" s="29" t="str" cm="1">
        <f t="array" ref="M549">GetCSVIndex(A2,181+5292)</f>
        <v/>
      </c>
      <c r="N549" s="27" t="str" cm="1">
        <f t="array" ref="N549">GetCSVIndex(A2,299+5292)</f>
        <v/>
      </c>
      <c r="O549" s="43" t="str" cm="1">
        <f t="array" ref="O549">GetCSVIndex(A2,362+5292)</f>
        <v/>
      </c>
    </row>
    <row r="550" spans="1:15" ht="21" customHeight="1" x14ac:dyDescent="0.25">
      <c r="A550" s="42"/>
      <c r="B550" s="25"/>
      <c r="C550" s="25"/>
      <c r="D550" s="26"/>
      <c r="E550" s="45">
        <v>18</v>
      </c>
      <c r="F550" s="29" t="e" cm="1">
        <f t="array" ref="F550">CHOOSE(GetCSVIndex(A2,87+5292)+1,"","Station","Block","","Delay")</f>
        <v>#VALUE!</v>
      </c>
      <c r="G550" s="29" t="str" cm="1">
        <f t="array" ref="G550">GetCSVIndex(A2,88+5292)</f>
        <v/>
      </c>
      <c r="H550" s="45" t="str" cm="1">
        <f t="array" ref="H550">GetCSVIndex(A2,268+5292)</f>
        <v/>
      </c>
      <c r="I550" s="29" t="str" cm="1">
        <f t="array" ref="I550">GetCSVIndex(A2,331+5292)</f>
        <v/>
      </c>
      <c r="J550" s="26"/>
      <c r="K550" s="45">
        <v>50</v>
      </c>
      <c r="L550" s="29" t="e" cm="1">
        <f t="array" ref="L550">CHOOSE(GetCSVIndex(A2,183+5292)+1,"","Station","Block","","Delay")</f>
        <v>#VALUE!</v>
      </c>
      <c r="M550" s="29" t="str" cm="1">
        <f t="array" ref="M550">GetCSVIndex(A2,184+5292)</f>
        <v/>
      </c>
      <c r="N550" s="27" t="str" cm="1">
        <f t="array" ref="N550">GetCSVIndex(A2,300+5292)</f>
        <v/>
      </c>
      <c r="O550" s="43" t="str" cm="1">
        <f t="array" ref="O550">GetCSVIndex(A2,363+5292)</f>
        <v/>
      </c>
    </row>
    <row r="551" spans="1:15" ht="21" customHeight="1" x14ac:dyDescent="0.25">
      <c r="A551" s="42"/>
      <c r="B551" s="25"/>
      <c r="C551" s="25"/>
      <c r="D551" s="26"/>
      <c r="E551" s="45">
        <v>19</v>
      </c>
      <c r="F551" s="29" t="e" cm="1">
        <f t="array" ref="F551">CHOOSE(GetCSVIndex(A2,90+5292)+1,"","Station","Block","","Delay")</f>
        <v>#VALUE!</v>
      </c>
      <c r="G551" s="29" t="str" cm="1">
        <f t="array" ref="G551">GetCSVIndex(A2,91+5292)</f>
        <v/>
      </c>
      <c r="H551" s="45" t="str" cm="1">
        <f t="array" ref="H551">GetCSVIndex(A2,269+5292)</f>
        <v/>
      </c>
      <c r="I551" s="29" t="str" cm="1">
        <f t="array" ref="I551">GetCSVIndex(A2,332+5292)</f>
        <v/>
      </c>
      <c r="J551" s="26"/>
      <c r="K551" s="45">
        <v>51</v>
      </c>
      <c r="L551" s="29" t="e" cm="1">
        <f t="array" ref="L551">CHOOSE(GetCSVIndex(A2,186+5292)+1,"","Station","Block","","Delay")</f>
        <v>#VALUE!</v>
      </c>
      <c r="M551" s="29" t="str" cm="1">
        <f t="array" ref="M551">GetCSVIndex(A2,187+5292)</f>
        <v/>
      </c>
      <c r="N551" s="27" t="str" cm="1">
        <f t="array" ref="N551">GetCSVIndex(A2,301+5292)</f>
        <v/>
      </c>
      <c r="O551" s="43" t="str" cm="1">
        <f t="array" ref="O551">GetCSVIndex(A2,364+5292)</f>
        <v/>
      </c>
    </row>
    <row r="552" spans="1:15" ht="21" customHeight="1" x14ac:dyDescent="0.25">
      <c r="A552" s="42"/>
      <c r="B552" s="25"/>
      <c r="C552" s="25"/>
      <c r="D552" s="26"/>
      <c r="E552" s="45">
        <v>20</v>
      </c>
      <c r="F552" s="29" t="e" cm="1">
        <f t="array" ref="F552">CHOOSE(GetCSVIndex(A2,93+5292)+1,"","Station","Block","","Delay")</f>
        <v>#VALUE!</v>
      </c>
      <c r="G552" s="29" t="str" cm="1">
        <f t="array" ref="G552">GetCSVIndex(A2,94+5292)</f>
        <v/>
      </c>
      <c r="H552" s="45" t="str" cm="1">
        <f t="array" ref="H552">GetCSVIndex(A2,270+5292)</f>
        <v/>
      </c>
      <c r="I552" s="29" t="str" cm="1">
        <f t="array" ref="I552">GetCSVIndex(A2,333+5292)</f>
        <v/>
      </c>
      <c r="J552" s="26"/>
      <c r="K552" s="45">
        <v>52</v>
      </c>
      <c r="L552" s="29" t="e" cm="1">
        <f t="array" ref="L552">CHOOSE(GetCSVIndex(A2,189+5292)+1,"","Station","Block","","Delay")</f>
        <v>#VALUE!</v>
      </c>
      <c r="M552" s="29" t="str" cm="1">
        <f t="array" ref="M552">GetCSVIndex(A2,190+5292)</f>
        <v/>
      </c>
      <c r="N552" s="27" t="str" cm="1">
        <f t="array" ref="N552">GetCSVIndex(A2,302+5292)</f>
        <v/>
      </c>
      <c r="O552" s="43" t="str" cm="1">
        <f t="array" ref="O552">GetCSVIndex(A2,365+5292)</f>
        <v/>
      </c>
    </row>
    <row r="553" spans="1:15" ht="21" customHeight="1" x14ac:dyDescent="0.25">
      <c r="A553" s="42"/>
      <c r="B553" s="25"/>
      <c r="C553" s="25"/>
      <c r="D553" s="26"/>
      <c r="E553" s="45">
        <v>21</v>
      </c>
      <c r="F553" s="29" t="e" cm="1">
        <f t="array" ref="F553">CHOOSE(GetCSVIndex(A2,96+5292)+1,"","Station","Block","","Delay")</f>
        <v>#VALUE!</v>
      </c>
      <c r="G553" s="29" t="str" cm="1">
        <f t="array" ref="G553">GetCSVIndex(A2,97+5292)</f>
        <v/>
      </c>
      <c r="H553" s="45" t="str" cm="1">
        <f t="array" ref="H553">GetCSVIndex(A2,271+5292)</f>
        <v/>
      </c>
      <c r="I553" s="29" t="str" cm="1">
        <f t="array" ref="I553">GetCSVIndex(A2,334+5292)</f>
        <v/>
      </c>
      <c r="J553" s="26"/>
      <c r="K553" s="45">
        <v>53</v>
      </c>
      <c r="L553" s="29" t="e" cm="1">
        <f t="array" ref="L553">CHOOSE(GetCSVIndex(A2,192+5292)+1,"","Station","Block","","Delay")</f>
        <v>#VALUE!</v>
      </c>
      <c r="M553" s="29" t="str" cm="1">
        <f t="array" ref="M553">GetCSVIndex(A2,193+5292)</f>
        <v/>
      </c>
      <c r="N553" s="27" t="str" cm="1">
        <f t="array" ref="N553">GetCSVIndex(A2,303+5292)</f>
        <v/>
      </c>
      <c r="O553" s="43" t="str" cm="1">
        <f t="array" ref="O553">GetCSVIndex(A2,366+5292)</f>
        <v/>
      </c>
    </row>
    <row r="554" spans="1:15" ht="21" customHeight="1" x14ac:dyDescent="0.25">
      <c r="A554" s="42"/>
      <c r="B554" s="25"/>
      <c r="C554" s="25"/>
      <c r="D554" s="26"/>
      <c r="E554" s="45">
        <v>22</v>
      </c>
      <c r="F554" s="29" t="e" cm="1">
        <f t="array" ref="F554">CHOOSE(GetCSVIndex(A2,99+5292)+1,"","Station","Block","","Delay")</f>
        <v>#VALUE!</v>
      </c>
      <c r="G554" s="29" t="str" cm="1">
        <f t="array" ref="G554">GetCSVIndex(A2,100+5292)</f>
        <v/>
      </c>
      <c r="H554" s="45" t="str" cm="1">
        <f t="array" ref="H554">GetCSVIndex(A2,272+5292)</f>
        <v/>
      </c>
      <c r="I554" s="29" t="str" cm="1">
        <f t="array" ref="I554">GetCSVIndex(A2,335+5292)</f>
        <v/>
      </c>
      <c r="J554" s="26"/>
      <c r="K554" s="45">
        <v>54</v>
      </c>
      <c r="L554" s="29" t="e" cm="1">
        <f t="array" ref="L554">CHOOSE(GetCSVIndex(A2,195+5292)+1,"","Station","Block","","Delay")</f>
        <v>#VALUE!</v>
      </c>
      <c r="M554" s="29" t="str" cm="1">
        <f t="array" ref="M554">GetCSVIndex(A2,196+5292)</f>
        <v/>
      </c>
      <c r="N554" s="27" t="str" cm="1">
        <f t="array" ref="N554">GetCSVIndex(A2,304+5292)</f>
        <v/>
      </c>
      <c r="O554" s="43" t="str" cm="1">
        <f t="array" ref="O554">GetCSVIndex(A2,367+5292)</f>
        <v/>
      </c>
    </row>
    <row r="555" spans="1:15" ht="21" customHeight="1" x14ac:dyDescent="0.25">
      <c r="A555" s="42"/>
      <c r="B555" s="25"/>
      <c r="C555" s="25"/>
      <c r="D555" s="26"/>
      <c r="E555" s="45">
        <v>23</v>
      </c>
      <c r="F555" s="29" t="e" cm="1">
        <f t="array" ref="F555">CHOOSE(GetCSVIndex(A2,102+5292)+1,"","Station","Block","","Delay")</f>
        <v>#VALUE!</v>
      </c>
      <c r="G555" s="29" t="str" cm="1">
        <f t="array" ref="G555">GetCSVIndex(A2,103+5292)</f>
        <v/>
      </c>
      <c r="H555" s="45" t="str" cm="1">
        <f t="array" ref="H555">GetCSVIndex(A2,273+5292)</f>
        <v/>
      </c>
      <c r="I555" s="29" t="str" cm="1">
        <f t="array" ref="I555">GetCSVIndex(A2,336+5292)</f>
        <v/>
      </c>
      <c r="J555" s="26"/>
      <c r="K555" s="45">
        <v>55</v>
      </c>
      <c r="L555" s="29" t="e" cm="1">
        <f t="array" ref="L555">CHOOSE(GetCSVIndex(A2,198+5292)+1,"","Station","Block","","Delay")</f>
        <v>#VALUE!</v>
      </c>
      <c r="M555" s="29" t="str" cm="1">
        <f t="array" ref="M555">GetCSVIndex(A2,199+5292)</f>
        <v/>
      </c>
      <c r="N555" s="27" t="str" cm="1">
        <f t="array" ref="N555">GetCSVIndex(A2,305+5292)</f>
        <v/>
      </c>
      <c r="O555" s="43" t="str" cm="1">
        <f t="array" ref="O555">GetCSVIndex(A2,368+5292)</f>
        <v/>
      </c>
    </row>
    <row r="556" spans="1:15" ht="21" customHeight="1" x14ac:dyDescent="0.25">
      <c r="A556" s="42"/>
      <c r="B556" s="25"/>
      <c r="C556" s="25"/>
      <c r="D556" s="26"/>
      <c r="E556" s="45">
        <v>24</v>
      </c>
      <c r="F556" s="29" t="e" cm="1">
        <f t="array" ref="F556">CHOOSE(GetCSVIndex(A2,105+5292)+1,"","Station","Block","","Delay")</f>
        <v>#VALUE!</v>
      </c>
      <c r="G556" s="29" t="str" cm="1">
        <f t="array" ref="G556">GetCSVIndex(A2,106+5292)</f>
        <v/>
      </c>
      <c r="H556" s="45" t="str" cm="1">
        <f t="array" ref="H556">GetCSVIndex(A2,274+5292)</f>
        <v/>
      </c>
      <c r="I556" s="29" t="str" cm="1">
        <f t="array" ref="I556">GetCSVIndex(A2,337+5292)</f>
        <v/>
      </c>
      <c r="J556" s="26"/>
      <c r="K556" s="45">
        <v>56</v>
      </c>
      <c r="L556" s="29" t="e" cm="1">
        <f t="array" ref="L556">CHOOSE(GetCSVIndex(A2,201+5292)+1,"","Station","Block","","Delay")</f>
        <v>#VALUE!</v>
      </c>
      <c r="M556" s="29" t="str" cm="1">
        <f t="array" ref="M556">GetCSVIndex(A2,202+5292)</f>
        <v/>
      </c>
      <c r="N556" s="27" t="str" cm="1">
        <f t="array" ref="N556">GetCSVIndex(A2,306+5292)</f>
        <v/>
      </c>
      <c r="O556" s="43" t="str" cm="1">
        <f t="array" ref="O556">GetCSVIndex(A2,369+5292)</f>
        <v/>
      </c>
    </row>
    <row r="557" spans="1:15" ht="21" customHeight="1" x14ac:dyDescent="0.25">
      <c r="A557" s="42"/>
      <c r="B557" s="25"/>
      <c r="C557" s="25"/>
      <c r="D557" s="26"/>
      <c r="E557" s="45">
        <v>25</v>
      </c>
      <c r="F557" s="29" t="e" cm="1">
        <f t="array" ref="F557">CHOOSE(GetCSVIndex(A2,108+5292)+1,"","Station","Block","","Delay")</f>
        <v>#VALUE!</v>
      </c>
      <c r="G557" s="29" t="str" cm="1">
        <f t="array" ref="G557">GetCSVIndex(A2,109+5292)</f>
        <v/>
      </c>
      <c r="H557" s="45" t="str" cm="1">
        <f t="array" ref="H557">GetCSVIndex(A2,275+5292)</f>
        <v/>
      </c>
      <c r="I557" s="29" t="str" cm="1">
        <f t="array" ref="I557">GetCSVIndex(A2,338+5292)</f>
        <v/>
      </c>
      <c r="J557" s="26"/>
      <c r="K557" s="45">
        <v>57</v>
      </c>
      <c r="L557" s="29" t="e" cm="1">
        <f t="array" ref="L557">CHOOSE(GetCSVIndex(A2,204+5292)+1,"","Station","Block","","Delay")</f>
        <v>#VALUE!</v>
      </c>
      <c r="M557" s="29" t="str" cm="1">
        <f t="array" ref="M557">GetCSVIndex(A2,205+5292)</f>
        <v/>
      </c>
      <c r="N557" s="27" t="str" cm="1">
        <f t="array" ref="N557">GetCSVIndex(A2,307+5292)</f>
        <v/>
      </c>
      <c r="O557" s="43" t="str" cm="1">
        <f t="array" ref="O557">GetCSVIndex(A2,370+5292)</f>
        <v/>
      </c>
    </row>
    <row r="558" spans="1:15" ht="21" customHeight="1" x14ac:dyDescent="0.25">
      <c r="A558" s="42"/>
      <c r="B558" s="25"/>
      <c r="C558" s="25"/>
      <c r="D558" s="26"/>
      <c r="E558" s="45">
        <v>26</v>
      </c>
      <c r="F558" s="29" t="e" cm="1">
        <f t="array" ref="F558">CHOOSE(GetCSVIndex(A2,111+5292)+1,"","Station","Block","","Delay")</f>
        <v>#VALUE!</v>
      </c>
      <c r="G558" s="29" t="str" cm="1">
        <f t="array" ref="G558">GetCSVIndex(A2,112+5292)</f>
        <v/>
      </c>
      <c r="H558" s="45" t="str" cm="1">
        <f t="array" ref="H558">GetCSVIndex(A2,276+5292)</f>
        <v/>
      </c>
      <c r="I558" s="29" t="str" cm="1">
        <f t="array" ref="I558">GetCSVIndex(A2,339+5292)</f>
        <v/>
      </c>
      <c r="J558" s="26"/>
      <c r="K558" s="45">
        <v>58</v>
      </c>
      <c r="L558" s="29" t="e" cm="1">
        <f t="array" ref="L558">CHOOSE(GetCSVIndex(A2,207+5292)+1,"","Station","Block","","Delay")</f>
        <v>#VALUE!</v>
      </c>
      <c r="M558" s="29" t="str" cm="1">
        <f t="array" ref="M558">GetCSVIndex(A2,208+5292)</f>
        <v/>
      </c>
      <c r="N558" s="27" t="str" cm="1">
        <f t="array" ref="N558">GetCSVIndex(A2,308+5292)</f>
        <v/>
      </c>
      <c r="O558" s="43" t="str" cm="1">
        <f t="array" ref="O558">GetCSVIndex(A2,371+5292)</f>
        <v/>
      </c>
    </row>
    <row r="559" spans="1:15" ht="21" customHeight="1" x14ac:dyDescent="0.25">
      <c r="A559" s="42"/>
      <c r="B559" s="25"/>
      <c r="C559" s="25"/>
      <c r="D559" s="26"/>
      <c r="E559" s="45">
        <v>27</v>
      </c>
      <c r="F559" s="29" t="e" cm="1">
        <f t="array" ref="F559">CHOOSE(GetCSVIndex(A2,114+5292)+1,"","Station","Block","","Delay")</f>
        <v>#VALUE!</v>
      </c>
      <c r="G559" s="29" t="str" cm="1">
        <f t="array" ref="G559">GetCSVIndex(A2,115+5292)</f>
        <v/>
      </c>
      <c r="H559" s="45" t="str" cm="1">
        <f t="array" ref="H559">GetCSVIndex(A2,277+5292)</f>
        <v/>
      </c>
      <c r="I559" s="29" t="str" cm="1">
        <f t="array" ref="I559">GetCSVIndex(A2,340+5292)</f>
        <v/>
      </c>
      <c r="J559" s="26"/>
      <c r="K559" s="45">
        <v>59</v>
      </c>
      <c r="L559" s="29" t="e" cm="1">
        <f t="array" ref="L559">CHOOSE(GetCSVIndex(A2,210+5292)+1,"","Station","Block","","Delay")</f>
        <v>#VALUE!</v>
      </c>
      <c r="M559" s="29" t="str" cm="1">
        <f t="array" ref="M559">GetCSVIndex(A2,211+5292)</f>
        <v/>
      </c>
      <c r="N559" s="27" t="str" cm="1">
        <f t="array" ref="N559">GetCSVIndex(A2,309+5292)</f>
        <v/>
      </c>
      <c r="O559" s="43" t="str" cm="1">
        <f t="array" ref="O559">GetCSVIndex(A2,372+5292)</f>
        <v/>
      </c>
    </row>
    <row r="560" spans="1:15" ht="21" customHeight="1" x14ac:dyDescent="0.25">
      <c r="A560" s="42"/>
      <c r="B560" s="25"/>
      <c r="C560" s="25"/>
      <c r="D560" s="26"/>
      <c r="E560" s="45">
        <v>28</v>
      </c>
      <c r="F560" s="29" t="e" cm="1">
        <f t="array" ref="F560">CHOOSE(GetCSVIndex(A2,117+5292)+1,"","Station","Block","","Delay")</f>
        <v>#VALUE!</v>
      </c>
      <c r="G560" s="29" t="str" cm="1">
        <f t="array" ref="G560">GetCSVIndex(A2,118+5292)</f>
        <v/>
      </c>
      <c r="H560" s="45" t="str" cm="1">
        <f t="array" ref="H560">GetCSVIndex(A2,278+5292)</f>
        <v/>
      </c>
      <c r="I560" s="29" t="str" cm="1">
        <f t="array" ref="I560">GetCSVIndex(A2,341+5292)</f>
        <v/>
      </c>
      <c r="J560" s="26"/>
      <c r="K560" s="45">
        <v>60</v>
      </c>
      <c r="L560" s="29" t="e" cm="1">
        <f t="array" ref="L560">CHOOSE(GetCSVIndex(A2,213+5292)+1,"","Station","Block","","Delay")</f>
        <v>#VALUE!</v>
      </c>
      <c r="M560" s="29" t="str" cm="1">
        <f t="array" ref="M560">GetCSVIndex(A2,214+5292)</f>
        <v/>
      </c>
      <c r="N560" s="27" t="str" cm="1">
        <f t="array" ref="N560">GetCSVIndex(A2,310+5292)</f>
        <v/>
      </c>
      <c r="O560" s="43" t="str" cm="1">
        <f t="array" ref="O560">GetCSVIndex(A2,373+5292)</f>
        <v/>
      </c>
    </row>
    <row r="561" spans="1:15" ht="21" customHeight="1" x14ac:dyDescent="0.25">
      <c r="A561" s="42"/>
      <c r="B561" s="25"/>
      <c r="C561" s="25"/>
      <c r="D561" s="26"/>
      <c r="E561" s="45">
        <v>29</v>
      </c>
      <c r="F561" s="29" t="e" cm="1">
        <f t="array" ref="F561">CHOOSE(GetCSVIndex(A2,120+5292)+1,"","Station","Block","","Delay")</f>
        <v>#VALUE!</v>
      </c>
      <c r="G561" s="29" t="str" cm="1">
        <f t="array" ref="G561">GetCSVIndex(A2,121+5292)</f>
        <v/>
      </c>
      <c r="H561" s="45" t="str" cm="1">
        <f t="array" ref="H561">GetCSVIndex(A2,279+5292)</f>
        <v/>
      </c>
      <c r="I561" s="29" t="str" cm="1">
        <f t="array" ref="I561">GetCSVIndex(A2,342+5292)</f>
        <v/>
      </c>
      <c r="J561" s="26"/>
      <c r="K561" s="45">
        <v>61</v>
      </c>
      <c r="L561" s="29" t="e" cm="1">
        <f t="array" ref="L561">CHOOSE(GetCSVIndex(A2,216+5292)+1,"","Station","Block","","Delay")</f>
        <v>#VALUE!</v>
      </c>
      <c r="M561" s="29" t="str" cm="1">
        <f t="array" ref="M561">GetCSVIndex(A2,217+5292)</f>
        <v/>
      </c>
      <c r="N561" s="27" t="str" cm="1">
        <f t="array" ref="N561">GetCSVIndex(A2,311+5292)</f>
        <v/>
      </c>
      <c r="O561" s="43" t="str" cm="1">
        <f t="array" ref="O561">GetCSVIndex(A2,374+5292)</f>
        <v/>
      </c>
    </row>
    <row r="562" spans="1:15" ht="21" customHeight="1" x14ac:dyDescent="0.25">
      <c r="A562" s="42"/>
      <c r="B562" s="25"/>
      <c r="C562" s="25"/>
      <c r="D562" s="26"/>
      <c r="E562" s="45">
        <v>30</v>
      </c>
      <c r="F562" s="29" t="e" cm="1">
        <f t="array" ref="F562">CHOOSE(GetCSVIndex(A2,123+5292)+1,"","Station","Block","","Delay")</f>
        <v>#VALUE!</v>
      </c>
      <c r="G562" s="29" t="str" cm="1">
        <f t="array" ref="G562">GetCSVIndex(A2,124+5292)</f>
        <v/>
      </c>
      <c r="H562" s="45" t="str" cm="1">
        <f t="array" ref="H562">GetCSVIndex(A2,280+5292)</f>
        <v/>
      </c>
      <c r="I562" s="29" t="str" cm="1">
        <f t="array" ref="I562">GetCSVIndex(A2,343+5292)</f>
        <v/>
      </c>
      <c r="J562" s="26"/>
      <c r="K562" s="45">
        <v>62</v>
      </c>
      <c r="L562" s="29" t="e" cm="1">
        <f t="array" ref="L562">CHOOSE(GetCSVIndex(A2,219+5292)+1,"","Station","Block","","Delay")</f>
        <v>#VALUE!</v>
      </c>
      <c r="M562" s="29" t="str" cm="1">
        <f t="array" ref="M562">GetCSVIndex(A2,220+5292)</f>
        <v/>
      </c>
      <c r="N562" s="27" t="str" cm="1">
        <f t="array" ref="N562">GetCSVIndex(A2,312+5292)</f>
        <v/>
      </c>
      <c r="O562" s="43" t="str" cm="1">
        <f t="array" ref="O562">GetCSVIndex(A2,375+5292)</f>
        <v/>
      </c>
    </row>
    <row r="563" spans="1:15" ht="21" customHeight="1" x14ac:dyDescent="0.25">
      <c r="A563" s="42"/>
      <c r="B563" s="25"/>
      <c r="C563" s="25"/>
      <c r="D563" s="26"/>
      <c r="E563" s="45">
        <v>31</v>
      </c>
      <c r="F563" s="29" t="e" cm="1">
        <f t="array" ref="F563">CHOOSE(GetCSVIndex(A2,126+5292)+1,"","Station","Block","","Delay")</f>
        <v>#VALUE!</v>
      </c>
      <c r="G563" s="29" t="str" cm="1">
        <f t="array" ref="G563">GetCSVIndex(A2,127+5292)</f>
        <v/>
      </c>
      <c r="H563" s="45" t="str" cm="1">
        <f t="array" ref="H563">GetCSVIndex(A2,281+5292)</f>
        <v/>
      </c>
      <c r="I563" s="29" t="str" cm="1">
        <f t="array" ref="I563">GetCSVIndex(A2,344+5292)</f>
        <v/>
      </c>
      <c r="J563" s="26"/>
      <c r="K563" s="45">
        <v>63</v>
      </c>
      <c r="L563" s="29" t="e" cm="1">
        <f t="array" ref="L563">CHOOSE(GetCSVIndex(A2,222+5292)+1,"","Station","Block","","Delay")</f>
        <v>#VALUE!</v>
      </c>
      <c r="M563" s="29" t="str" cm="1">
        <f t="array" ref="M563">GetCSVIndex(A2,223+5292)</f>
        <v/>
      </c>
      <c r="N563" s="27" t="str" cm="1">
        <f t="array" ref="N563">GetCSVIndex(A2,313+5292)</f>
        <v/>
      </c>
      <c r="O563" s="43" t="str" cm="1">
        <f t="array" ref="O563">GetCSVIndex(A2,376+5292)</f>
        <v/>
      </c>
    </row>
    <row r="564" spans="1:15" ht="21" customHeight="1" x14ac:dyDescent="0.25">
      <c r="A564" s="37"/>
      <c r="B564" s="28"/>
      <c r="C564" s="29"/>
      <c r="D564" s="29"/>
      <c r="E564" s="45">
        <v>32</v>
      </c>
      <c r="F564" s="29" t="e" cm="1">
        <f t="array" ref="F564">CHOOSE(GetCSVIndex(A2,129+5292)+1,"","Station","Block","","Delay")</f>
        <v>#VALUE!</v>
      </c>
      <c r="G564" s="29" t="str" cm="1">
        <f t="array" ref="G564">GetCSVIndex(A2,130+5292)</f>
        <v/>
      </c>
      <c r="H564" s="45" t="str" cm="1">
        <f t="array" ref="H564">GetCSVIndex(A2,282+5292)</f>
        <v/>
      </c>
      <c r="I564" s="29" t="str" cm="1">
        <f t="array" ref="I564">GetCSVIndex(A2,345+5292)</f>
        <v/>
      </c>
      <c r="J564" s="29"/>
      <c r="K564" s="45">
        <v>64</v>
      </c>
      <c r="L564" s="29" t="e" cm="1">
        <f t="array" ref="L564">CHOOSE(GetCSVIndex(A2,225+5292)+1,"","Station","Block","","Delay")</f>
        <v>#VALUE!</v>
      </c>
      <c r="M564" s="29" t="str" cm="1">
        <f t="array" ref="M564">GetCSVIndex(A2,226+5292)</f>
        <v/>
      </c>
      <c r="N564" s="27" t="str" cm="1">
        <f t="array" ref="N564">GetCSVIndex(A2,314+5292)</f>
        <v/>
      </c>
      <c r="O564" s="43" t="str" cm="1">
        <f t="array" ref="O564">GetCSVIndex(A2,377+5292)</f>
        <v/>
      </c>
    </row>
    <row r="565" spans="1:15" ht="23.25" customHeight="1" x14ac:dyDescent="0.25">
      <c r="A565" s="51" t="str" cm="1">
        <f t="array" ref="A565">CONCATENATE("Schedule  Program Number : ", GetCSVIndex(A2,5+5670))</f>
        <v xml:space="preserve">Schedule  Program Number : </v>
      </c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3"/>
    </row>
    <row r="566" spans="1:15" ht="21" customHeight="1" x14ac:dyDescent="0.25">
      <c r="A566" s="20" t="s">
        <v>44</v>
      </c>
      <c r="B566" s="22" t="str" cm="1">
        <f t="array" ref="B566">GetCSVIndex(A2,5+5670)</f>
        <v/>
      </c>
      <c r="C566" s="18"/>
      <c r="D566" s="18"/>
      <c r="E566" s="18"/>
      <c r="F566" s="18"/>
      <c r="G566" s="18" t="s">
        <v>19</v>
      </c>
      <c r="H566" s="18" t="e" cm="1">
        <f t="array" ref="H566">CHOOSE(GetCSVIndex(A2,7+5670)+1, "Days of Week", "Odd/Even", "Interval","Manual")</f>
        <v>#VALUE!</v>
      </c>
      <c r="I566" s="18"/>
      <c r="J566" s="15"/>
      <c r="K566" s="15"/>
      <c r="L566" s="15"/>
      <c r="M566" s="15"/>
      <c r="N566" s="15"/>
      <c r="O566" s="16"/>
    </row>
    <row r="567" spans="1:15" ht="18" customHeight="1" x14ac:dyDescent="0.25">
      <c r="A567" s="21" t="s">
        <v>20</v>
      </c>
      <c r="B567" s="19" t="e" cm="1">
        <f t="array" ref="B567">CHOOSE(GetCSVIndex(A2,24+5670)+1, "Program", "Global", "Monthly","Solar Sync")</f>
        <v>#VALUE!</v>
      </c>
      <c r="C567" s="19"/>
      <c r="D567" s="19"/>
      <c r="E567" s="19"/>
      <c r="F567" s="19" t="s">
        <v>21</v>
      </c>
      <c r="G567" s="19" t="e" cm="1">
        <f t="array" ref="G567">IF(CHOOSE(GetCSVIndex(A2,7+5670)+1,IF(_xlfn.BITAND(GetCSVIndex(A2,8+5670), 2^0)=0, 0, 1),IF(_xlfn.BITAND(GetCSVIndex(A2,9+5670), 2^0)=0, 0, 1),IF(_xlfn.BITAND(GetCSVIndex(A2,10+5670), 2^0)=0, 0, 1)) =1,"Mon","")</f>
        <v>#VALUE!</v>
      </c>
      <c r="H567" s="19" t="e" cm="1">
        <f t="array" ref="H567">CONCATENATE(IF(CHOOSE(GetCSVIndex(A2,7+5670)+1,IF(_xlfn.BITAND(GetCSVIndex(A2,8+5670), 2^1)=0, 0, 1),IF(_xlfn.BITAND(GetCSVIndex(A2,9+5670), 2^1)=0, 0, 1),IF(_xlfn.BITAND(GetCSVIndex(A2,10+5670), 2^1)=0, 0, 1)) =1,"Tue       ","       "),IF(CHOOSE(GetCSVIndex(A2,7+5670)+1,IF(_xlfn.BITAND(GetCSVIndex(A2,8+5670), 2^2)=0, 0, 1),IF(_xlfn.BITAND(GetCSVIndex(A2,9+5670), 2^2)=0, 0, 1),IF(_xlfn.BITAND(GetCSVIndex(A2,10+5670), 2^2)=0, 0, 1)) =1,"Wed",""),IF(CHOOSE(GetCSVIndex(A2,7+5670)+1,IF(_xlfn.BITAND(GetCSVIndex(A2,8+5670), 2^3)=0, 0, 1),IF(_xlfn.BITAND(GetCSVIndex(A2,9+5670), 2^3)=0, 0, 1),IF(_xlfn.BITAND(GetCSVIndex(A2,10+5670), 2^3)=0, 0, 1)) =1,"       Thu","       "))</f>
        <v>#VALUE!</v>
      </c>
      <c r="I567" s="32" t="e" cm="1">
        <f t="array" ref="I567">CONCATENATE(IF(CHOOSE(GetCSVIndex(A2,7+5670)+1,IF(_xlfn.BITAND(GetCSVIndex(A2,8+5670), 2^4)=0, 0, 1),IF(_xlfn.BITAND(GetCSVIndex(A2,9+5670), 2^4)=0, 0, 1),IF(_xlfn.BITAND(GetCSVIndex(A2,10+5670), 2^4)=0, 0, 1)) =1,"Fri       ","       "),IF(CHOOSE(GetCSVIndex(A2,7+5670)+1,IF(_xlfn.BITAND(GetCSVIndex(A2,8+5670), 2^5)=0, 0, 1),IF(_xlfn.BITAND(GetCSVIndex(A2,9+5670), 2^5)=0, 0, 1),IF(_xlfn.BITAND(GetCSVIndex(A2,10+5670), 2^5)=0, 0, 1)) =1,"Sat",""),IF(CHOOSE(GetCSVIndex(A2,7+5670)+1,IF(_xlfn.BITAND(GetCSVIndex(A2,8+5670), 2^6)=0, 0, 1),IF(_xlfn.BITAND(GetCSVIndex(A2,9+5670), 2^6)=0, 0, 1),IF(_xlfn.BITAND(GetCSVIndex(A2,10+5670), 2^6)=0, 0, 1)) =1,"       Sun","       "))</f>
        <v>#VALUE!</v>
      </c>
      <c r="J567" s="19"/>
      <c r="K567" s="19"/>
      <c r="L567" s="32" t="s">
        <v>22</v>
      </c>
      <c r="M567" s="19"/>
      <c r="N567" s="19" t="str" cm="1">
        <f t="array" ref="N567">IF(GetCSVIndex(A2,26+5670)="1","Enable","Disable")</f>
        <v>Disable</v>
      </c>
      <c r="O567" s="24"/>
    </row>
    <row r="568" spans="1:15" ht="18" customHeight="1" x14ac:dyDescent="0.25">
      <c r="A568" s="21" t="str" cm="1">
        <f t="array" ref="A568">CONCATENATE("Program ", GetCSVIndex(A2,5+5670))</f>
        <v xml:space="preserve">Program </v>
      </c>
      <c r="B568" s="23" t="str" cm="1">
        <f t="array" ref="B568">CONCATENATE(GetCSVIndex(A2,25+5670)," %")</f>
        <v xml:space="preserve"> %</v>
      </c>
      <c r="C568" s="19"/>
      <c r="D568" s="19"/>
      <c r="E568" s="19"/>
      <c r="F568" s="19" t="str" cm="1">
        <f t="array" ref="F568">IF(GetCSVIndex(A2,7)="2","Water Every"," ")</f>
        <v xml:space="preserve"> </v>
      </c>
      <c r="G568" s="47" t="str" cm="1">
        <f t="array" ref="G568">IF(GetCSVIndex(A2,7+5670)="2",GetCSVIndex(A2,11+5670)," ")</f>
        <v xml:space="preserve"> </v>
      </c>
      <c r="H568" s="19" t="str" cm="1">
        <f t="array" ref="H568">IF(GetCSVIndex(A2,7+5670)="2","Days"," ")</f>
        <v xml:space="preserve"> </v>
      </c>
      <c r="I568" s="32" t="str" cm="1">
        <f t="array" ref="I568">IF(GetCSVIndex(A2,7+5670)="2","Water After"," ")</f>
        <v xml:space="preserve"> </v>
      </c>
      <c r="J568" s="19"/>
      <c r="K568" s="19" t="str" cm="1">
        <f t="array" ref="K568">IF(GetCSVIndex(A2,7+5670)="2",GetCSVIndex(A2,12+5670)," ")</f>
        <v xml:space="preserve"> </v>
      </c>
      <c r="L568" s="47" t="str" cm="1">
        <f t="array" ref="L568">IF(GetCSVIndex(A2,7+5670)="2","Days"," ")</f>
        <v xml:space="preserve"> </v>
      </c>
      <c r="M568" s="32"/>
      <c r="N568" s="32"/>
      <c r="O568" s="24"/>
    </row>
    <row r="569" spans="1:15" ht="21" customHeight="1" x14ac:dyDescent="0.25">
      <c r="A569" s="20" t="s">
        <v>23</v>
      </c>
      <c r="B569" s="18" t="s">
        <v>24</v>
      </c>
      <c r="C569" s="18" t="str" cm="1">
        <f t="array" ref="C569">CHOOSE(GetCSVIndex(A2,13)+1, "Auto", "Start to End","Manual")</f>
        <v>Start to End</v>
      </c>
      <c r="D569" s="31"/>
      <c r="E569" s="17" t="s">
        <v>38</v>
      </c>
      <c r="F569" s="18" t="s">
        <v>39</v>
      </c>
      <c r="G569" s="18" t="s">
        <v>40</v>
      </c>
      <c r="H569" s="18" t="s">
        <v>41</v>
      </c>
      <c r="I569" s="18" t="s">
        <v>43</v>
      </c>
      <c r="J569" s="31"/>
      <c r="K569" s="17" t="s">
        <v>38</v>
      </c>
      <c r="L569" s="18" t="s">
        <v>39</v>
      </c>
      <c r="M569" s="18" t="s">
        <v>40</v>
      </c>
      <c r="N569" s="22" t="s">
        <v>41</v>
      </c>
      <c r="O569" s="44" t="s">
        <v>42</v>
      </c>
    </row>
    <row r="570" spans="1:15" ht="21" customHeight="1" x14ac:dyDescent="0.25">
      <c r="A570" s="36" t="s">
        <v>25</v>
      </c>
      <c r="B570" s="46" t="str" cm="1">
        <f t="array" ref="B570">IF(GetCSVIndex(A2,6+5670)="1","Over","Stack")</f>
        <v>Stack</v>
      </c>
      <c r="C570" s="26" t="str" cm="1">
        <f t="array" ref="C570">GetCSVIndex(A2,29+5670)</f>
        <v/>
      </c>
      <c r="D570" s="25"/>
      <c r="E570" s="45">
        <v>1</v>
      </c>
      <c r="F570" s="29" t="e" cm="1">
        <f t="array" ref="F570">CHOOSE(GetCSVIndex(A2,36+5670)+1,"","Station","Block","","Delay")</f>
        <v>#VALUE!</v>
      </c>
      <c r="G570" s="29" t="str" cm="1">
        <f t="array" ref="G570">GetCSVIndex(A2,37+5670)</f>
        <v/>
      </c>
      <c r="H570" s="45" t="str" cm="1">
        <f t="array" ref="H570">GetCSVIndex(A2,3+5670)</f>
        <v/>
      </c>
      <c r="I570" s="29" t="str" cm="1">
        <f t="array" ref="I570">GetCSVIndex(A2,1+5670)</f>
        <v/>
      </c>
      <c r="J570" s="25"/>
      <c r="K570" s="45">
        <v>33</v>
      </c>
      <c r="L570" s="29" t="e" cm="1">
        <f t="array" ref="L570">CHOOSE(GetCSVIndex(A2,132+5670)+1,"","Station","Block","","Delay")</f>
        <v>#VALUE!</v>
      </c>
      <c r="M570" s="29" t="str" cm="1">
        <f t="array" ref="M570">GetCSVIndex(A2,133+5670)</f>
        <v/>
      </c>
      <c r="N570" s="27" t="str" cm="1">
        <f t="array" ref="N570">GetCSVIndex(A2,283+5670)</f>
        <v/>
      </c>
      <c r="O570" s="43" t="str" cm="1">
        <f t="array" ref="O570">GetCSVIndex(A2,346+5670)</f>
        <v/>
      </c>
    </row>
    <row r="571" spans="1:15" ht="21" customHeight="1" x14ac:dyDescent="0.25">
      <c r="A571" s="36" t="s">
        <v>26</v>
      </c>
      <c r="B571" s="25" t="str" cm="1">
        <f t="array" ref="B571">IF(GetCSVIndex(A2,2+5670)="1092:15","Not Set",CONCATENATE("From     ",GetCSVIndex(A2,2+5670)))</f>
        <v xml:space="preserve">From     </v>
      </c>
      <c r="C571" s="26" t="str" cm="1">
        <f t="array" ref="C571">IF(GetCSVIndex(C4,1+30)="1092:15","Not Set",CONCATENATE("To     ",GetCSVIndex(C4,1+30)))</f>
        <v xml:space="preserve">To     </v>
      </c>
      <c r="D571" s="25"/>
      <c r="E571" s="45">
        <v>2</v>
      </c>
      <c r="F571" s="29" t="e" cm="1">
        <f t="array" ref="F571">CHOOSE(GetCSVIndex(A2,39+5670)+1,"","Station","Block","","Delay")</f>
        <v>#VALUE!</v>
      </c>
      <c r="G571" s="29" t="str" cm="1">
        <f t="array" ref="G571">GetCSVIndex(A2,40+5670)</f>
        <v/>
      </c>
      <c r="H571" s="45" t="str" cm="1">
        <f t="array" ref="H571">GetCSVIndex(A2,252+5670)</f>
        <v/>
      </c>
      <c r="I571" s="29" t="str" cm="1">
        <f t="array" ref="I571">GetCSVIndex(A2,315+5670)</f>
        <v/>
      </c>
      <c r="J571" s="25"/>
      <c r="K571" s="45">
        <v>34</v>
      </c>
      <c r="L571" s="29" t="e" cm="1">
        <f t="array" ref="L571">CHOOSE(GetCSVIndex(A2,135+5670)+1,"","Station","Block","","Delay")</f>
        <v>#VALUE!</v>
      </c>
      <c r="M571" s="29" t="str" cm="1">
        <f t="array" ref="M571">GetCSVIndex(A2,136+5670)</f>
        <v/>
      </c>
      <c r="N571" s="27" t="str" cm="1">
        <f t="array" ref="N571">GetCSVIndex(A2,284+5670)</f>
        <v/>
      </c>
      <c r="O571" s="43" t="str" cm="1">
        <f t="array" ref="O571">GetCSVIndex(A2,347+5670)</f>
        <v/>
      </c>
    </row>
    <row r="572" spans="1:15" ht="21" customHeight="1" x14ac:dyDescent="0.25">
      <c r="A572" s="36" t="s">
        <v>27</v>
      </c>
      <c r="B572" s="25"/>
      <c r="C572" s="26" t="str" cm="1">
        <f t="array" ref="C572">CONCATENATE(GetCSVIndex(A2,249+5670),":", GetCSVIndex(A2,250+5670),":", GetCSVIndex(A2,251+5670))</f>
        <v>::</v>
      </c>
      <c r="D572" s="26"/>
      <c r="E572" s="45">
        <v>3</v>
      </c>
      <c r="F572" s="29" t="e" cm="1">
        <f t="array" ref="F572">CHOOSE(GetCSVIndex(A2,42+5670)+1,"","Station","Block","","Delay")</f>
        <v>#VALUE!</v>
      </c>
      <c r="G572" s="29" t="str" cm="1">
        <f t="array" ref="G572">GetCSVIndex(A2,43+5670)</f>
        <v/>
      </c>
      <c r="H572" s="45" t="str" cm="1">
        <f t="array" ref="H572">GetCSVIndex(A2,253+5670)</f>
        <v/>
      </c>
      <c r="I572" s="29" t="str" cm="1">
        <f t="array" ref="I572">GetCSVIndex(A2,316+5670)</f>
        <v/>
      </c>
      <c r="J572" s="25"/>
      <c r="K572" s="45">
        <v>35</v>
      </c>
      <c r="L572" s="29" t="e" cm="1">
        <f t="array" ref="L572">CHOOSE(GetCSVIndex(A2,138+5670)+1,"","Station","Block","","Delay")</f>
        <v>#VALUE!</v>
      </c>
      <c r="M572" s="29" t="str" cm="1">
        <f t="array" ref="M572">GetCSVIndex(A2,139+5670)</f>
        <v/>
      </c>
      <c r="N572" s="27" t="str" cm="1">
        <f t="array" ref="N572">GetCSVIndex(A2,285+5670)</f>
        <v/>
      </c>
      <c r="O572" s="43" t="str" cm="1">
        <f t="array" ref="O572">GetCSVIndex(A2,348+5670)</f>
        <v/>
      </c>
    </row>
    <row r="573" spans="1:15" ht="21" customHeight="1" x14ac:dyDescent="0.25">
      <c r="A573" s="36"/>
      <c r="B573" s="25"/>
      <c r="C573" s="25"/>
      <c r="D573" s="25"/>
      <c r="E573" s="45">
        <v>4</v>
      </c>
      <c r="F573" s="29" t="e" cm="1">
        <f t="array" ref="F573">CHOOSE(GetCSVIndex(A2,45+5670)+1,"","Station","Block","","Delay")</f>
        <v>#VALUE!</v>
      </c>
      <c r="G573" s="29" t="str" cm="1">
        <f t="array" ref="G573">GetCSVIndex(A2,46+5670)</f>
        <v/>
      </c>
      <c r="H573" s="45" t="str" cm="1">
        <f t="array" ref="H573">GetCSVIndex(A2,254+5670)</f>
        <v/>
      </c>
      <c r="I573" s="29" t="str" cm="1">
        <f t="array" ref="I573">GetCSVIndex(A2,317+5670)</f>
        <v/>
      </c>
      <c r="J573" s="25"/>
      <c r="K573" s="45">
        <v>36</v>
      </c>
      <c r="L573" s="29" t="e" cm="1">
        <f t="array" ref="L573">CHOOSE(GetCSVIndex(A2,141+5670)+1,"","Station","Block","","Delay")</f>
        <v>#VALUE!</v>
      </c>
      <c r="M573" s="29" t="str" cm="1">
        <f t="array" ref="M573">GetCSVIndex(A2,142+5670)</f>
        <v/>
      </c>
      <c r="N573" s="27" t="str" cm="1">
        <f t="array" ref="N573">GetCSVIndex(A2,286+5670)</f>
        <v/>
      </c>
      <c r="O573" s="43" t="str" cm="1">
        <f t="array" ref="O573">GetCSVIndex(A2,349+5670)</f>
        <v/>
      </c>
    </row>
    <row r="574" spans="1:15" ht="21" customHeight="1" x14ac:dyDescent="0.25">
      <c r="A574" s="37" t="s">
        <v>28</v>
      </c>
      <c r="B574" s="28"/>
      <c r="C574" s="29" t="str" cm="1">
        <f t="array" ref="C574">IF(GetCSVIndex(A2,14+5670)&lt;&gt;"65535",CONCATENATE(GetCSVIndex(A2,229+5670),":", GetCSVIndex(A2,239+5670)),"OFF")</f>
        <v>:</v>
      </c>
      <c r="D574" s="25"/>
      <c r="E574" s="45">
        <v>5</v>
      </c>
      <c r="F574" s="29" t="e" cm="1">
        <f t="array" ref="F574">CHOOSE(GetCSVIndex(A2,48+5670)+1,"","Station","Block","","Delay")</f>
        <v>#VALUE!</v>
      </c>
      <c r="G574" s="29" t="str" cm="1">
        <f t="array" ref="G574">GetCSVIndex(A2,49+5670)</f>
        <v/>
      </c>
      <c r="H574" s="45" t="str" cm="1">
        <f t="array" ref="H574">GetCSVIndex(A2,255+5670)</f>
        <v/>
      </c>
      <c r="I574" s="29" t="str" cm="1">
        <f t="array" ref="I574">GetCSVIndex(A2,318+5670)</f>
        <v/>
      </c>
      <c r="J574" s="25"/>
      <c r="K574" s="45">
        <v>37</v>
      </c>
      <c r="L574" s="29" t="e" cm="1">
        <f t="array" ref="L574">CHOOSE(GetCSVIndex(A2,144+5670)+1,"","Station","Block","","Delay")</f>
        <v>#VALUE!</v>
      </c>
      <c r="M574" s="29" t="str" cm="1">
        <f t="array" ref="M574">GetCSVIndex(A2,145+5670)</f>
        <v/>
      </c>
      <c r="N574" s="27" t="str" cm="1">
        <f t="array" ref="N574">GetCSVIndex(A2,287+5670)</f>
        <v/>
      </c>
      <c r="O574" s="43" t="str" cm="1">
        <f t="array" ref="O574">GetCSVIndex(A2,350+5670)</f>
        <v/>
      </c>
    </row>
    <row r="575" spans="1:15" ht="21" customHeight="1" x14ac:dyDescent="0.25">
      <c r="A575" s="38" t="s">
        <v>29</v>
      </c>
      <c r="B575" s="30"/>
      <c r="C575" s="29" t="str" cm="1">
        <f t="array" ref="C575">IF(GetCSVIndex(A2,15+5670)&lt;&gt;"65535",CONCATENATE(GetCSVIndex(A2,231+5670),":", GetCSVIndex(A2,241+5670)),"OFF")</f>
        <v>:</v>
      </c>
      <c r="D575" s="25"/>
      <c r="E575" s="45">
        <v>6</v>
      </c>
      <c r="F575" s="29" t="e" cm="1">
        <f t="array" ref="F575">CHOOSE(GetCSVIndex(A2,51+5670)+1,"","Station","Block","","Delay")</f>
        <v>#VALUE!</v>
      </c>
      <c r="G575" s="29" t="str" cm="1">
        <f t="array" ref="G575">GetCSVIndex(A2,52+5670)</f>
        <v/>
      </c>
      <c r="H575" s="45" t="str" cm="1">
        <f t="array" ref="H575">GetCSVIndex(A2,256+5670)</f>
        <v/>
      </c>
      <c r="I575" s="29" t="str" cm="1">
        <f t="array" ref="I575">GetCSVIndex(A2,319+5670)</f>
        <v/>
      </c>
      <c r="J575" s="25"/>
      <c r="K575" s="45">
        <v>38</v>
      </c>
      <c r="L575" s="29" t="e" cm="1">
        <f t="array" ref="L575">CHOOSE(GetCSVIndex(A2,147+5670)+1,"","Station","Block","","Delay")</f>
        <v>#VALUE!</v>
      </c>
      <c r="M575" s="29" t="str" cm="1">
        <f t="array" ref="M575">GetCSVIndex(A2,148+5670)</f>
        <v/>
      </c>
      <c r="N575" s="27" t="str" cm="1">
        <f t="array" ref="N575">GetCSVIndex(A2,288+5670)</f>
        <v/>
      </c>
      <c r="O575" s="43" t="str" cm="1">
        <f t="array" ref="O575">GetCSVIndex(A2,351+5670)</f>
        <v/>
      </c>
    </row>
    <row r="576" spans="1:15" ht="21" customHeight="1" x14ac:dyDescent="0.25">
      <c r="A576" s="38" t="s">
        <v>30</v>
      </c>
      <c r="B576" s="30"/>
      <c r="C576" s="29" t="str" cm="1">
        <f t="array" ref="C576">IF(GetCSVIndex(A2,16+5670)&lt;&gt;"65535",CONCATENATE(GetCSVIndex(A2,232+5670),":", GetCSVIndex(A2,242+5670)),"OFF")</f>
        <v>:</v>
      </c>
      <c r="D576" s="25"/>
      <c r="E576" s="45">
        <v>7</v>
      </c>
      <c r="F576" s="29" t="e" cm="1">
        <f t="array" ref="F576">CHOOSE(GetCSVIndex(A2,54+5670)+1,"","Station","Block","","Delay")</f>
        <v>#VALUE!</v>
      </c>
      <c r="G576" s="29" t="str" cm="1">
        <f t="array" ref="G576">GetCSVIndex(A2,55+5670)</f>
        <v/>
      </c>
      <c r="H576" s="45" t="str" cm="1">
        <f t="array" ref="H576">GetCSVIndex(A2,257+5670)</f>
        <v/>
      </c>
      <c r="I576" s="29" t="str" cm="1">
        <f t="array" ref="I576">GetCSVIndex(A2,320+5670)</f>
        <v/>
      </c>
      <c r="J576" s="25"/>
      <c r="K576" s="45">
        <v>39</v>
      </c>
      <c r="L576" s="29" t="e" cm="1">
        <f t="array" ref="L576">CHOOSE(GetCSVIndex(A2,150+5670)+1,"","Station","Block","","Delay")</f>
        <v>#VALUE!</v>
      </c>
      <c r="M576" s="29" t="str" cm="1">
        <f t="array" ref="M576">GetCSVIndex(A2,151+5670)</f>
        <v/>
      </c>
      <c r="N576" s="27" t="str" cm="1">
        <f t="array" ref="N576">GetCSVIndex(A2,289+5670)</f>
        <v/>
      </c>
      <c r="O576" s="43" t="str" cm="1">
        <f t="array" ref="O576">GetCSVIndex(A2,352+5670)</f>
        <v/>
      </c>
    </row>
    <row r="577" spans="1:15" ht="21" customHeight="1" x14ac:dyDescent="0.25">
      <c r="A577" s="38" t="s">
        <v>31</v>
      </c>
      <c r="B577" s="30"/>
      <c r="C577" s="29" t="str" cm="1">
        <f t="array" ref="C577">IF(GetCSVIndex(A2,17+5670)&lt;&gt;"65535",CONCATENATE(GetCSVIndex(A2,233+5670),":", GetCSVIndex(A2,243+5670)),"OFF")</f>
        <v>:</v>
      </c>
      <c r="D577" s="25"/>
      <c r="E577" s="45">
        <v>8</v>
      </c>
      <c r="F577" s="29" t="e" cm="1">
        <f t="array" ref="F577">CHOOSE(GetCSVIndex(A2,57+5670)+1,"","Station","Block","","Delay")</f>
        <v>#VALUE!</v>
      </c>
      <c r="G577" s="29" t="str" cm="1">
        <f t="array" ref="G577">GetCSVIndex(A2,58+5670)</f>
        <v/>
      </c>
      <c r="H577" s="45" t="str" cm="1">
        <f t="array" ref="H577">GetCSVIndex(A2,258+5670)</f>
        <v/>
      </c>
      <c r="I577" s="29" t="str" cm="1">
        <f t="array" ref="I577">GetCSVIndex(A2,321+5670)</f>
        <v/>
      </c>
      <c r="J577" s="25"/>
      <c r="K577" s="45">
        <v>40</v>
      </c>
      <c r="L577" s="29" t="e" cm="1">
        <f t="array" ref="L577">CHOOSE(GetCSVIndex(A2,153+5670)+1,"","Station","Block","","Delay")</f>
        <v>#VALUE!</v>
      </c>
      <c r="M577" s="29" t="str" cm="1">
        <f t="array" ref="M577">GetCSVIndex(A2,154+5670)</f>
        <v/>
      </c>
      <c r="N577" s="27" t="str" cm="1">
        <f t="array" ref="N577">GetCSVIndex(A2,290+5670)</f>
        <v/>
      </c>
      <c r="O577" s="43" t="str" cm="1">
        <f t="array" ref="O577">GetCSVIndex(A2,353+5670)</f>
        <v/>
      </c>
    </row>
    <row r="578" spans="1:15" ht="21" customHeight="1" x14ac:dyDescent="0.25">
      <c r="A578" s="38" t="s">
        <v>32</v>
      </c>
      <c r="B578" s="30"/>
      <c r="C578" s="29" t="str" cm="1">
        <f t="array" ref="C578">IF(GetCSVIndex(A2,18+5670)&lt;&gt;"65535",CONCATENATE(GetCSVIndex(A2,234+5670),":", GetCSVIndex(A2,244+5670)),"OFF")</f>
        <v>:</v>
      </c>
      <c r="D578" s="25"/>
      <c r="E578" s="45">
        <v>9</v>
      </c>
      <c r="F578" s="29" t="e" cm="1">
        <f t="array" ref="F578">CHOOSE(GetCSVIndex(A2,60+5670)+1,"","Station","Block","","Delay")</f>
        <v>#VALUE!</v>
      </c>
      <c r="G578" s="29" t="str" cm="1">
        <f t="array" ref="G578">GetCSVIndex(A2,61+5670)</f>
        <v/>
      </c>
      <c r="H578" s="45" t="str" cm="1">
        <f t="array" ref="H578">GetCSVIndex(A2,259+5670)</f>
        <v/>
      </c>
      <c r="I578" s="29" t="str" cm="1">
        <f t="array" ref="I578">GetCSVIndex(A2,322+5670)</f>
        <v/>
      </c>
      <c r="J578" s="25"/>
      <c r="K578" s="45">
        <v>41</v>
      </c>
      <c r="L578" s="29" t="e" cm="1">
        <f t="array" ref="L578">CHOOSE(GetCSVIndex(A2,156+5670)+1,"","Station","Block","","Delay")</f>
        <v>#VALUE!</v>
      </c>
      <c r="M578" s="29" t="str" cm="1">
        <f t="array" ref="M578">GetCSVIndex(A2,157+5670)</f>
        <v/>
      </c>
      <c r="N578" s="27" t="str" cm="1">
        <f t="array" ref="N578">GetCSVIndex(A2,291+5670)</f>
        <v/>
      </c>
      <c r="O578" s="43" t="str" cm="1">
        <f t="array" ref="O578">GetCSVIndex(A2,354+5670)</f>
        <v/>
      </c>
    </row>
    <row r="579" spans="1:15" ht="21" customHeight="1" x14ac:dyDescent="0.25">
      <c r="A579" s="38" t="s">
        <v>33</v>
      </c>
      <c r="B579" s="30"/>
      <c r="C579" s="29" t="str" cm="1">
        <f t="array" ref="C579">IF(GetCSVIndex(A2,19+5670)&lt;&gt;"65535",CONCATENATE(GetCSVIndex(A2,235+5670),":", GetCSVIndex(A2,245+5670)),"OFF")</f>
        <v>:</v>
      </c>
      <c r="D579" s="25"/>
      <c r="E579" s="45">
        <v>10</v>
      </c>
      <c r="F579" s="29" t="e" cm="1">
        <f t="array" ref="F579">CHOOSE(GetCSVIndex(A2,63+5670)+1,"","Station","Block","","Delay")</f>
        <v>#VALUE!</v>
      </c>
      <c r="G579" s="29" t="str" cm="1">
        <f t="array" ref="G579">GetCSVIndex(A2,64+5670)</f>
        <v/>
      </c>
      <c r="H579" s="45" t="str" cm="1">
        <f t="array" ref="H579">GetCSVIndex(A2,260+5670)</f>
        <v/>
      </c>
      <c r="I579" s="29" t="str" cm="1">
        <f t="array" ref="I579">GetCSVIndex(A2,323+5670)</f>
        <v/>
      </c>
      <c r="J579" s="25"/>
      <c r="K579" s="45">
        <v>42</v>
      </c>
      <c r="L579" s="29" t="e" cm="1">
        <f t="array" ref="L579">CHOOSE(GetCSVIndex(A2,159+5670)+1,"","Station","Block","","Delay")</f>
        <v>#VALUE!</v>
      </c>
      <c r="M579" s="29" t="str" cm="1">
        <f t="array" ref="M579">GetCSVIndex(A2,160+5670)</f>
        <v/>
      </c>
      <c r="N579" s="27" t="str" cm="1">
        <f t="array" ref="N579">GetCSVIndex(A2,292+5670)</f>
        <v/>
      </c>
      <c r="O579" s="43" t="str" cm="1">
        <f t="array" ref="O579">GetCSVIndex(A2,355+5670)</f>
        <v/>
      </c>
    </row>
    <row r="580" spans="1:15" ht="21" customHeight="1" x14ac:dyDescent="0.25">
      <c r="A580" s="38" t="s">
        <v>34</v>
      </c>
      <c r="B580" s="30"/>
      <c r="C580" s="29" t="str" cm="1">
        <f t="array" ref="C580">IF(GetCSVIndex(A2,20+5670)&lt;&gt;"65535",CONCATENATE(GetCSVIndex(A2,236+5670),":", GetCSVIndex(A2,246+5670)),"OFF")</f>
        <v>:</v>
      </c>
      <c r="D580" s="25"/>
      <c r="E580" s="45">
        <v>11</v>
      </c>
      <c r="F580" s="29" t="e" cm="1">
        <f t="array" ref="F580">CHOOSE(GetCSVIndex(A2,66+5670)+1,"","Station","Block","","Delay")</f>
        <v>#VALUE!</v>
      </c>
      <c r="G580" s="29" t="str" cm="1">
        <f t="array" ref="G580">GetCSVIndex(A2,67+5670)</f>
        <v/>
      </c>
      <c r="H580" s="45" t="str" cm="1">
        <f t="array" ref="H580">GetCSVIndex(A2,261+5670)</f>
        <v/>
      </c>
      <c r="I580" s="29" t="str" cm="1">
        <f t="array" ref="I580">GetCSVIndex(A2,324+5670)</f>
        <v/>
      </c>
      <c r="J580" s="25"/>
      <c r="K580" s="45">
        <v>43</v>
      </c>
      <c r="L580" s="29" t="e" cm="1">
        <f t="array" ref="L580">CHOOSE(GetCSVIndex(A2,162+5670)+1,"","Station","Block","","Delay")</f>
        <v>#VALUE!</v>
      </c>
      <c r="M580" s="29" t="str" cm="1">
        <f t="array" ref="M580">GetCSVIndex(A2,163+5670)</f>
        <v/>
      </c>
      <c r="N580" s="27" t="str" cm="1">
        <f t="array" ref="N580">GetCSVIndex(A2,293+5670)</f>
        <v/>
      </c>
      <c r="O580" s="43" t="str" cm="1">
        <f t="array" ref="O580">GetCSVIndex(A2,356+5670)</f>
        <v/>
      </c>
    </row>
    <row r="581" spans="1:15" ht="21" customHeight="1" x14ac:dyDescent="0.25">
      <c r="A581" s="38" t="s">
        <v>35</v>
      </c>
      <c r="B581" s="30"/>
      <c r="C581" s="29" t="str" cm="1">
        <f t="array" ref="C581">IF(GetCSVIndex(A2,21+5670)&lt;&gt;"65535",CONCATENATE(GetCSVIndex(A2,237+5670),":", GetCSVIndex(A2,247+5670)),"OFF")</f>
        <v>:</v>
      </c>
      <c r="D581" s="25"/>
      <c r="E581" s="45">
        <v>12</v>
      </c>
      <c r="F581" s="29" t="e" cm="1">
        <f t="array" ref="F581">CHOOSE(GetCSVIndex(A2,69+5670)+1,"","Station","Block","","Delay")</f>
        <v>#VALUE!</v>
      </c>
      <c r="G581" s="29" t="str" cm="1">
        <f t="array" ref="G581">GetCSVIndex(A2,70+5670)</f>
        <v/>
      </c>
      <c r="H581" s="45" t="str" cm="1">
        <f t="array" ref="H581">GetCSVIndex(A2,262+5670)</f>
        <v/>
      </c>
      <c r="I581" s="29" t="str" cm="1">
        <f t="array" ref="I581">GetCSVIndex(A2,325+5670)</f>
        <v/>
      </c>
      <c r="J581" s="25"/>
      <c r="K581" s="45">
        <v>44</v>
      </c>
      <c r="L581" s="29" t="e" cm="1">
        <f t="array" ref="L581">CHOOSE(GetCSVIndex(A2,165+5670)+1,"","Station","Block","","Delay")</f>
        <v>#VALUE!</v>
      </c>
      <c r="M581" s="29" t="str" cm="1">
        <f t="array" ref="M581">GetCSVIndex(A2,166+5670)</f>
        <v/>
      </c>
      <c r="N581" s="27" t="str" cm="1">
        <f t="array" ref="N581">GetCSVIndex(A2,294+5670)</f>
        <v/>
      </c>
      <c r="O581" s="43" t="str" cm="1">
        <f t="array" ref="O581">GetCSVIndex(A2,357+5670)</f>
        <v/>
      </c>
    </row>
    <row r="582" spans="1:15" ht="21" customHeight="1" x14ac:dyDescent="0.25">
      <c r="A582" s="38" t="s">
        <v>36</v>
      </c>
      <c r="B582" s="30"/>
      <c r="C582" s="29" t="str" cm="1">
        <f t="array" ref="C582">IF(GetCSVIndex(A2,22+5670)&lt;&gt;"65535",CONCATENATE(GetCSVIndex(A2,238+5670),":", GetCSVIndex(A2,248+5670)),"OFF")</f>
        <v>:</v>
      </c>
      <c r="D582" s="25"/>
      <c r="E582" s="45">
        <v>13</v>
      </c>
      <c r="F582" s="29" t="e" cm="1">
        <f t="array" ref="F582">CHOOSE(GetCSVIndex(A2,72+5670)+1,"","Station","Block","","Delay")</f>
        <v>#VALUE!</v>
      </c>
      <c r="G582" s="29" t="str" cm="1">
        <f t="array" ref="G582">GetCSVIndex(A2,73+5670)</f>
        <v/>
      </c>
      <c r="H582" s="45" t="str" cm="1">
        <f t="array" ref="H582">GetCSVIndex(A2,263+5670)</f>
        <v/>
      </c>
      <c r="I582" s="29" t="str" cm="1">
        <f t="array" ref="I582">GetCSVIndex(A2,326+5670)</f>
        <v/>
      </c>
      <c r="J582" s="25"/>
      <c r="K582" s="45">
        <v>45</v>
      </c>
      <c r="L582" s="29" t="e" cm="1">
        <f t="array" ref="L582">CHOOSE(GetCSVIndex(A2,168+5670)+1,"","Station","Block","","Delay")</f>
        <v>#VALUE!</v>
      </c>
      <c r="M582" s="29" t="str" cm="1">
        <f t="array" ref="M582">GetCSVIndex(A2,169+5670)</f>
        <v/>
      </c>
      <c r="N582" s="27" t="str" cm="1">
        <f t="array" ref="N582">GetCSVIndex(A2,295+5670)</f>
        <v/>
      </c>
      <c r="O582" s="43" t="str" cm="1">
        <f t="array" ref="O582">GetCSVIndex(A2,358+5670)</f>
        <v/>
      </c>
    </row>
    <row r="583" spans="1:15" ht="21" customHeight="1" x14ac:dyDescent="0.25">
      <c r="A583" s="36" t="s">
        <v>37</v>
      </c>
      <c r="B583" s="25"/>
      <c r="C583" s="29" t="str" cm="1">
        <f t="array" ref="C583">IF(GetCSVIndex(A2,23+5670)&lt;&gt;"65535",CONCATENATE(GetCSVIndex(A2,230+5670),":", GetCSVIndex(A2,240+5670)),"OFF")</f>
        <v>:</v>
      </c>
      <c r="D583" s="25"/>
      <c r="E583" s="45">
        <v>14</v>
      </c>
      <c r="F583" s="29" t="e" cm="1">
        <f t="array" ref="F583">CHOOSE(GetCSVIndex(A2,75+5670)+1,"","Station","Block","","Delay")</f>
        <v>#VALUE!</v>
      </c>
      <c r="G583" s="29" t="str" cm="1">
        <f t="array" ref="G583">GetCSVIndex(A2,76+5670)</f>
        <v/>
      </c>
      <c r="H583" s="45" t="str" cm="1">
        <f t="array" ref="H583">GetCSVIndex(A2,264+5670)</f>
        <v/>
      </c>
      <c r="I583" s="29" t="str" cm="1">
        <f t="array" ref="I583">GetCSVIndex(A2,327+5670)</f>
        <v/>
      </c>
      <c r="J583" s="25"/>
      <c r="K583" s="45">
        <v>46</v>
      </c>
      <c r="L583" s="29" t="e" cm="1">
        <f t="array" ref="L583">CHOOSE(GetCSVIndex(A2,171+5670)+1,"","Station","Block","","Delay")</f>
        <v>#VALUE!</v>
      </c>
      <c r="M583" s="29" t="str" cm="1">
        <f t="array" ref="M583">GetCSVIndex(A2,172+5670)</f>
        <v/>
      </c>
      <c r="N583" s="27" t="str" cm="1">
        <f t="array" ref="N583">GetCSVIndex(A2,296+5670)</f>
        <v/>
      </c>
      <c r="O583" s="43" t="str" cm="1">
        <f t="array" ref="O583">GetCSVIndex(A2,359+5670)</f>
        <v/>
      </c>
    </row>
    <row r="584" spans="1:15" ht="21" customHeight="1" x14ac:dyDescent="0.25">
      <c r="A584" s="39"/>
      <c r="B584" s="40"/>
      <c r="C584" s="41"/>
      <c r="D584" s="26"/>
      <c r="E584" s="45">
        <v>15</v>
      </c>
      <c r="F584" s="29" t="e" cm="1">
        <f t="array" ref="F584">CHOOSE(GetCSVIndex(A2,78+5670)+1,"","Station","Block","","Delay")</f>
        <v>#VALUE!</v>
      </c>
      <c r="G584" s="29" t="str" cm="1">
        <f t="array" ref="G584">GetCSVIndex(A2,79+5670)</f>
        <v/>
      </c>
      <c r="H584" s="45" t="str" cm="1">
        <f t="array" ref="H584">GetCSVIndex(A2,265+5670)</f>
        <v/>
      </c>
      <c r="I584" s="29" t="str" cm="1">
        <f t="array" ref="I584">GetCSVIndex(A2,328+5670)</f>
        <v/>
      </c>
      <c r="J584" s="26"/>
      <c r="K584" s="45">
        <v>47</v>
      </c>
      <c r="L584" s="29" t="e" cm="1">
        <f t="array" ref="L584">CHOOSE(GetCSVIndex(A2,174+5670)+1,"","Station","Block","","Delay")</f>
        <v>#VALUE!</v>
      </c>
      <c r="M584" s="29" t="str" cm="1">
        <f t="array" ref="M584">GetCSVIndex(A2,175+5670)</f>
        <v/>
      </c>
      <c r="N584" s="27" t="str" cm="1">
        <f t="array" ref="N584">GetCSVIndex(A2,297+5670)</f>
        <v/>
      </c>
      <c r="O584" s="43" t="str" cm="1">
        <f t="array" ref="O584">GetCSVIndex(A2,360+5670)</f>
        <v/>
      </c>
    </row>
    <row r="585" spans="1:15" ht="21" customHeight="1" x14ac:dyDescent="0.25">
      <c r="A585" s="42"/>
      <c r="B585" s="25"/>
      <c r="C585" s="25"/>
      <c r="D585" s="26"/>
      <c r="E585" s="45">
        <v>16</v>
      </c>
      <c r="F585" s="29" t="e" cm="1">
        <f t="array" ref="F585">CHOOSE(GetCSVIndex(A2,81+5670)+1,"","Station","Block","","Delay")</f>
        <v>#VALUE!</v>
      </c>
      <c r="G585" s="29" t="str" cm="1">
        <f t="array" ref="G585">GetCSVIndex(A2,82+5670)</f>
        <v/>
      </c>
      <c r="H585" s="45" t="str" cm="1">
        <f t="array" ref="H585">GetCSVIndex(A2,266+5670)</f>
        <v/>
      </c>
      <c r="I585" s="29" t="str" cm="1">
        <f t="array" ref="I585">GetCSVIndex(A2,329+5670)</f>
        <v/>
      </c>
      <c r="J585" s="25"/>
      <c r="K585" s="45">
        <v>48</v>
      </c>
      <c r="L585" s="29" t="e" cm="1">
        <f t="array" ref="L585">CHOOSE(GetCSVIndex(A2,177+5670)+1,"","Station","Block","","Delay")</f>
        <v>#VALUE!</v>
      </c>
      <c r="M585" s="29" t="str" cm="1">
        <f t="array" ref="M585">GetCSVIndex(A2,178+5670)</f>
        <v/>
      </c>
      <c r="N585" s="27" t="str" cm="1">
        <f t="array" ref="N585">GetCSVIndex(A2,298+5670)</f>
        <v/>
      </c>
      <c r="O585" s="43" t="str" cm="1">
        <f t="array" ref="O585">GetCSVIndex(A2,361+5670)</f>
        <v/>
      </c>
    </row>
    <row r="586" spans="1:15" ht="21" customHeight="1" x14ac:dyDescent="0.25">
      <c r="A586" s="42"/>
      <c r="B586" s="25"/>
      <c r="C586" s="25"/>
      <c r="D586" s="26"/>
      <c r="E586" s="45">
        <v>17</v>
      </c>
      <c r="F586" s="29" t="e" cm="1">
        <f t="array" ref="F586">CHOOSE(GetCSVIndex(A2,84+5670)+1,"","Station","Block","","Delay")</f>
        <v>#VALUE!</v>
      </c>
      <c r="G586" s="29" t="str" cm="1">
        <f t="array" ref="G586">GetCSVIndex(A2,85+5670)</f>
        <v/>
      </c>
      <c r="H586" s="45" t="str" cm="1">
        <f t="array" ref="H586">GetCSVIndex(A2,267+5670)</f>
        <v/>
      </c>
      <c r="I586" s="29" t="str" cm="1">
        <f t="array" ref="I586">GetCSVIndex(A2,330+5670)</f>
        <v/>
      </c>
      <c r="J586" s="26"/>
      <c r="K586" s="45">
        <v>49</v>
      </c>
      <c r="L586" s="29" t="e" cm="1">
        <f t="array" ref="L586">CHOOSE(GetCSVIndex(A2,180+5670)+1,"","Station","Block","","Delay")</f>
        <v>#VALUE!</v>
      </c>
      <c r="M586" s="29" t="str" cm="1">
        <f t="array" ref="M586">GetCSVIndex(A2,181+5670)</f>
        <v/>
      </c>
      <c r="N586" s="27" t="str" cm="1">
        <f t="array" ref="N586">GetCSVIndex(A2,299+5670)</f>
        <v/>
      </c>
      <c r="O586" s="43" t="str" cm="1">
        <f t="array" ref="O586">GetCSVIndex(A2,362+5670)</f>
        <v/>
      </c>
    </row>
    <row r="587" spans="1:15" ht="21" customHeight="1" x14ac:dyDescent="0.25">
      <c r="A587" s="42"/>
      <c r="B587" s="25"/>
      <c r="C587" s="25"/>
      <c r="D587" s="26"/>
      <c r="E587" s="45">
        <v>18</v>
      </c>
      <c r="F587" s="29" t="e" cm="1">
        <f t="array" ref="F587">CHOOSE(GetCSVIndex(A2,87+5670)+1,"","Station","Block","","Delay")</f>
        <v>#VALUE!</v>
      </c>
      <c r="G587" s="29" t="str" cm="1">
        <f t="array" ref="G587">GetCSVIndex(A2,88+5670)</f>
        <v/>
      </c>
      <c r="H587" s="45" t="str" cm="1">
        <f t="array" ref="H587">GetCSVIndex(A2,268+5670)</f>
        <v/>
      </c>
      <c r="I587" s="29" t="str" cm="1">
        <f t="array" ref="I587">GetCSVIndex(A2,331+5670)</f>
        <v/>
      </c>
      <c r="J587" s="26"/>
      <c r="K587" s="45">
        <v>50</v>
      </c>
      <c r="L587" s="29" t="e" cm="1">
        <f t="array" ref="L587">CHOOSE(GetCSVIndex(A2,183+5670)+1,"","Station","Block","","Delay")</f>
        <v>#VALUE!</v>
      </c>
      <c r="M587" s="29" t="str" cm="1">
        <f t="array" ref="M587">GetCSVIndex(A2,184+5670)</f>
        <v/>
      </c>
      <c r="N587" s="27" t="str" cm="1">
        <f t="array" ref="N587">GetCSVIndex(A2,300+5670)</f>
        <v/>
      </c>
      <c r="O587" s="43" t="str" cm="1">
        <f t="array" ref="O587">GetCSVIndex(A2,363+5670)</f>
        <v/>
      </c>
    </row>
    <row r="588" spans="1:15" ht="21" customHeight="1" x14ac:dyDescent="0.25">
      <c r="A588" s="42"/>
      <c r="B588" s="25"/>
      <c r="C588" s="25"/>
      <c r="D588" s="26"/>
      <c r="E588" s="45">
        <v>19</v>
      </c>
      <c r="F588" s="29" t="e" cm="1">
        <f t="array" ref="F588">CHOOSE(GetCSVIndex(A2,90+5670)+1,"","Station","Block","","Delay")</f>
        <v>#VALUE!</v>
      </c>
      <c r="G588" s="29" t="str" cm="1">
        <f t="array" ref="G588">GetCSVIndex(A2,91+5670)</f>
        <v/>
      </c>
      <c r="H588" s="45" t="str" cm="1">
        <f t="array" ref="H588">GetCSVIndex(A2,269+5670)</f>
        <v/>
      </c>
      <c r="I588" s="29" t="str" cm="1">
        <f t="array" ref="I588">GetCSVIndex(A2,332+5670)</f>
        <v/>
      </c>
      <c r="J588" s="26"/>
      <c r="K588" s="45">
        <v>51</v>
      </c>
      <c r="L588" s="29" t="e" cm="1">
        <f t="array" ref="L588">CHOOSE(GetCSVIndex(A2,186+5670)+1,"","Station","Block","","Delay")</f>
        <v>#VALUE!</v>
      </c>
      <c r="M588" s="29" t="str" cm="1">
        <f t="array" ref="M588">GetCSVIndex(A2,187+5670)</f>
        <v/>
      </c>
      <c r="N588" s="27" t="str" cm="1">
        <f t="array" ref="N588">GetCSVIndex(A2,301+5670)</f>
        <v/>
      </c>
      <c r="O588" s="43" t="str" cm="1">
        <f t="array" ref="O588">GetCSVIndex(A2,364+5670)</f>
        <v/>
      </c>
    </row>
    <row r="589" spans="1:15" ht="21" customHeight="1" x14ac:dyDescent="0.25">
      <c r="A589" s="42"/>
      <c r="B589" s="25"/>
      <c r="C589" s="25"/>
      <c r="D589" s="26"/>
      <c r="E589" s="45">
        <v>20</v>
      </c>
      <c r="F589" s="29" t="e" cm="1">
        <f t="array" ref="F589">CHOOSE(GetCSVIndex(A2,93+5670)+1,"","Station","Block","","Delay")</f>
        <v>#VALUE!</v>
      </c>
      <c r="G589" s="29" t="str" cm="1">
        <f t="array" ref="G589">GetCSVIndex(A2,94+5670)</f>
        <v/>
      </c>
      <c r="H589" s="45" t="str" cm="1">
        <f t="array" ref="H589">GetCSVIndex(A2,270+5670)</f>
        <v/>
      </c>
      <c r="I589" s="29" t="str" cm="1">
        <f t="array" ref="I589">GetCSVIndex(A2,333+5670)</f>
        <v/>
      </c>
      <c r="J589" s="26"/>
      <c r="K589" s="45">
        <v>52</v>
      </c>
      <c r="L589" s="29" t="e" cm="1">
        <f t="array" ref="L589">CHOOSE(GetCSVIndex(A2,189+5670)+1,"","Station","Block","","Delay")</f>
        <v>#VALUE!</v>
      </c>
      <c r="M589" s="29" t="str" cm="1">
        <f t="array" ref="M589">GetCSVIndex(A2,190+5670)</f>
        <v/>
      </c>
      <c r="N589" s="27" t="str" cm="1">
        <f t="array" ref="N589">GetCSVIndex(A2,302+5670)</f>
        <v/>
      </c>
      <c r="O589" s="43" t="str" cm="1">
        <f t="array" ref="O589">GetCSVIndex(A2,365+5670)</f>
        <v/>
      </c>
    </row>
    <row r="590" spans="1:15" ht="21" customHeight="1" x14ac:dyDescent="0.25">
      <c r="A590" s="42"/>
      <c r="B590" s="25"/>
      <c r="C590" s="25"/>
      <c r="D590" s="26"/>
      <c r="E590" s="45">
        <v>21</v>
      </c>
      <c r="F590" s="29" t="e" cm="1">
        <f t="array" ref="F590">CHOOSE(GetCSVIndex(A2,96+5670)+1,"","Station","Block","","Delay")</f>
        <v>#VALUE!</v>
      </c>
      <c r="G590" s="29" t="str" cm="1">
        <f t="array" ref="G590">GetCSVIndex(A2,97+5670)</f>
        <v/>
      </c>
      <c r="H590" s="45" t="str" cm="1">
        <f t="array" ref="H590">GetCSVIndex(A2,271+5670)</f>
        <v/>
      </c>
      <c r="I590" s="29" t="str" cm="1">
        <f t="array" ref="I590">GetCSVIndex(A2,334+5670)</f>
        <v/>
      </c>
      <c r="J590" s="26"/>
      <c r="K590" s="45">
        <v>53</v>
      </c>
      <c r="L590" s="29" t="e" cm="1">
        <f t="array" ref="L590">CHOOSE(GetCSVIndex(A2,192+5670)+1,"","Station","Block","","Delay")</f>
        <v>#VALUE!</v>
      </c>
      <c r="M590" s="29" t="str" cm="1">
        <f t="array" ref="M590">GetCSVIndex(A2,193+5670)</f>
        <v/>
      </c>
      <c r="N590" s="27" t="str" cm="1">
        <f t="array" ref="N590">GetCSVIndex(A2,303+5670)</f>
        <v/>
      </c>
      <c r="O590" s="43" t="str" cm="1">
        <f t="array" ref="O590">GetCSVIndex(A2,366+5670)</f>
        <v/>
      </c>
    </row>
    <row r="591" spans="1:15" ht="21" customHeight="1" x14ac:dyDescent="0.25">
      <c r="A591" s="42"/>
      <c r="B591" s="25"/>
      <c r="C591" s="25"/>
      <c r="D591" s="26"/>
      <c r="E591" s="45">
        <v>22</v>
      </c>
      <c r="F591" s="29" t="e" cm="1">
        <f t="array" ref="F591">CHOOSE(GetCSVIndex(A2,99+5670)+1,"","Station","Block","","Delay")</f>
        <v>#VALUE!</v>
      </c>
      <c r="G591" s="29" t="str" cm="1">
        <f t="array" ref="G591">GetCSVIndex(A2,100+5670)</f>
        <v/>
      </c>
      <c r="H591" s="45" t="str" cm="1">
        <f t="array" ref="H591">GetCSVIndex(A2,272+5670)</f>
        <v/>
      </c>
      <c r="I591" s="29" t="str" cm="1">
        <f t="array" ref="I591">GetCSVIndex(A2,335+5670)</f>
        <v/>
      </c>
      <c r="J591" s="26"/>
      <c r="K591" s="45">
        <v>54</v>
      </c>
      <c r="L591" s="29" t="e" cm="1">
        <f t="array" ref="L591">CHOOSE(GetCSVIndex(A2,195+5670)+1,"","Station","Block","","Delay")</f>
        <v>#VALUE!</v>
      </c>
      <c r="M591" s="29" t="str" cm="1">
        <f t="array" ref="M591">GetCSVIndex(A2,196+5670)</f>
        <v/>
      </c>
      <c r="N591" s="27" t="str" cm="1">
        <f t="array" ref="N591">GetCSVIndex(A2,304+5670)</f>
        <v/>
      </c>
      <c r="O591" s="43" t="str" cm="1">
        <f t="array" ref="O591">GetCSVIndex(A2,367+5670)</f>
        <v/>
      </c>
    </row>
    <row r="592" spans="1:15" ht="21" customHeight="1" x14ac:dyDescent="0.25">
      <c r="A592" s="42"/>
      <c r="B592" s="25"/>
      <c r="C592" s="25"/>
      <c r="D592" s="26"/>
      <c r="E592" s="45">
        <v>23</v>
      </c>
      <c r="F592" s="29" t="e" cm="1">
        <f t="array" ref="F592">CHOOSE(GetCSVIndex(A2,102+5670)+1,"","Station","Block","","Delay")</f>
        <v>#VALUE!</v>
      </c>
      <c r="G592" s="29" t="str" cm="1">
        <f t="array" ref="G592">GetCSVIndex(A2,103+5670)</f>
        <v/>
      </c>
      <c r="H592" s="45" t="str" cm="1">
        <f t="array" ref="H592">GetCSVIndex(A2,273+5670)</f>
        <v/>
      </c>
      <c r="I592" s="29" t="str" cm="1">
        <f t="array" ref="I592">GetCSVIndex(A2,336+5670)</f>
        <v/>
      </c>
      <c r="J592" s="26"/>
      <c r="K592" s="45">
        <v>55</v>
      </c>
      <c r="L592" s="29" t="e" cm="1">
        <f t="array" ref="L592">CHOOSE(GetCSVIndex(A2,198+5670)+1,"","Station","Block","","Delay")</f>
        <v>#VALUE!</v>
      </c>
      <c r="M592" s="29" t="str" cm="1">
        <f t="array" ref="M592">GetCSVIndex(A2,199+5670)</f>
        <v/>
      </c>
      <c r="N592" s="27" t="str" cm="1">
        <f t="array" ref="N592">GetCSVIndex(A2,305+5670)</f>
        <v/>
      </c>
      <c r="O592" s="43" t="str" cm="1">
        <f t="array" ref="O592">GetCSVIndex(A2,368+5670)</f>
        <v/>
      </c>
    </row>
    <row r="593" spans="1:15" ht="21" customHeight="1" x14ac:dyDescent="0.25">
      <c r="A593" s="42"/>
      <c r="B593" s="25"/>
      <c r="C593" s="25"/>
      <c r="D593" s="26"/>
      <c r="E593" s="45">
        <v>24</v>
      </c>
      <c r="F593" s="29" t="e" cm="1">
        <f t="array" ref="F593">CHOOSE(GetCSVIndex(A2,105+5670)+1,"","Station","Block","","Delay")</f>
        <v>#VALUE!</v>
      </c>
      <c r="G593" s="29" t="str" cm="1">
        <f t="array" ref="G593">GetCSVIndex(A2,106+5670)</f>
        <v/>
      </c>
      <c r="H593" s="45" t="str" cm="1">
        <f t="array" ref="H593">GetCSVIndex(A2,274+5670)</f>
        <v/>
      </c>
      <c r="I593" s="29" t="str" cm="1">
        <f t="array" ref="I593">GetCSVIndex(A2,337+5670)</f>
        <v/>
      </c>
      <c r="J593" s="26"/>
      <c r="K593" s="45">
        <v>56</v>
      </c>
      <c r="L593" s="29" t="e" cm="1">
        <f t="array" ref="L593">CHOOSE(GetCSVIndex(A2,201+5670)+1,"","Station","Block","","Delay")</f>
        <v>#VALUE!</v>
      </c>
      <c r="M593" s="29" t="str" cm="1">
        <f t="array" ref="M593">GetCSVIndex(A2,202+5670)</f>
        <v/>
      </c>
      <c r="N593" s="27" t="str" cm="1">
        <f t="array" ref="N593">GetCSVIndex(A2,306+5670)</f>
        <v/>
      </c>
      <c r="O593" s="43" t="str" cm="1">
        <f t="array" ref="O593">GetCSVIndex(A2,369+5670)</f>
        <v/>
      </c>
    </row>
    <row r="594" spans="1:15" ht="21" customHeight="1" x14ac:dyDescent="0.25">
      <c r="A594" s="42"/>
      <c r="B594" s="25"/>
      <c r="C594" s="25"/>
      <c r="D594" s="26"/>
      <c r="E594" s="45">
        <v>25</v>
      </c>
      <c r="F594" s="29" t="e" cm="1">
        <f t="array" ref="F594">CHOOSE(GetCSVIndex(A2,108+5670)+1,"","Station","Block","","Delay")</f>
        <v>#VALUE!</v>
      </c>
      <c r="G594" s="29" t="str" cm="1">
        <f t="array" ref="G594">GetCSVIndex(A2,109+5670)</f>
        <v/>
      </c>
      <c r="H594" s="45" t="str" cm="1">
        <f t="array" ref="H594">GetCSVIndex(A2,275+5670)</f>
        <v/>
      </c>
      <c r="I594" s="29" t="str" cm="1">
        <f t="array" ref="I594">GetCSVIndex(A2,338+5670)</f>
        <v/>
      </c>
      <c r="J594" s="26"/>
      <c r="K594" s="45">
        <v>57</v>
      </c>
      <c r="L594" s="29" t="e" cm="1">
        <f t="array" ref="L594">CHOOSE(GetCSVIndex(A2,204+5670)+1,"","Station","Block","","Delay")</f>
        <v>#VALUE!</v>
      </c>
      <c r="M594" s="29" t="str" cm="1">
        <f t="array" ref="M594">GetCSVIndex(A2,205+5670)</f>
        <v/>
      </c>
      <c r="N594" s="27" t="str" cm="1">
        <f t="array" ref="N594">GetCSVIndex(A2,307+5670)</f>
        <v/>
      </c>
      <c r="O594" s="43" t="str" cm="1">
        <f t="array" ref="O594">GetCSVIndex(A2,370+5670)</f>
        <v/>
      </c>
    </row>
    <row r="595" spans="1:15" ht="21" customHeight="1" x14ac:dyDescent="0.25">
      <c r="A595" s="42"/>
      <c r="B595" s="25"/>
      <c r="C595" s="25"/>
      <c r="D595" s="26"/>
      <c r="E595" s="45">
        <v>26</v>
      </c>
      <c r="F595" s="29" t="e" cm="1">
        <f t="array" ref="F595">CHOOSE(GetCSVIndex(A2,111+5670)+1,"","Station","Block","","Delay")</f>
        <v>#VALUE!</v>
      </c>
      <c r="G595" s="29" t="str" cm="1">
        <f t="array" ref="G595">GetCSVIndex(A2,112+5670)</f>
        <v/>
      </c>
      <c r="H595" s="45" t="str" cm="1">
        <f t="array" ref="H595">GetCSVIndex(A2,276+5670)</f>
        <v/>
      </c>
      <c r="I595" s="29" t="str" cm="1">
        <f t="array" ref="I595">GetCSVIndex(A2,339+5670)</f>
        <v/>
      </c>
      <c r="J595" s="26"/>
      <c r="K595" s="45">
        <v>58</v>
      </c>
      <c r="L595" s="29" t="e" cm="1">
        <f t="array" ref="L595">CHOOSE(GetCSVIndex(A2,207+5670)+1,"","Station","Block","","Delay")</f>
        <v>#VALUE!</v>
      </c>
      <c r="M595" s="29" t="str" cm="1">
        <f t="array" ref="M595">GetCSVIndex(A2,208+5670)</f>
        <v/>
      </c>
      <c r="N595" s="27" t="str" cm="1">
        <f t="array" ref="N595">GetCSVIndex(A2,308+5670)</f>
        <v/>
      </c>
      <c r="O595" s="43" t="str" cm="1">
        <f t="array" ref="O595">GetCSVIndex(A2,371+5670)</f>
        <v/>
      </c>
    </row>
    <row r="596" spans="1:15" ht="21" customHeight="1" x14ac:dyDescent="0.25">
      <c r="A596" s="42"/>
      <c r="B596" s="25"/>
      <c r="C596" s="25"/>
      <c r="D596" s="26"/>
      <c r="E596" s="45">
        <v>27</v>
      </c>
      <c r="F596" s="29" t="e" cm="1">
        <f t="array" ref="F596">CHOOSE(GetCSVIndex(A2,114+5670)+1,"","Station","Block","","Delay")</f>
        <v>#VALUE!</v>
      </c>
      <c r="G596" s="29" t="str" cm="1">
        <f t="array" ref="G596">GetCSVIndex(A2,115+5670)</f>
        <v/>
      </c>
      <c r="H596" s="45" t="str" cm="1">
        <f t="array" ref="H596">GetCSVIndex(A2,277+5670)</f>
        <v/>
      </c>
      <c r="I596" s="29" t="str" cm="1">
        <f t="array" ref="I596">GetCSVIndex(A2,340+5670)</f>
        <v/>
      </c>
      <c r="J596" s="26"/>
      <c r="K596" s="45">
        <v>59</v>
      </c>
      <c r="L596" s="29" t="e" cm="1">
        <f t="array" ref="L596">CHOOSE(GetCSVIndex(A2,210+5670)+1,"","Station","Block","","Delay")</f>
        <v>#VALUE!</v>
      </c>
      <c r="M596" s="29" t="str" cm="1">
        <f t="array" ref="M596">GetCSVIndex(A2,211+5670)</f>
        <v/>
      </c>
      <c r="N596" s="27" t="str" cm="1">
        <f t="array" ref="N596">GetCSVIndex(A2,309+5670)</f>
        <v/>
      </c>
      <c r="O596" s="43" t="str" cm="1">
        <f t="array" ref="O596">GetCSVIndex(A2,372+5670)</f>
        <v/>
      </c>
    </row>
    <row r="597" spans="1:15" ht="21" customHeight="1" x14ac:dyDescent="0.25">
      <c r="A597" s="42"/>
      <c r="B597" s="25"/>
      <c r="C597" s="25"/>
      <c r="D597" s="26"/>
      <c r="E597" s="45">
        <v>28</v>
      </c>
      <c r="F597" s="29" t="e" cm="1">
        <f t="array" ref="F597">CHOOSE(GetCSVIndex(A2,117+5670)+1,"","Station","Block","","Delay")</f>
        <v>#VALUE!</v>
      </c>
      <c r="G597" s="29" t="str" cm="1">
        <f t="array" ref="G597">GetCSVIndex(A2,118+5670)</f>
        <v/>
      </c>
      <c r="H597" s="45" t="str" cm="1">
        <f t="array" ref="H597">GetCSVIndex(A2,278+5670)</f>
        <v/>
      </c>
      <c r="I597" s="29" t="str" cm="1">
        <f t="array" ref="I597">GetCSVIndex(A2,341+5670)</f>
        <v/>
      </c>
      <c r="J597" s="26"/>
      <c r="K597" s="45">
        <v>60</v>
      </c>
      <c r="L597" s="29" t="e" cm="1">
        <f t="array" ref="L597">CHOOSE(GetCSVIndex(A2,213+5670)+1,"","Station","Block","","Delay")</f>
        <v>#VALUE!</v>
      </c>
      <c r="M597" s="29" t="str" cm="1">
        <f t="array" ref="M597">GetCSVIndex(A2,214+5670)</f>
        <v/>
      </c>
      <c r="N597" s="27" t="str" cm="1">
        <f t="array" ref="N597">GetCSVIndex(A2,310+5670)</f>
        <v/>
      </c>
      <c r="O597" s="43" t="str" cm="1">
        <f t="array" ref="O597">GetCSVIndex(A2,373+5670)</f>
        <v/>
      </c>
    </row>
    <row r="598" spans="1:15" ht="21" customHeight="1" x14ac:dyDescent="0.25">
      <c r="A598" s="42"/>
      <c r="B598" s="25"/>
      <c r="C598" s="25"/>
      <c r="D598" s="26"/>
      <c r="E598" s="45">
        <v>29</v>
      </c>
      <c r="F598" s="29" t="e" cm="1">
        <f t="array" ref="F598">CHOOSE(GetCSVIndex(A2,120+5670)+1,"","Station","Block","","Delay")</f>
        <v>#VALUE!</v>
      </c>
      <c r="G598" s="29" t="str" cm="1">
        <f t="array" ref="G598">GetCSVIndex(A2,121+5670)</f>
        <v/>
      </c>
      <c r="H598" s="45" t="str" cm="1">
        <f t="array" ref="H598">GetCSVIndex(A2,279+5670)</f>
        <v/>
      </c>
      <c r="I598" s="29" t="str" cm="1">
        <f t="array" ref="I598">GetCSVIndex(A2,342+5670)</f>
        <v/>
      </c>
      <c r="J598" s="26"/>
      <c r="K598" s="45">
        <v>61</v>
      </c>
      <c r="L598" s="29" t="e" cm="1">
        <f t="array" ref="L598">CHOOSE(GetCSVIndex(A2,216+5670)+1,"","Station","Block","","Delay")</f>
        <v>#VALUE!</v>
      </c>
      <c r="M598" s="29" t="str" cm="1">
        <f t="array" ref="M598">GetCSVIndex(A2,217+5670)</f>
        <v/>
      </c>
      <c r="N598" s="27" t="str" cm="1">
        <f t="array" ref="N598">GetCSVIndex(A2,311+5670)</f>
        <v/>
      </c>
      <c r="O598" s="43" t="str" cm="1">
        <f t="array" ref="O598">GetCSVIndex(A2,374+5670)</f>
        <v/>
      </c>
    </row>
    <row r="599" spans="1:15" ht="21" customHeight="1" x14ac:dyDescent="0.25">
      <c r="A599" s="42"/>
      <c r="B599" s="25"/>
      <c r="C599" s="25"/>
      <c r="D599" s="26"/>
      <c r="E599" s="45">
        <v>30</v>
      </c>
      <c r="F599" s="29" t="e" cm="1">
        <f t="array" ref="F599">CHOOSE(GetCSVIndex(A2,123+5670)+1,"","Station","Block","","Delay")</f>
        <v>#VALUE!</v>
      </c>
      <c r="G599" s="29" t="str" cm="1">
        <f t="array" ref="G599">GetCSVIndex(A2,124+5670)</f>
        <v/>
      </c>
      <c r="H599" s="45" t="str" cm="1">
        <f t="array" ref="H599">GetCSVIndex(A2,280+5670)</f>
        <v/>
      </c>
      <c r="I599" s="29" t="str" cm="1">
        <f t="array" ref="I599">GetCSVIndex(A2,343+5670)</f>
        <v/>
      </c>
      <c r="J599" s="26"/>
      <c r="K599" s="45">
        <v>62</v>
      </c>
      <c r="L599" s="29" t="e" cm="1">
        <f t="array" ref="L599">CHOOSE(GetCSVIndex(A2,219+5670)+1,"","Station","Block","","Delay")</f>
        <v>#VALUE!</v>
      </c>
      <c r="M599" s="29" t="str" cm="1">
        <f t="array" ref="M599">GetCSVIndex(A2,220+5670)</f>
        <v/>
      </c>
      <c r="N599" s="27" t="str" cm="1">
        <f t="array" ref="N599">GetCSVIndex(A2,312+5670)</f>
        <v/>
      </c>
      <c r="O599" s="43" t="str" cm="1">
        <f t="array" ref="O599">GetCSVIndex(A2,375+5670)</f>
        <v/>
      </c>
    </row>
    <row r="600" spans="1:15" ht="21" customHeight="1" x14ac:dyDescent="0.25">
      <c r="A600" s="42"/>
      <c r="B600" s="25"/>
      <c r="C600" s="25"/>
      <c r="D600" s="26"/>
      <c r="E600" s="45">
        <v>31</v>
      </c>
      <c r="F600" s="29" t="e" cm="1">
        <f t="array" ref="F600">CHOOSE(GetCSVIndex(A2,126+5670)+1,"","Station","Block","","Delay")</f>
        <v>#VALUE!</v>
      </c>
      <c r="G600" s="29" t="str" cm="1">
        <f t="array" ref="G600">GetCSVIndex(A2,127+5670)</f>
        <v/>
      </c>
      <c r="H600" s="45" t="str" cm="1">
        <f t="array" ref="H600">GetCSVIndex(A2,281+5670)</f>
        <v/>
      </c>
      <c r="I600" s="29" t="str" cm="1">
        <f t="array" ref="I600">GetCSVIndex(A2,344+5670)</f>
        <v/>
      </c>
      <c r="J600" s="26"/>
      <c r="K600" s="45">
        <v>63</v>
      </c>
      <c r="L600" s="29" t="e" cm="1">
        <f t="array" ref="L600">CHOOSE(GetCSVIndex(A2,222+5670)+1,"","Station","Block","","Delay")</f>
        <v>#VALUE!</v>
      </c>
      <c r="M600" s="29" t="str" cm="1">
        <f t="array" ref="M600">GetCSVIndex(A2,223+5670)</f>
        <v/>
      </c>
      <c r="N600" s="27" t="str" cm="1">
        <f t="array" ref="N600">GetCSVIndex(A2,313+5670)</f>
        <v/>
      </c>
      <c r="O600" s="43" t="str" cm="1">
        <f t="array" ref="O600">GetCSVIndex(A2,376+5670)</f>
        <v/>
      </c>
    </row>
    <row r="601" spans="1:15" ht="21" customHeight="1" x14ac:dyDescent="0.25">
      <c r="A601" s="37"/>
      <c r="B601" s="28"/>
      <c r="C601" s="29"/>
      <c r="D601" s="29"/>
      <c r="E601" s="45">
        <v>32</v>
      </c>
      <c r="F601" s="29" t="e" cm="1">
        <f t="array" ref="F601">CHOOSE(GetCSVIndex(A2,129+5670)+1,"","Station","Block","","Delay")</f>
        <v>#VALUE!</v>
      </c>
      <c r="G601" s="29" t="str" cm="1">
        <f t="array" ref="G601">GetCSVIndex(A2,130+5670)</f>
        <v/>
      </c>
      <c r="H601" s="45" t="str" cm="1">
        <f t="array" ref="H601">GetCSVIndex(A2,282+5670)</f>
        <v/>
      </c>
      <c r="I601" s="29" t="str" cm="1">
        <f t="array" ref="I601">GetCSVIndex(A2,345+5670)</f>
        <v/>
      </c>
      <c r="J601" s="29"/>
      <c r="K601" s="45">
        <v>64</v>
      </c>
      <c r="L601" s="29" t="e" cm="1">
        <f t="array" ref="L601">CHOOSE(GetCSVIndex(A2,225+5670)+1,"","Station","Block","","Delay")</f>
        <v>#VALUE!</v>
      </c>
      <c r="M601" s="29" t="str" cm="1">
        <f t="array" ref="M601">GetCSVIndex(A2,226+5670)</f>
        <v/>
      </c>
      <c r="N601" s="27" t="str" cm="1">
        <f t="array" ref="N601">GetCSVIndex(A2,314+5670)</f>
        <v/>
      </c>
      <c r="O601" s="43" t="str" cm="1">
        <f t="array" ref="O601">GetCSVIndex(A2,377+5670)</f>
        <v/>
      </c>
    </row>
    <row r="602" spans="1:15" ht="23.25" customHeight="1" x14ac:dyDescent="0.25">
      <c r="A602" s="51" t="str" cm="1">
        <f t="array" ref="A602">CONCATENATE("Schedule  Program Number : ", GetCSVIndex(A2,5+6048))</f>
        <v xml:space="preserve">Schedule  Program Number : </v>
      </c>
      <c r="B602" s="52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3"/>
    </row>
    <row r="603" spans="1:15" ht="21" customHeight="1" x14ac:dyDescent="0.25">
      <c r="A603" s="20" t="s">
        <v>44</v>
      </c>
      <c r="B603" s="22" t="str" cm="1">
        <f t="array" ref="B603">GetCSVIndex(A2,5+6048)</f>
        <v/>
      </c>
      <c r="C603" s="18"/>
      <c r="D603" s="18"/>
      <c r="E603" s="18"/>
      <c r="F603" s="18"/>
      <c r="G603" s="18" t="s">
        <v>19</v>
      </c>
      <c r="H603" s="18" t="e" cm="1">
        <f t="array" ref="H603">CHOOSE(GetCSVIndex(A2,7+6048)+1, "Days of Week", "Odd/Even", "Interval","Manual")</f>
        <v>#VALUE!</v>
      </c>
      <c r="I603" s="18"/>
      <c r="J603" s="15"/>
      <c r="K603" s="15"/>
      <c r="L603" s="15"/>
      <c r="M603" s="15"/>
      <c r="N603" s="15"/>
      <c r="O603" s="16"/>
    </row>
    <row r="604" spans="1:15" ht="18" customHeight="1" x14ac:dyDescent="0.25">
      <c r="A604" s="21" t="s">
        <v>20</v>
      </c>
      <c r="B604" s="19" t="e" cm="1">
        <f t="array" ref="B604">CHOOSE(GetCSVIndex(A2,24+6048)+1, "Program", "Global", "Monthly","Solar Sync")</f>
        <v>#VALUE!</v>
      </c>
      <c r="C604" s="19"/>
      <c r="D604" s="19"/>
      <c r="E604" s="19"/>
      <c r="F604" s="19" t="s">
        <v>21</v>
      </c>
      <c r="G604" s="19" t="e" cm="1">
        <f t="array" ref="G604">IF(CHOOSE(GetCSVIndex(A2,7+6048)+1,IF(_xlfn.BITAND(GetCSVIndex(A2,8+6048), 2^0)=0, 0, 1),IF(_xlfn.BITAND(GetCSVIndex(A2,9+6048), 2^0)=0, 0, 1),IF(_xlfn.BITAND(GetCSVIndex(A2,10+6048), 2^0)=0, 0, 1)) =1,"Mon","")</f>
        <v>#VALUE!</v>
      </c>
      <c r="H604" s="19" t="e" cm="1">
        <f t="array" ref="H604">CONCATENATE(IF(CHOOSE(GetCSVIndex(A2,7+6048)+1,IF(_xlfn.BITAND(GetCSVIndex(A2,8+6048), 2^1)=0, 0, 1),IF(_xlfn.BITAND(GetCSVIndex(A2,9+6048), 2^1)=0, 0, 1),IF(_xlfn.BITAND(GetCSVIndex(A2,10+6048), 2^1)=0, 0, 1)) =1,"Tue       ","       "),IF(CHOOSE(GetCSVIndex(A2,7+6048)+1,IF(_xlfn.BITAND(GetCSVIndex(A2,8+6048), 2^2)=0, 0, 1),IF(_xlfn.BITAND(GetCSVIndex(A2,9+6048), 2^2)=0, 0, 1),IF(_xlfn.BITAND(GetCSVIndex(A2,10+6048), 2^2)=0, 0, 1)) =1,"Wed",""),IF(CHOOSE(GetCSVIndex(A2,7+6048)+1,IF(_xlfn.BITAND(GetCSVIndex(A2,8+6048), 2^3)=0, 0, 1),IF(_xlfn.BITAND(GetCSVIndex(A2,9+6048), 2^3)=0, 0, 1),IF(_xlfn.BITAND(GetCSVIndex(A2,10+6048), 2^3)=0, 0, 1)) =1,"       Thu","       "))</f>
        <v>#VALUE!</v>
      </c>
      <c r="I604" s="32" t="e" cm="1">
        <f t="array" ref="I604">CONCATENATE(IF(CHOOSE(GetCSVIndex(A2,7+6048)+1,IF(_xlfn.BITAND(GetCSVIndex(A2,8+6048), 2^4)=0, 0, 1),IF(_xlfn.BITAND(GetCSVIndex(A2,9+6048), 2^4)=0, 0, 1),IF(_xlfn.BITAND(GetCSVIndex(A2,10+6048), 2^4)=0, 0, 1)) =1,"Fri       ","       "),IF(CHOOSE(GetCSVIndex(A2,7+6048)+1,IF(_xlfn.BITAND(GetCSVIndex(A2,8+6048), 2^5)=0, 0, 1),IF(_xlfn.BITAND(GetCSVIndex(A2,9+6048), 2^5)=0, 0, 1),IF(_xlfn.BITAND(GetCSVIndex(A2,10+6048), 2^5)=0, 0, 1)) =1,"Sat",""),IF(CHOOSE(GetCSVIndex(A2,7+6048)+1,IF(_xlfn.BITAND(GetCSVIndex(A2,8+6048), 2^6)=0, 0, 1),IF(_xlfn.BITAND(GetCSVIndex(A2,9+6048), 2^6)=0, 0, 1),IF(_xlfn.BITAND(GetCSVIndex(A2,10+6048), 2^6)=0, 0, 1)) =1,"       Sun","       "))</f>
        <v>#VALUE!</v>
      </c>
      <c r="J604" s="19"/>
      <c r="K604" s="19"/>
      <c r="L604" s="32" t="s">
        <v>22</v>
      </c>
      <c r="M604" s="19"/>
      <c r="N604" s="19" t="str" cm="1">
        <f t="array" ref="N604">IF(GetCSVIndex(A2,26+6048)="1","Enable","Disable")</f>
        <v>Disable</v>
      </c>
      <c r="O604" s="24"/>
    </row>
    <row r="605" spans="1:15" ht="18" customHeight="1" x14ac:dyDescent="0.25">
      <c r="A605" s="21" t="str" cm="1">
        <f t="array" ref="A605">CONCATENATE("Program ", GetCSVIndex(A2,5+6048))</f>
        <v xml:space="preserve">Program </v>
      </c>
      <c r="B605" s="23" t="str" cm="1">
        <f t="array" ref="B605">CONCATENATE(GetCSVIndex(A2,25+6048)," %")</f>
        <v xml:space="preserve"> %</v>
      </c>
      <c r="C605" s="19"/>
      <c r="D605" s="19"/>
      <c r="E605" s="19"/>
      <c r="F605" s="19" t="str" cm="1">
        <f t="array" ref="F605">IF(GetCSVIndex(A2,7)="2","Water Every"," ")</f>
        <v xml:space="preserve"> </v>
      </c>
      <c r="G605" s="47" t="str" cm="1">
        <f t="array" ref="G605">IF(GetCSVIndex(A2,7+6048)="2",GetCSVIndex(A2,11+6048)," ")</f>
        <v xml:space="preserve"> </v>
      </c>
      <c r="H605" s="19" t="str" cm="1">
        <f t="array" ref="H605">IF(GetCSVIndex(A2,7+6048)="2","Days"," ")</f>
        <v xml:space="preserve"> </v>
      </c>
      <c r="I605" s="32" t="str" cm="1">
        <f t="array" ref="I605">IF(GetCSVIndex(A2,7+6048)="2","Water After"," ")</f>
        <v xml:space="preserve"> </v>
      </c>
      <c r="J605" s="19"/>
      <c r="K605" s="19" t="str" cm="1">
        <f t="array" ref="K605">IF(GetCSVIndex(A2,7+6048)="2",GetCSVIndex(A2,12+6048)," ")</f>
        <v xml:space="preserve"> </v>
      </c>
      <c r="L605" s="47" t="str" cm="1">
        <f t="array" ref="L605">IF(GetCSVIndex(A2,7+6048)="2","Days"," ")</f>
        <v xml:space="preserve"> </v>
      </c>
      <c r="M605" s="32"/>
      <c r="N605" s="32"/>
      <c r="O605" s="24"/>
    </row>
    <row r="606" spans="1:15" ht="21" customHeight="1" x14ac:dyDescent="0.25">
      <c r="A606" s="20" t="s">
        <v>23</v>
      </c>
      <c r="B606" s="18" t="s">
        <v>24</v>
      </c>
      <c r="C606" s="18" t="str" cm="1">
        <f t="array" ref="C606">CHOOSE(GetCSVIndex(A2,13)+1, "Auto", "Start to End","Manual")</f>
        <v>Start to End</v>
      </c>
      <c r="D606" s="31"/>
      <c r="E606" s="17" t="s">
        <v>38</v>
      </c>
      <c r="F606" s="18" t="s">
        <v>39</v>
      </c>
      <c r="G606" s="18" t="s">
        <v>40</v>
      </c>
      <c r="H606" s="18" t="s">
        <v>41</v>
      </c>
      <c r="I606" s="18" t="s">
        <v>43</v>
      </c>
      <c r="J606" s="31"/>
      <c r="K606" s="17" t="s">
        <v>38</v>
      </c>
      <c r="L606" s="18" t="s">
        <v>39</v>
      </c>
      <c r="M606" s="18" t="s">
        <v>40</v>
      </c>
      <c r="N606" s="22" t="s">
        <v>41</v>
      </c>
      <c r="O606" s="44" t="s">
        <v>42</v>
      </c>
    </row>
    <row r="607" spans="1:15" ht="21" customHeight="1" x14ac:dyDescent="0.25">
      <c r="A607" s="36" t="s">
        <v>25</v>
      </c>
      <c r="B607" s="46" t="str" cm="1">
        <f t="array" ref="B607">IF(GetCSVIndex(A2,6+6048)="1","Over","Stack")</f>
        <v>Stack</v>
      </c>
      <c r="C607" s="26" t="str" cm="1">
        <f t="array" ref="C607">GetCSVIndex(A2,29+6048)</f>
        <v/>
      </c>
      <c r="D607" s="25"/>
      <c r="E607" s="45">
        <v>1</v>
      </c>
      <c r="F607" s="29" t="e" cm="1">
        <f t="array" ref="F607">CHOOSE(GetCSVIndex(A2,36+6048)+1,"","Station","Block","","Delay")</f>
        <v>#VALUE!</v>
      </c>
      <c r="G607" s="29" t="str" cm="1">
        <f t="array" ref="G607">GetCSVIndex(A2,37+6048)</f>
        <v/>
      </c>
      <c r="H607" s="45" t="str" cm="1">
        <f t="array" ref="H607">GetCSVIndex(A2,3+6048)</f>
        <v/>
      </c>
      <c r="I607" s="29" t="str" cm="1">
        <f t="array" ref="I607">GetCSVIndex(A2,1+6048)</f>
        <v/>
      </c>
      <c r="J607" s="25"/>
      <c r="K607" s="45">
        <v>33</v>
      </c>
      <c r="L607" s="29" t="e" cm="1">
        <f t="array" ref="L607">CHOOSE(GetCSVIndex(A2,132+6048)+1,"","Station","Block","","Delay")</f>
        <v>#VALUE!</v>
      </c>
      <c r="M607" s="29" t="str" cm="1">
        <f t="array" ref="M607">GetCSVIndex(A2,133+6048)</f>
        <v/>
      </c>
      <c r="N607" s="27" t="str" cm="1">
        <f t="array" ref="N607">GetCSVIndex(A2,283+6048)</f>
        <v/>
      </c>
      <c r="O607" s="43" t="str" cm="1">
        <f t="array" ref="O607">GetCSVIndex(A2,346+6048)</f>
        <v/>
      </c>
    </row>
    <row r="608" spans="1:15" ht="21" customHeight="1" x14ac:dyDescent="0.25">
      <c r="A608" s="36" t="s">
        <v>26</v>
      </c>
      <c r="B608" s="25" t="str" cm="1">
        <f t="array" ref="B608">IF(GetCSVIndex(A2,2+6048)="1092:15","Not Set",CONCATENATE("From     ",GetCSVIndex(A2,2+6048)))</f>
        <v xml:space="preserve">From     </v>
      </c>
      <c r="C608" s="26" t="str" cm="1">
        <f t="array" ref="C608">IF(GetCSVIndex(C4,1+32)="1092:15","Not Set",CONCATENATE("To     ",GetCSVIndex(C4,1+32)))</f>
        <v xml:space="preserve">To     </v>
      </c>
      <c r="D608" s="25"/>
      <c r="E608" s="45">
        <v>2</v>
      </c>
      <c r="F608" s="29" t="e" cm="1">
        <f t="array" ref="F608">CHOOSE(GetCSVIndex(A2,39+6048)+1,"","Station","Block","","Delay")</f>
        <v>#VALUE!</v>
      </c>
      <c r="G608" s="29" t="str" cm="1">
        <f t="array" ref="G608">GetCSVIndex(A2,40+6048)</f>
        <v/>
      </c>
      <c r="H608" s="45" t="str" cm="1">
        <f t="array" ref="H608">GetCSVIndex(A2,252+6048)</f>
        <v/>
      </c>
      <c r="I608" s="29" t="str" cm="1">
        <f t="array" ref="I608">GetCSVIndex(A2,315+6048)</f>
        <v/>
      </c>
      <c r="J608" s="25"/>
      <c r="K608" s="45">
        <v>34</v>
      </c>
      <c r="L608" s="29" t="e" cm="1">
        <f t="array" ref="L608">CHOOSE(GetCSVIndex(A2,135+6048)+1,"","Station","Block","","Delay")</f>
        <v>#VALUE!</v>
      </c>
      <c r="M608" s="29" t="str" cm="1">
        <f t="array" ref="M608">GetCSVIndex(A2,136+6048)</f>
        <v/>
      </c>
      <c r="N608" s="27" t="str" cm="1">
        <f t="array" ref="N608">GetCSVIndex(A2,284+6048)</f>
        <v/>
      </c>
      <c r="O608" s="43" t="str" cm="1">
        <f t="array" ref="O608">GetCSVIndex(A2,347+6048)</f>
        <v/>
      </c>
    </row>
    <row r="609" spans="1:15" ht="21" customHeight="1" x14ac:dyDescent="0.25">
      <c r="A609" s="36" t="s">
        <v>27</v>
      </c>
      <c r="B609" s="25"/>
      <c r="C609" s="26" t="str" cm="1">
        <f t="array" ref="C609">CONCATENATE(GetCSVIndex(A2,249+6048),":", GetCSVIndex(A2,250+6048),":", GetCSVIndex(A2,251+6048))</f>
        <v>::</v>
      </c>
      <c r="D609" s="26"/>
      <c r="E609" s="45">
        <v>3</v>
      </c>
      <c r="F609" s="29" t="e" cm="1">
        <f t="array" ref="F609">CHOOSE(GetCSVIndex(A2,42+6048)+1,"","Station","Block","","Delay")</f>
        <v>#VALUE!</v>
      </c>
      <c r="G609" s="29" t="str" cm="1">
        <f t="array" ref="G609">GetCSVIndex(A2,43+6048)</f>
        <v/>
      </c>
      <c r="H609" s="45" t="str" cm="1">
        <f t="array" ref="H609">GetCSVIndex(A2,253+6048)</f>
        <v/>
      </c>
      <c r="I609" s="29" t="str" cm="1">
        <f t="array" ref="I609">GetCSVIndex(A2,316+6048)</f>
        <v/>
      </c>
      <c r="J609" s="25"/>
      <c r="K609" s="45">
        <v>35</v>
      </c>
      <c r="L609" s="29" t="e" cm="1">
        <f t="array" ref="L609">CHOOSE(GetCSVIndex(A2,138+6048)+1,"","Station","Block","","Delay")</f>
        <v>#VALUE!</v>
      </c>
      <c r="M609" s="29" t="str" cm="1">
        <f t="array" ref="M609">GetCSVIndex(A2,139+6048)</f>
        <v/>
      </c>
      <c r="N609" s="27" t="str" cm="1">
        <f t="array" ref="N609">GetCSVIndex(A2,285+6048)</f>
        <v/>
      </c>
      <c r="O609" s="43" t="str" cm="1">
        <f t="array" ref="O609">GetCSVIndex(A2,348+6048)</f>
        <v/>
      </c>
    </row>
    <row r="610" spans="1:15" ht="21" customHeight="1" x14ac:dyDescent="0.25">
      <c r="A610" s="36"/>
      <c r="B610" s="25"/>
      <c r="C610" s="25"/>
      <c r="D610" s="25"/>
      <c r="E610" s="45">
        <v>4</v>
      </c>
      <c r="F610" s="29" t="e" cm="1">
        <f t="array" ref="F610">CHOOSE(GetCSVIndex(A2,45+6048)+1,"","Station","Block","","Delay")</f>
        <v>#VALUE!</v>
      </c>
      <c r="G610" s="29" t="str" cm="1">
        <f t="array" ref="G610">GetCSVIndex(A2,46+6048)</f>
        <v/>
      </c>
      <c r="H610" s="45" t="str" cm="1">
        <f t="array" ref="H610">GetCSVIndex(A2,254+6048)</f>
        <v/>
      </c>
      <c r="I610" s="29" t="str" cm="1">
        <f t="array" ref="I610">GetCSVIndex(A2,317+6048)</f>
        <v/>
      </c>
      <c r="J610" s="25"/>
      <c r="K610" s="45">
        <v>36</v>
      </c>
      <c r="L610" s="29" t="e" cm="1">
        <f t="array" ref="L610">CHOOSE(GetCSVIndex(A2,141+6048)+1,"","Station","Block","","Delay")</f>
        <v>#VALUE!</v>
      </c>
      <c r="M610" s="29" t="str" cm="1">
        <f t="array" ref="M610">GetCSVIndex(A2,142+6048)</f>
        <v/>
      </c>
      <c r="N610" s="27" t="str" cm="1">
        <f t="array" ref="N610">GetCSVIndex(A2,286+6048)</f>
        <v/>
      </c>
      <c r="O610" s="43" t="str" cm="1">
        <f t="array" ref="O610">GetCSVIndex(A2,349+6048)</f>
        <v/>
      </c>
    </row>
    <row r="611" spans="1:15" ht="21" customHeight="1" x14ac:dyDescent="0.25">
      <c r="A611" s="37" t="s">
        <v>28</v>
      </c>
      <c r="B611" s="28"/>
      <c r="C611" s="29" t="str" cm="1">
        <f t="array" ref="C611">IF(GetCSVIndex(A2,14+6048)&lt;&gt;"65535",CONCATENATE(GetCSVIndex(A2,229+6048),":", GetCSVIndex(A2,239+6048)),"OFF")</f>
        <v>:</v>
      </c>
      <c r="D611" s="25"/>
      <c r="E611" s="45">
        <v>5</v>
      </c>
      <c r="F611" s="29" t="e" cm="1">
        <f t="array" ref="F611">CHOOSE(GetCSVIndex(A2,48+6048)+1,"","Station","Block","","Delay")</f>
        <v>#VALUE!</v>
      </c>
      <c r="G611" s="29" t="str" cm="1">
        <f t="array" ref="G611">GetCSVIndex(A2,49+6048)</f>
        <v/>
      </c>
      <c r="H611" s="45" t="str" cm="1">
        <f t="array" ref="H611">GetCSVIndex(A2,255+6048)</f>
        <v/>
      </c>
      <c r="I611" s="29" t="str" cm="1">
        <f t="array" ref="I611">GetCSVIndex(A2,318+6048)</f>
        <v/>
      </c>
      <c r="J611" s="25"/>
      <c r="K611" s="45">
        <v>37</v>
      </c>
      <c r="L611" s="29" t="e" cm="1">
        <f t="array" ref="L611">CHOOSE(GetCSVIndex(A2,144+6048)+1,"","Station","Block","","Delay")</f>
        <v>#VALUE!</v>
      </c>
      <c r="M611" s="29" t="str" cm="1">
        <f t="array" ref="M611">GetCSVIndex(A2,145+6048)</f>
        <v/>
      </c>
      <c r="N611" s="27" t="str" cm="1">
        <f t="array" ref="N611">GetCSVIndex(A2,287+6048)</f>
        <v/>
      </c>
      <c r="O611" s="43" t="str" cm="1">
        <f t="array" ref="O611">GetCSVIndex(A2,350+6048)</f>
        <v/>
      </c>
    </row>
    <row r="612" spans="1:15" ht="21" customHeight="1" x14ac:dyDescent="0.25">
      <c r="A612" s="38" t="s">
        <v>29</v>
      </c>
      <c r="B612" s="30"/>
      <c r="C612" s="29" t="str" cm="1">
        <f t="array" ref="C612">IF(GetCSVIndex(A2,15+6048)&lt;&gt;"65535",CONCATENATE(GetCSVIndex(A2,231+6048),":", GetCSVIndex(A2,241+6048)),"OFF")</f>
        <v>:</v>
      </c>
      <c r="D612" s="25"/>
      <c r="E612" s="45">
        <v>6</v>
      </c>
      <c r="F612" s="29" t="e" cm="1">
        <f t="array" ref="F612">CHOOSE(GetCSVIndex(A2,51+6048)+1,"","Station","Block","","Delay")</f>
        <v>#VALUE!</v>
      </c>
      <c r="G612" s="29" t="str" cm="1">
        <f t="array" ref="G612">GetCSVIndex(A2,52+6048)</f>
        <v/>
      </c>
      <c r="H612" s="45" t="str" cm="1">
        <f t="array" ref="H612">GetCSVIndex(A2,256+6048)</f>
        <v/>
      </c>
      <c r="I612" s="29" t="str" cm="1">
        <f t="array" ref="I612">GetCSVIndex(A2,319+6048)</f>
        <v/>
      </c>
      <c r="J612" s="25"/>
      <c r="K612" s="45">
        <v>38</v>
      </c>
      <c r="L612" s="29" t="e" cm="1">
        <f t="array" ref="L612">CHOOSE(GetCSVIndex(A2,147+6048)+1,"","Station","Block","","Delay")</f>
        <v>#VALUE!</v>
      </c>
      <c r="M612" s="29" t="str" cm="1">
        <f t="array" ref="M612">GetCSVIndex(A2,148+6048)</f>
        <v/>
      </c>
      <c r="N612" s="27" t="str" cm="1">
        <f t="array" ref="N612">GetCSVIndex(A2,288+6048)</f>
        <v/>
      </c>
      <c r="O612" s="43" t="str" cm="1">
        <f t="array" ref="O612">GetCSVIndex(A2,351+6048)</f>
        <v/>
      </c>
    </row>
    <row r="613" spans="1:15" ht="21" customHeight="1" x14ac:dyDescent="0.25">
      <c r="A613" s="38" t="s">
        <v>30</v>
      </c>
      <c r="B613" s="30"/>
      <c r="C613" s="29" t="str" cm="1">
        <f t="array" ref="C613">IF(GetCSVIndex(A2,16+6048)&lt;&gt;"65535",CONCATENATE(GetCSVIndex(A2,232+6048),":", GetCSVIndex(A2,242+6048)),"OFF")</f>
        <v>:</v>
      </c>
      <c r="D613" s="25"/>
      <c r="E613" s="45">
        <v>7</v>
      </c>
      <c r="F613" s="29" t="e" cm="1">
        <f t="array" ref="F613">CHOOSE(GetCSVIndex(A2,54+6048)+1,"","Station","Block","","Delay")</f>
        <v>#VALUE!</v>
      </c>
      <c r="G613" s="29" t="str" cm="1">
        <f t="array" ref="G613">GetCSVIndex(A2,55+6048)</f>
        <v/>
      </c>
      <c r="H613" s="45" t="str" cm="1">
        <f t="array" ref="H613">GetCSVIndex(A2,257+6048)</f>
        <v/>
      </c>
      <c r="I613" s="29" t="str" cm="1">
        <f t="array" ref="I613">GetCSVIndex(A2,320+6048)</f>
        <v/>
      </c>
      <c r="J613" s="25"/>
      <c r="K613" s="45">
        <v>39</v>
      </c>
      <c r="L613" s="29" t="e" cm="1">
        <f t="array" ref="L613">CHOOSE(GetCSVIndex(A2,150+6048)+1,"","Station","Block","","Delay")</f>
        <v>#VALUE!</v>
      </c>
      <c r="M613" s="29" t="str" cm="1">
        <f t="array" ref="M613">GetCSVIndex(A2,151+6048)</f>
        <v/>
      </c>
      <c r="N613" s="27" t="str" cm="1">
        <f t="array" ref="N613">GetCSVIndex(A2,289+6048)</f>
        <v/>
      </c>
      <c r="O613" s="43" t="str" cm="1">
        <f t="array" ref="O613">GetCSVIndex(A2,352+6048)</f>
        <v/>
      </c>
    </row>
    <row r="614" spans="1:15" ht="21" customHeight="1" x14ac:dyDescent="0.25">
      <c r="A614" s="38" t="s">
        <v>31</v>
      </c>
      <c r="B614" s="30"/>
      <c r="C614" s="29" t="str" cm="1">
        <f t="array" ref="C614">IF(GetCSVIndex(A2,17+6048)&lt;&gt;"65535",CONCATENATE(GetCSVIndex(A2,233+6048),":", GetCSVIndex(A2,243+6048)),"OFF")</f>
        <v>:</v>
      </c>
      <c r="D614" s="25"/>
      <c r="E614" s="45">
        <v>8</v>
      </c>
      <c r="F614" s="29" t="e" cm="1">
        <f t="array" ref="F614">CHOOSE(GetCSVIndex(A2,57+6048)+1,"","Station","Block","","Delay")</f>
        <v>#VALUE!</v>
      </c>
      <c r="G614" s="29" t="str" cm="1">
        <f t="array" ref="G614">GetCSVIndex(A2,58+6048)</f>
        <v/>
      </c>
      <c r="H614" s="45" t="str" cm="1">
        <f t="array" ref="H614">GetCSVIndex(A2,258+6048)</f>
        <v/>
      </c>
      <c r="I614" s="29" t="str" cm="1">
        <f t="array" ref="I614">GetCSVIndex(A2,321+6048)</f>
        <v/>
      </c>
      <c r="J614" s="25"/>
      <c r="K614" s="45">
        <v>40</v>
      </c>
      <c r="L614" s="29" t="e" cm="1">
        <f t="array" ref="L614">CHOOSE(GetCSVIndex(A2,153+6048)+1,"","Station","Block","","Delay")</f>
        <v>#VALUE!</v>
      </c>
      <c r="M614" s="29" t="str" cm="1">
        <f t="array" ref="M614">GetCSVIndex(A2,154+6048)</f>
        <v/>
      </c>
      <c r="N614" s="27" t="str" cm="1">
        <f t="array" ref="N614">GetCSVIndex(A2,290+6048)</f>
        <v/>
      </c>
      <c r="O614" s="43" t="str" cm="1">
        <f t="array" ref="O614">GetCSVIndex(A2,353+6048)</f>
        <v/>
      </c>
    </row>
    <row r="615" spans="1:15" ht="21" customHeight="1" x14ac:dyDescent="0.25">
      <c r="A615" s="38" t="s">
        <v>32</v>
      </c>
      <c r="B615" s="30"/>
      <c r="C615" s="29" t="str" cm="1">
        <f t="array" ref="C615">IF(GetCSVIndex(A2,18+6048)&lt;&gt;"65535",CONCATENATE(GetCSVIndex(A2,234+6048),":", GetCSVIndex(A2,244+6048)),"OFF")</f>
        <v>:</v>
      </c>
      <c r="D615" s="25"/>
      <c r="E615" s="45">
        <v>9</v>
      </c>
      <c r="F615" s="29" t="e" cm="1">
        <f t="array" ref="F615">CHOOSE(GetCSVIndex(A2,60+6048)+1,"","Station","Block","","Delay")</f>
        <v>#VALUE!</v>
      </c>
      <c r="G615" s="29" t="str" cm="1">
        <f t="array" ref="G615">GetCSVIndex(A2,61+6048)</f>
        <v/>
      </c>
      <c r="H615" s="45" t="str" cm="1">
        <f t="array" ref="H615">GetCSVIndex(A2,259+6048)</f>
        <v/>
      </c>
      <c r="I615" s="29" t="str" cm="1">
        <f t="array" ref="I615">GetCSVIndex(A2,322+6048)</f>
        <v/>
      </c>
      <c r="J615" s="25"/>
      <c r="K615" s="45">
        <v>41</v>
      </c>
      <c r="L615" s="29" t="e" cm="1">
        <f t="array" ref="L615">CHOOSE(GetCSVIndex(A2,156+6048)+1,"","Station","Block","","Delay")</f>
        <v>#VALUE!</v>
      </c>
      <c r="M615" s="29" t="str" cm="1">
        <f t="array" ref="M615">GetCSVIndex(A2,157+6048)</f>
        <v/>
      </c>
      <c r="N615" s="27" t="str" cm="1">
        <f t="array" ref="N615">GetCSVIndex(A2,291+6048)</f>
        <v/>
      </c>
      <c r="O615" s="43" t="str" cm="1">
        <f t="array" ref="O615">GetCSVIndex(A2,354+6048)</f>
        <v/>
      </c>
    </row>
    <row r="616" spans="1:15" ht="21" customHeight="1" x14ac:dyDescent="0.25">
      <c r="A616" s="38" t="s">
        <v>33</v>
      </c>
      <c r="B616" s="30"/>
      <c r="C616" s="29" t="str" cm="1">
        <f t="array" ref="C616">IF(GetCSVIndex(A2,19+6048)&lt;&gt;"65535",CONCATENATE(GetCSVIndex(A2,235+6048),":", GetCSVIndex(A2,245+6048)),"OFF")</f>
        <v>:</v>
      </c>
      <c r="D616" s="25"/>
      <c r="E616" s="45">
        <v>10</v>
      </c>
      <c r="F616" s="29" t="e" cm="1">
        <f t="array" ref="F616">CHOOSE(GetCSVIndex(A2,63+6048)+1,"","Station","Block","","Delay")</f>
        <v>#VALUE!</v>
      </c>
      <c r="G616" s="29" t="str" cm="1">
        <f t="array" ref="G616">GetCSVIndex(A2,64+6048)</f>
        <v/>
      </c>
      <c r="H616" s="45" t="str" cm="1">
        <f t="array" ref="H616">GetCSVIndex(A2,260+6048)</f>
        <v/>
      </c>
      <c r="I616" s="29" t="str" cm="1">
        <f t="array" ref="I616">GetCSVIndex(A2,323+6048)</f>
        <v/>
      </c>
      <c r="J616" s="25"/>
      <c r="K616" s="45">
        <v>42</v>
      </c>
      <c r="L616" s="29" t="e" cm="1">
        <f t="array" ref="L616">CHOOSE(GetCSVIndex(A2,159+6048)+1,"","Station","Block","","Delay")</f>
        <v>#VALUE!</v>
      </c>
      <c r="M616" s="29" t="str" cm="1">
        <f t="array" ref="M616">GetCSVIndex(A2,160+6048)</f>
        <v/>
      </c>
      <c r="N616" s="27" t="str" cm="1">
        <f t="array" ref="N616">GetCSVIndex(A2,292+6048)</f>
        <v/>
      </c>
      <c r="O616" s="43" t="str" cm="1">
        <f t="array" ref="O616">GetCSVIndex(A2,355+6048)</f>
        <v/>
      </c>
    </row>
    <row r="617" spans="1:15" ht="21" customHeight="1" x14ac:dyDescent="0.25">
      <c r="A617" s="38" t="s">
        <v>34</v>
      </c>
      <c r="B617" s="30"/>
      <c r="C617" s="29" t="str" cm="1">
        <f t="array" ref="C617">IF(GetCSVIndex(A2,20+6048)&lt;&gt;"65535",CONCATENATE(GetCSVIndex(A2,236+6048),":", GetCSVIndex(A2,246+6048)),"OFF")</f>
        <v>:</v>
      </c>
      <c r="D617" s="25"/>
      <c r="E617" s="45">
        <v>11</v>
      </c>
      <c r="F617" s="29" t="e" cm="1">
        <f t="array" ref="F617">CHOOSE(GetCSVIndex(A2,66+6048)+1,"","Station","Block","","Delay")</f>
        <v>#VALUE!</v>
      </c>
      <c r="G617" s="29" t="str" cm="1">
        <f t="array" ref="G617">GetCSVIndex(A2,67+6048)</f>
        <v/>
      </c>
      <c r="H617" s="45" t="str" cm="1">
        <f t="array" ref="H617">GetCSVIndex(A2,261+6048)</f>
        <v/>
      </c>
      <c r="I617" s="29" t="str" cm="1">
        <f t="array" ref="I617">GetCSVIndex(A2,324+6048)</f>
        <v/>
      </c>
      <c r="J617" s="25"/>
      <c r="K617" s="45">
        <v>43</v>
      </c>
      <c r="L617" s="29" t="e" cm="1">
        <f t="array" ref="L617">CHOOSE(GetCSVIndex(A2,162+6048)+1,"","Station","Block","","Delay")</f>
        <v>#VALUE!</v>
      </c>
      <c r="M617" s="29" t="str" cm="1">
        <f t="array" ref="M617">GetCSVIndex(A2,163+6048)</f>
        <v/>
      </c>
      <c r="N617" s="27" t="str" cm="1">
        <f t="array" ref="N617">GetCSVIndex(A2,293+6048)</f>
        <v/>
      </c>
      <c r="O617" s="43" t="str" cm="1">
        <f t="array" ref="O617">GetCSVIndex(A2,356+6048)</f>
        <v/>
      </c>
    </row>
    <row r="618" spans="1:15" ht="21" customHeight="1" x14ac:dyDescent="0.25">
      <c r="A618" s="38" t="s">
        <v>35</v>
      </c>
      <c r="B618" s="30"/>
      <c r="C618" s="29" t="str" cm="1">
        <f t="array" ref="C618">IF(GetCSVIndex(A2,21+6048)&lt;&gt;"65535",CONCATENATE(GetCSVIndex(A2,237+6048),":", GetCSVIndex(A2,247+6048)),"OFF")</f>
        <v>:</v>
      </c>
      <c r="D618" s="25"/>
      <c r="E618" s="45">
        <v>12</v>
      </c>
      <c r="F618" s="29" t="e" cm="1">
        <f t="array" ref="F618">CHOOSE(GetCSVIndex(A2,69+6048)+1,"","Station","Block","","Delay")</f>
        <v>#VALUE!</v>
      </c>
      <c r="G618" s="29" t="str" cm="1">
        <f t="array" ref="G618">GetCSVIndex(A2,70+6048)</f>
        <v/>
      </c>
      <c r="H618" s="45" t="str" cm="1">
        <f t="array" ref="H618">GetCSVIndex(A2,262+6048)</f>
        <v/>
      </c>
      <c r="I618" s="29" t="str" cm="1">
        <f t="array" ref="I618">GetCSVIndex(A2,325+6048)</f>
        <v/>
      </c>
      <c r="J618" s="25"/>
      <c r="K618" s="45">
        <v>44</v>
      </c>
      <c r="L618" s="29" t="e" cm="1">
        <f t="array" ref="L618">CHOOSE(GetCSVIndex(A2,165+6048)+1,"","Station","Block","","Delay")</f>
        <v>#VALUE!</v>
      </c>
      <c r="M618" s="29" t="str" cm="1">
        <f t="array" ref="M618">GetCSVIndex(A2,166+6048)</f>
        <v/>
      </c>
      <c r="N618" s="27" t="str" cm="1">
        <f t="array" ref="N618">GetCSVIndex(A2,294+6048)</f>
        <v/>
      </c>
      <c r="O618" s="43" t="str" cm="1">
        <f t="array" ref="O618">GetCSVIndex(A2,357+6048)</f>
        <v/>
      </c>
    </row>
    <row r="619" spans="1:15" ht="21" customHeight="1" x14ac:dyDescent="0.25">
      <c r="A619" s="38" t="s">
        <v>36</v>
      </c>
      <c r="B619" s="30"/>
      <c r="C619" s="29" t="str" cm="1">
        <f t="array" ref="C619">IF(GetCSVIndex(A2,22+6048)&lt;&gt;"65535",CONCATENATE(GetCSVIndex(A2,238+6048),":", GetCSVIndex(A2,248+6048)),"OFF")</f>
        <v>:</v>
      </c>
      <c r="D619" s="25"/>
      <c r="E619" s="45">
        <v>13</v>
      </c>
      <c r="F619" s="29" t="e" cm="1">
        <f t="array" ref="F619">CHOOSE(GetCSVIndex(A2,72+6048)+1,"","Station","Block","","Delay")</f>
        <v>#VALUE!</v>
      </c>
      <c r="G619" s="29" t="str" cm="1">
        <f t="array" ref="G619">GetCSVIndex(A2,73+6048)</f>
        <v/>
      </c>
      <c r="H619" s="45" t="str" cm="1">
        <f t="array" ref="H619">GetCSVIndex(A2,263+6048)</f>
        <v/>
      </c>
      <c r="I619" s="29" t="str" cm="1">
        <f t="array" ref="I619">GetCSVIndex(A2,326+6048)</f>
        <v/>
      </c>
      <c r="J619" s="25"/>
      <c r="K619" s="45">
        <v>45</v>
      </c>
      <c r="L619" s="29" t="e" cm="1">
        <f t="array" ref="L619">CHOOSE(GetCSVIndex(A2,168+6048)+1,"","Station","Block","","Delay")</f>
        <v>#VALUE!</v>
      </c>
      <c r="M619" s="29" t="str" cm="1">
        <f t="array" ref="M619">GetCSVIndex(A2,169+6048)</f>
        <v/>
      </c>
      <c r="N619" s="27" t="str" cm="1">
        <f t="array" ref="N619">GetCSVIndex(A2,295+6048)</f>
        <v/>
      </c>
      <c r="O619" s="43" t="str" cm="1">
        <f t="array" ref="O619">GetCSVIndex(A2,358+6048)</f>
        <v/>
      </c>
    </row>
    <row r="620" spans="1:15" ht="21" customHeight="1" x14ac:dyDescent="0.25">
      <c r="A620" s="36" t="s">
        <v>37</v>
      </c>
      <c r="B620" s="25"/>
      <c r="C620" s="29" t="str" cm="1">
        <f t="array" ref="C620">IF(GetCSVIndex(A2,23+6048)&lt;&gt;"65535",CONCATENATE(GetCSVIndex(A2,230+6048),":", GetCSVIndex(A2,240+6048)),"OFF")</f>
        <v>:</v>
      </c>
      <c r="D620" s="25"/>
      <c r="E620" s="45">
        <v>14</v>
      </c>
      <c r="F620" s="29" t="e" cm="1">
        <f t="array" ref="F620">CHOOSE(GetCSVIndex(A2,75+6048)+1,"","Station","Block","","Delay")</f>
        <v>#VALUE!</v>
      </c>
      <c r="G620" s="29" t="str" cm="1">
        <f t="array" ref="G620">GetCSVIndex(A2,76+6048)</f>
        <v/>
      </c>
      <c r="H620" s="45" t="str" cm="1">
        <f t="array" ref="H620">GetCSVIndex(A2,264+6048)</f>
        <v/>
      </c>
      <c r="I620" s="29" t="str" cm="1">
        <f t="array" ref="I620">GetCSVIndex(A2,327+6048)</f>
        <v/>
      </c>
      <c r="J620" s="25"/>
      <c r="K620" s="45">
        <v>46</v>
      </c>
      <c r="L620" s="29" t="e" cm="1">
        <f t="array" ref="L620">CHOOSE(GetCSVIndex(A2,171+6048)+1,"","Station","Block","","Delay")</f>
        <v>#VALUE!</v>
      </c>
      <c r="M620" s="29" t="str" cm="1">
        <f t="array" ref="M620">GetCSVIndex(A2,172+6048)</f>
        <v/>
      </c>
      <c r="N620" s="27" t="str" cm="1">
        <f t="array" ref="N620">GetCSVIndex(A2,296+6048)</f>
        <v/>
      </c>
      <c r="O620" s="43" t="str" cm="1">
        <f t="array" ref="O620">GetCSVIndex(A2,359+6048)</f>
        <v/>
      </c>
    </row>
    <row r="621" spans="1:15" ht="21" customHeight="1" x14ac:dyDescent="0.25">
      <c r="A621" s="39"/>
      <c r="B621" s="40"/>
      <c r="C621" s="41"/>
      <c r="D621" s="26"/>
      <c r="E621" s="45">
        <v>15</v>
      </c>
      <c r="F621" s="29" t="e" cm="1">
        <f t="array" ref="F621">CHOOSE(GetCSVIndex(A2,78+6048)+1,"","Station","Block","","Delay")</f>
        <v>#VALUE!</v>
      </c>
      <c r="G621" s="29" t="str" cm="1">
        <f t="array" ref="G621">GetCSVIndex(A2,79+6048)</f>
        <v/>
      </c>
      <c r="H621" s="45" t="str" cm="1">
        <f t="array" ref="H621">GetCSVIndex(A2,265+6048)</f>
        <v/>
      </c>
      <c r="I621" s="29" t="str" cm="1">
        <f t="array" ref="I621">GetCSVIndex(A2,328+6048)</f>
        <v/>
      </c>
      <c r="J621" s="26"/>
      <c r="K621" s="45">
        <v>47</v>
      </c>
      <c r="L621" s="29" t="e" cm="1">
        <f t="array" ref="L621">CHOOSE(GetCSVIndex(A2,174+6048)+1,"","Station","Block","","Delay")</f>
        <v>#VALUE!</v>
      </c>
      <c r="M621" s="29" t="str" cm="1">
        <f t="array" ref="M621">GetCSVIndex(A2,175+6048)</f>
        <v/>
      </c>
      <c r="N621" s="27" t="str" cm="1">
        <f t="array" ref="N621">GetCSVIndex(A2,297+6048)</f>
        <v/>
      </c>
      <c r="O621" s="43" t="str" cm="1">
        <f t="array" ref="O621">GetCSVIndex(A2,360+6048)</f>
        <v/>
      </c>
    </row>
    <row r="622" spans="1:15" ht="21" customHeight="1" x14ac:dyDescent="0.25">
      <c r="A622" s="42"/>
      <c r="B622" s="25"/>
      <c r="C622" s="25"/>
      <c r="D622" s="26"/>
      <c r="E622" s="45">
        <v>16</v>
      </c>
      <c r="F622" s="29" t="e" cm="1">
        <f t="array" ref="F622">CHOOSE(GetCSVIndex(A2,81+6048)+1,"","Station","Block","","Delay")</f>
        <v>#VALUE!</v>
      </c>
      <c r="G622" s="29" t="str" cm="1">
        <f t="array" ref="G622">GetCSVIndex(A2,82+6048)</f>
        <v/>
      </c>
      <c r="H622" s="45" t="str" cm="1">
        <f t="array" ref="H622">GetCSVIndex(A2,266+6048)</f>
        <v/>
      </c>
      <c r="I622" s="29" t="str" cm="1">
        <f t="array" ref="I622">GetCSVIndex(A2,329+6048)</f>
        <v/>
      </c>
      <c r="J622" s="25"/>
      <c r="K622" s="45">
        <v>48</v>
      </c>
      <c r="L622" s="29" t="e" cm="1">
        <f t="array" ref="L622">CHOOSE(GetCSVIndex(A2,177+6048)+1,"","Station","Block","","Delay")</f>
        <v>#VALUE!</v>
      </c>
      <c r="M622" s="29" t="str" cm="1">
        <f t="array" ref="M622">GetCSVIndex(A2,178+6048)</f>
        <v/>
      </c>
      <c r="N622" s="27" t="str" cm="1">
        <f t="array" ref="N622">GetCSVIndex(A2,298+6048)</f>
        <v/>
      </c>
      <c r="O622" s="43" t="str" cm="1">
        <f t="array" ref="O622">GetCSVIndex(A2,361+6048)</f>
        <v/>
      </c>
    </row>
    <row r="623" spans="1:15" ht="21" customHeight="1" x14ac:dyDescent="0.25">
      <c r="A623" s="42"/>
      <c r="B623" s="25"/>
      <c r="C623" s="25"/>
      <c r="D623" s="26"/>
      <c r="E623" s="45">
        <v>17</v>
      </c>
      <c r="F623" s="29" t="e" cm="1">
        <f t="array" ref="F623">CHOOSE(GetCSVIndex(A2,84+6048)+1,"","Station","Block","","Delay")</f>
        <v>#VALUE!</v>
      </c>
      <c r="G623" s="29" t="str" cm="1">
        <f t="array" ref="G623">GetCSVIndex(A2,85+6048)</f>
        <v/>
      </c>
      <c r="H623" s="45" t="str" cm="1">
        <f t="array" ref="H623">GetCSVIndex(A2,267+6048)</f>
        <v/>
      </c>
      <c r="I623" s="29" t="str" cm="1">
        <f t="array" ref="I623">GetCSVIndex(A2,330+6048)</f>
        <v/>
      </c>
      <c r="J623" s="26"/>
      <c r="K623" s="45">
        <v>49</v>
      </c>
      <c r="L623" s="29" t="e" cm="1">
        <f t="array" ref="L623">CHOOSE(GetCSVIndex(A2,180+6048)+1,"","Station","Block","","Delay")</f>
        <v>#VALUE!</v>
      </c>
      <c r="M623" s="29" t="str" cm="1">
        <f t="array" ref="M623">GetCSVIndex(A2,181+6048)</f>
        <v/>
      </c>
      <c r="N623" s="27" t="str" cm="1">
        <f t="array" ref="N623">GetCSVIndex(A2,299+6048)</f>
        <v/>
      </c>
      <c r="O623" s="43" t="str" cm="1">
        <f t="array" ref="O623">GetCSVIndex(A2,362+6048)</f>
        <v/>
      </c>
    </row>
    <row r="624" spans="1:15" ht="21" customHeight="1" x14ac:dyDescent="0.25">
      <c r="A624" s="42"/>
      <c r="B624" s="25"/>
      <c r="C624" s="25"/>
      <c r="D624" s="26"/>
      <c r="E624" s="45">
        <v>18</v>
      </c>
      <c r="F624" s="29" t="e" cm="1">
        <f t="array" ref="F624">CHOOSE(GetCSVIndex(A2,87+6048)+1,"","Station","Block","","Delay")</f>
        <v>#VALUE!</v>
      </c>
      <c r="G624" s="29" t="str" cm="1">
        <f t="array" ref="G624">GetCSVIndex(A2,88+6048)</f>
        <v/>
      </c>
      <c r="H624" s="45" t="str" cm="1">
        <f t="array" ref="H624">GetCSVIndex(A2,268+6048)</f>
        <v/>
      </c>
      <c r="I624" s="29" t="str" cm="1">
        <f t="array" ref="I624">GetCSVIndex(A2,331+6048)</f>
        <v/>
      </c>
      <c r="J624" s="26"/>
      <c r="K624" s="45">
        <v>50</v>
      </c>
      <c r="L624" s="29" t="e" cm="1">
        <f t="array" ref="L624">CHOOSE(GetCSVIndex(A2,183+6048)+1,"","Station","Block","","Delay")</f>
        <v>#VALUE!</v>
      </c>
      <c r="M624" s="29" t="str" cm="1">
        <f t="array" ref="M624">GetCSVIndex(A2,184+6048)</f>
        <v/>
      </c>
      <c r="N624" s="27" t="str" cm="1">
        <f t="array" ref="N624">GetCSVIndex(A2,300+6048)</f>
        <v/>
      </c>
      <c r="O624" s="43" t="str" cm="1">
        <f t="array" ref="O624">GetCSVIndex(A2,363+6048)</f>
        <v/>
      </c>
    </row>
    <row r="625" spans="1:15" ht="21" customHeight="1" x14ac:dyDescent="0.25">
      <c r="A625" s="42"/>
      <c r="B625" s="25"/>
      <c r="C625" s="25"/>
      <c r="D625" s="26"/>
      <c r="E625" s="45">
        <v>19</v>
      </c>
      <c r="F625" s="29" t="e" cm="1">
        <f t="array" ref="F625">CHOOSE(GetCSVIndex(A2,90+6048)+1,"","Station","Block","","Delay")</f>
        <v>#VALUE!</v>
      </c>
      <c r="G625" s="29" t="str" cm="1">
        <f t="array" ref="G625">GetCSVIndex(A2,91+6048)</f>
        <v/>
      </c>
      <c r="H625" s="45" t="str" cm="1">
        <f t="array" ref="H625">GetCSVIndex(A2,269+6048)</f>
        <v/>
      </c>
      <c r="I625" s="29" t="str" cm="1">
        <f t="array" ref="I625">GetCSVIndex(A2,332+6048)</f>
        <v/>
      </c>
      <c r="J625" s="26"/>
      <c r="K625" s="45">
        <v>51</v>
      </c>
      <c r="L625" s="29" t="e" cm="1">
        <f t="array" ref="L625">CHOOSE(GetCSVIndex(A2,186+6048)+1,"","Station","Block","","Delay")</f>
        <v>#VALUE!</v>
      </c>
      <c r="M625" s="29" t="str" cm="1">
        <f t="array" ref="M625">GetCSVIndex(A2,187+6048)</f>
        <v/>
      </c>
      <c r="N625" s="27" t="str" cm="1">
        <f t="array" ref="N625">GetCSVIndex(A2,301+6048)</f>
        <v/>
      </c>
      <c r="O625" s="43" t="str" cm="1">
        <f t="array" ref="O625">GetCSVIndex(A2,364+6048)</f>
        <v/>
      </c>
    </row>
    <row r="626" spans="1:15" ht="21" customHeight="1" x14ac:dyDescent="0.25">
      <c r="A626" s="42"/>
      <c r="B626" s="25"/>
      <c r="C626" s="25"/>
      <c r="D626" s="26"/>
      <c r="E626" s="45">
        <v>20</v>
      </c>
      <c r="F626" s="29" t="e" cm="1">
        <f t="array" ref="F626">CHOOSE(GetCSVIndex(A2,93+6048)+1,"","Station","Block","","Delay")</f>
        <v>#VALUE!</v>
      </c>
      <c r="G626" s="29" t="str" cm="1">
        <f t="array" ref="G626">GetCSVIndex(A2,94+6048)</f>
        <v/>
      </c>
      <c r="H626" s="45" t="str" cm="1">
        <f t="array" ref="H626">GetCSVIndex(A2,270+6048)</f>
        <v/>
      </c>
      <c r="I626" s="29" t="str" cm="1">
        <f t="array" ref="I626">GetCSVIndex(A2,333+6048)</f>
        <v/>
      </c>
      <c r="J626" s="26"/>
      <c r="K626" s="45">
        <v>52</v>
      </c>
      <c r="L626" s="29" t="e" cm="1">
        <f t="array" ref="L626">CHOOSE(GetCSVIndex(A2,189+6048)+1,"","Station","Block","","Delay")</f>
        <v>#VALUE!</v>
      </c>
      <c r="M626" s="29" t="str" cm="1">
        <f t="array" ref="M626">GetCSVIndex(A2,190+6048)</f>
        <v/>
      </c>
      <c r="N626" s="27" t="str" cm="1">
        <f t="array" ref="N626">GetCSVIndex(A2,302+6048)</f>
        <v/>
      </c>
      <c r="O626" s="43" t="str" cm="1">
        <f t="array" ref="O626">GetCSVIndex(A2,365+6048)</f>
        <v/>
      </c>
    </row>
    <row r="627" spans="1:15" ht="21" customHeight="1" x14ac:dyDescent="0.25">
      <c r="A627" s="42"/>
      <c r="B627" s="25"/>
      <c r="C627" s="25"/>
      <c r="D627" s="26"/>
      <c r="E627" s="45">
        <v>21</v>
      </c>
      <c r="F627" s="29" t="e" cm="1">
        <f t="array" ref="F627">CHOOSE(GetCSVIndex(A2,96+6048)+1,"","Station","Block","","Delay")</f>
        <v>#VALUE!</v>
      </c>
      <c r="G627" s="29" t="str" cm="1">
        <f t="array" ref="G627">GetCSVIndex(A2,97+6048)</f>
        <v/>
      </c>
      <c r="H627" s="45" t="str" cm="1">
        <f t="array" ref="H627">GetCSVIndex(A2,271+6048)</f>
        <v/>
      </c>
      <c r="I627" s="29" t="str" cm="1">
        <f t="array" ref="I627">GetCSVIndex(A2,334+6048)</f>
        <v/>
      </c>
      <c r="J627" s="26"/>
      <c r="K627" s="45">
        <v>53</v>
      </c>
      <c r="L627" s="29" t="e" cm="1">
        <f t="array" ref="L627">CHOOSE(GetCSVIndex(A2,192+6048)+1,"","Station","Block","","Delay")</f>
        <v>#VALUE!</v>
      </c>
      <c r="M627" s="29" t="str" cm="1">
        <f t="array" ref="M627">GetCSVIndex(A2,193+6048)</f>
        <v/>
      </c>
      <c r="N627" s="27" t="str" cm="1">
        <f t="array" ref="N627">GetCSVIndex(A2,303+6048)</f>
        <v/>
      </c>
      <c r="O627" s="43" t="str" cm="1">
        <f t="array" ref="O627">GetCSVIndex(A2,366+6048)</f>
        <v/>
      </c>
    </row>
    <row r="628" spans="1:15" ht="21" customHeight="1" x14ac:dyDescent="0.25">
      <c r="A628" s="42"/>
      <c r="B628" s="25"/>
      <c r="C628" s="25"/>
      <c r="D628" s="26"/>
      <c r="E628" s="45">
        <v>22</v>
      </c>
      <c r="F628" s="29" t="e" cm="1">
        <f t="array" ref="F628">CHOOSE(GetCSVIndex(A2,99+6048)+1,"","Station","Block","","Delay")</f>
        <v>#VALUE!</v>
      </c>
      <c r="G628" s="29" t="str" cm="1">
        <f t="array" ref="G628">GetCSVIndex(A2,100+6048)</f>
        <v/>
      </c>
      <c r="H628" s="45" t="str" cm="1">
        <f t="array" ref="H628">GetCSVIndex(A2,272+6048)</f>
        <v/>
      </c>
      <c r="I628" s="29" t="str" cm="1">
        <f t="array" ref="I628">GetCSVIndex(A2,335+6048)</f>
        <v/>
      </c>
      <c r="J628" s="26"/>
      <c r="K628" s="45">
        <v>54</v>
      </c>
      <c r="L628" s="29" t="e" cm="1">
        <f t="array" ref="L628">CHOOSE(GetCSVIndex(A2,195+6048)+1,"","Station","Block","","Delay")</f>
        <v>#VALUE!</v>
      </c>
      <c r="M628" s="29" t="str" cm="1">
        <f t="array" ref="M628">GetCSVIndex(A2,196+6048)</f>
        <v/>
      </c>
      <c r="N628" s="27" t="str" cm="1">
        <f t="array" ref="N628">GetCSVIndex(A2,304+6048)</f>
        <v/>
      </c>
      <c r="O628" s="43" t="str" cm="1">
        <f t="array" ref="O628">GetCSVIndex(A2,367+6048)</f>
        <v/>
      </c>
    </row>
    <row r="629" spans="1:15" ht="21" customHeight="1" x14ac:dyDescent="0.25">
      <c r="A629" s="42"/>
      <c r="B629" s="25"/>
      <c r="C629" s="25"/>
      <c r="D629" s="26"/>
      <c r="E629" s="45">
        <v>23</v>
      </c>
      <c r="F629" s="29" t="e" cm="1">
        <f t="array" ref="F629">CHOOSE(GetCSVIndex(A2,102+6048)+1,"","Station","Block","","Delay")</f>
        <v>#VALUE!</v>
      </c>
      <c r="G629" s="29" t="str" cm="1">
        <f t="array" ref="G629">GetCSVIndex(A2,103+6048)</f>
        <v/>
      </c>
      <c r="H629" s="45" t="str" cm="1">
        <f t="array" ref="H629">GetCSVIndex(A2,273+6048)</f>
        <v/>
      </c>
      <c r="I629" s="29" t="str" cm="1">
        <f t="array" ref="I629">GetCSVIndex(A2,336+6048)</f>
        <v/>
      </c>
      <c r="J629" s="26"/>
      <c r="K629" s="45">
        <v>55</v>
      </c>
      <c r="L629" s="29" t="e" cm="1">
        <f t="array" ref="L629">CHOOSE(GetCSVIndex(A2,198+6048)+1,"","Station","Block","","Delay")</f>
        <v>#VALUE!</v>
      </c>
      <c r="M629" s="29" t="str" cm="1">
        <f t="array" ref="M629">GetCSVIndex(A2,199+6048)</f>
        <v/>
      </c>
      <c r="N629" s="27" t="str" cm="1">
        <f t="array" ref="N629">GetCSVIndex(A2,305+6048)</f>
        <v/>
      </c>
      <c r="O629" s="43" t="str" cm="1">
        <f t="array" ref="O629">GetCSVIndex(A2,368+6048)</f>
        <v/>
      </c>
    </row>
    <row r="630" spans="1:15" ht="21" customHeight="1" x14ac:dyDescent="0.25">
      <c r="A630" s="42"/>
      <c r="B630" s="25"/>
      <c r="C630" s="25"/>
      <c r="D630" s="26"/>
      <c r="E630" s="45">
        <v>24</v>
      </c>
      <c r="F630" s="29" t="e" cm="1">
        <f t="array" ref="F630">CHOOSE(GetCSVIndex(A2,105+6048)+1,"","Station","Block","","Delay")</f>
        <v>#VALUE!</v>
      </c>
      <c r="G630" s="29" t="str" cm="1">
        <f t="array" ref="G630">GetCSVIndex(A2,106+6048)</f>
        <v/>
      </c>
      <c r="H630" s="45" t="str" cm="1">
        <f t="array" ref="H630">GetCSVIndex(A2,274+6048)</f>
        <v/>
      </c>
      <c r="I630" s="29" t="str" cm="1">
        <f t="array" ref="I630">GetCSVIndex(A2,337+6048)</f>
        <v/>
      </c>
      <c r="J630" s="26"/>
      <c r="K630" s="45">
        <v>56</v>
      </c>
      <c r="L630" s="29" t="e" cm="1">
        <f t="array" ref="L630">CHOOSE(GetCSVIndex(A2,201+6048)+1,"","Station","Block","","Delay")</f>
        <v>#VALUE!</v>
      </c>
      <c r="M630" s="29" t="str" cm="1">
        <f t="array" ref="M630">GetCSVIndex(A2,202+6048)</f>
        <v/>
      </c>
      <c r="N630" s="27" t="str" cm="1">
        <f t="array" ref="N630">GetCSVIndex(A2,306+6048)</f>
        <v/>
      </c>
      <c r="O630" s="43" t="str" cm="1">
        <f t="array" ref="O630">GetCSVIndex(A2,369+6048)</f>
        <v/>
      </c>
    </row>
    <row r="631" spans="1:15" ht="21" customHeight="1" x14ac:dyDescent="0.25">
      <c r="A631" s="42"/>
      <c r="B631" s="25"/>
      <c r="C631" s="25"/>
      <c r="D631" s="26"/>
      <c r="E631" s="45">
        <v>25</v>
      </c>
      <c r="F631" s="29" t="e" cm="1">
        <f t="array" ref="F631">CHOOSE(GetCSVIndex(A2,108+6048)+1,"","Station","Block","","Delay")</f>
        <v>#VALUE!</v>
      </c>
      <c r="G631" s="29" t="str" cm="1">
        <f t="array" ref="G631">GetCSVIndex(A2,109+6048)</f>
        <v/>
      </c>
      <c r="H631" s="45" t="str" cm="1">
        <f t="array" ref="H631">GetCSVIndex(A2,275+6048)</f>
        <v/>
      </c>
      <c r="I631" s="29" t="str" cm="1">
        <f t="array" ref="I631">GetCSVIndex(A2,338+6048)</f>
        <v/>
      </c>
      <c r="J631" s="26"/>
      <c r="K631" s="45">
        <v>57</v>
      </c>
      <c r="L631" s="29" t="e" cm="1">
        <f t="array" ref="L631">CHOOSE(GetCSVIndex(A2,204+6048)+1,"","Station","Block","","Delay")</f>
        <v>#VALUE!</v>
      </c>
      <c r="M631" s="29" t="str" cm="1">
        <f t="array" ref="M631">GetCSVIndex(A2,205+6048)</f>
        <v/>
      </c>
      <c r="N631" s="27" t="str" cm="1">
        <f t="array" ref="N631">GetCSVIndex(A2,307+6048)</f>
        <v/>
      </c>
      <c r="O631" s="43" t="str" cm="1">
        <f t="array" ref="O631">GetCSVIndex(A2,370+6048)</f>
        <v/>
      </c>
    </row>
    <row r="632" spans="1:15" ht="21" customHeight="1" x14ac:dyDescent="0.25">
      <c r="A632" s="42"/>
      <c r="B632" s="25"/>
      <c r="C632" s="25"/>
      <c r="D632" s="26"/>
      <c r="E632" s="45">
        <v>26</v>
      </c>
      <c r="F632" s="29" t="e" cm="1">
        <f t="array" ref="F632">CHOOSE(GetCSVIndex(A2,111+6048)+1,"","Station","Block","","Delay")</f>
        <v>#VALUE!</v>
      </c>
      <c r="G632" s="29" t="str" cm="1">
        <f t="array" ref="G632">GetCSVIndex(A2,112+6048)</f>
        <v/>
      </c>
      <c r="H632" s="45" t="str" cm="1">
        <f t="array" ref="H632">GetCSVIndex(A2,276+6048)</f>
        <v/>
      </c>
      <c r="I632" s="29" t="str" cm="1">
        <f t="array" ref="I632">GetCSVIndex(A2,339+6048)</f>
        <v/>
      </c>
      <c r="J632" s="26"/>
      <c r="K632" s="45">
        <v>58</v>
      </c>
      <c r="L632" s="29" t="e" cm="1">
        <f t="array" ref="L632">CHOOSE(GetCSVIndex(A2,207+6048)+1,"","Station","Block","","Delay")</f>
        <v>#VALUE!</v>
      </c>
      <c r="M632" s="29" t="str" cm="1">
        <f t="array" ref="M632">GetCSVIndex(A2,208+6048)</f>
        <v/>
      </c>
      <c r="N632" s="27" t="str" cm="1">
        <f t="array" ref="N632">GetCSVIndex(A2,308+6048)</f>
        <v/>
      </c>
      <c r="O632" s="43" t="str" cm="1">
        <f t="array" ref="O632">GetCSVIndex(A2,371+6048)</f>
        <v/>
      </c>
    </row>
    <row r="633" spans="1:15" ht="21" customHeight="1" x14ac:dyDescent="0.25">
      <c r="A633" s="42"/>
      <c r="B633" s="25"/>
      <c r="C633" s="25"/>
      <c r="D633" s="26"/>
      <c r="E633" s="45">
        <v>27</v>
      </c>
      <c r="F633" s="29" t="e" cm="1">
        <f t="array" ref="F633">CHOOSE(GetCSVIndex(A2,114+6048)+1,"","Station","Block","","Delay")</f>
        <v>#VALUE!</v>
      </c>
      <c r="G633" s="29" t="str" cm="1">
        <f t="array" ref="G633">GetCSVIndex(A2,115+6048)</f>
        <v/>
      </c>
      <c r="H633" s="45" t="str" cm="1">
        <f t="array" ref="H633">GetCSVIndex(A2,277+6048)</f>
        <v/>
      </c>
      <c r="I633" s="29" t="str" cm="1">
        <f t="array" ref="I633">GetCSVIndex(A2,340+6048)</f>
        <v/>
      </c>
      <c r="J633" s="26"/>
      <c r="K633" s="45">
        <v>59</v>
      </c>
      <c r="L633" s="29" t="e" cm="1">
        <f t="array" ref="L633">CHOOSE(GetCSVIndex(A2,210+6048)+1,"","Station","Block","","Delay")</f>
        <v>#VALUE!</v>
      </c>
      <c r="M633" s="29" t="str" cm="1">
        <f t="array" ref="M633">GetCSVIndex(A2,211+6048)</f>
        <v/>
      </c>
      <c r="N633" s="27" t="str" cm="1">
        <f t="array" ref="N633">GetCSVIndex(A2,309+6048)</f>
        <v/>
      </c>
      <c r="O633" s="43" t="str" cm="1">
        <f t="array" ref="O633">GetCSVIndex(A2,372+6048)</f>
        <v/>
      </c>
    </row>
    <row r="634" spans="1:15" ht="21" customHeight="1" x14ac:dyDescent="0.25">
      <c r="A634" s="42"/>
      <c r="B634" s="25"/>
      <c r="C634" s="25"/>
      <c r="D634" s="26"/>
      <c r="E634" s="45">
        <v>28</v>
      </c>
      <c r="F634" s="29" t="e" cm="1">
        <f t="array" ref="F634">CHOOSE(GetCSVIndex(A2,117+6048)+1,"","Station","Block","","Delay")</f>
        <v>#VALUE!</v>
      </c>
      <c r="G634" s="29" t="str" cm="1">
        <f t="array" ref="G634">GetCSVIndex(A2,118+6048)</f>
        <v/>
      </c>
      <c r="H634" s="45" t="str" cm="1">
        <f t="array" ref="H634">GetCSVIndex(A2,278+6048)</f>
        <v/>
      </c>
      <c r="I634" s="29" t="str" cm="1">
        <f t="array" ref="I634">GetCSVIndex(A2,341+6048)</f>
        <v/>
      </c>
      <c r="J634" s="26"/>
      <c r="K634" s="45">
        <v>60</v>
      </c>
      <c r="L634" s="29" t="e" cm="1">
        <f t="array" ref="L634">CHOOSE(GetCSVIndex(A2,213+6048)+1,"","Station","Block","","Delay")</f>
        <v>#VALUE!</v>
      </c>
      <c r="M634" s="29" t="str" cm="1">
        <f t="array" ref="M634">GetCSVIndex(A2,214+6048)</f>
        <v/>
      </c>
      <c r="N634" s="27" t="str" cm="1">
        <f t="array" ref="N634">GetCSVIndex(A2,310+6048)</f>
        <v/>
      </c>
      <c r="O634" s="43" t="str" cm="1">
        <f t="array" ref="O634">GetCSVIndex(A2,373+6048)</f>
        <v/>
      </c>
    </row>
    <row r="635" spans="1:15" ht="21" customHeight="1" x14ac:dyDescent="0.25">
      <c r="A635" s="42"/>
      <c r="B635" s="25"/>
      <c r="C635" s="25"/>
      <c r="D635" s="26"/>
      <c r="E635" s="45">
        <v>29</v>
      </c>
      <c r="F635" s="29" t="e" cm="1">
        <f t="array" ref="F635">CHOOSE(GetCSVIndex(A2,120+6048)+1,"","Station","Block","","Delay")</f>
        <v>#VALUE!</v>
      </c>
      <c r="G635" s="29" t="str" cm="1">
        <f t="array" ref="G635">GetCSVIndex(A2,121+6048)</f>
        <v/>
      </c>
      <c r="H635" s="45" t="str" cm="1">
        <f t="array" ref="H635">GetCSVIndex(A2,279+6048)</f>
        <v/>
      </c>
      <c r="I635" s="29" t="str" cm="1">
        <f t="array" ref="I635">GetCSVIndex(A2,342+6048)</f>
        <v/>
      </c>
      <c r="J635" s="26"/>
      <c r="K635" s="45">
        <v>61</v>
      </c>
      <c r="L635" s="29" t="e" cm="1">
        <f t="array" ref="L635">CHOOSE(GetCSVIndex(A2,216+6048)+1,"","Station","Block","","Delay")</f>
        <v>#VALUE!</v>
      </c>
      <c r="M635" s="29" t="str" cm="1">
        <f t="array" ref="M635">GetCSVIndex(A2,217+6048)</f>
        <v/>
      </c>
      <c r="N635" s="27" t="str" cm="1">
        <f t="array" ref="N635">GetCSVIndex(A2,311+6048)</f>
        <v/>
      </c>
      <c r="O635" s="43" t="str" cm="1">
        <f t="array" ref="O635">GetCSVIndex(A2,374+6048)</f>
        <v/>
      </c>
    </row>
    <row r="636" spans="1:15" ht="21" customHeight="1" x14ac:dyDescent="0.25">
      <c r="A636" s="42"/>
      <c r="B636" s="25"/>
      <c r="C636" s="25"/>
      <c r="D636" s="26"/>
      <c r="E636" s="45">
        <v>30</v>
      </c>
      <c r="F636" s="29" t="e" cm="1">
        <f t="array" ref="F636">CHOOSE(GetCSVIndex(A2,123+6048)+1,"","Station","Block","","Delay")</f>
        <v>#VALUE!</v>
      </c>
      <c r="G636" s="29" t="str" cm="1">
        <f t="array" ref="G636">GetCSVIndex(A2,124+6048)</f>
        <v/>
      </c>
      <c r="H636" s="45" t="str" cm="1">
        <f t="array" ref="H636">GetCSVIndex(A2,280+6048)</f>
        <v/>
      </c>
      <c r="I636" s="29" t="str" cm="1">
        <f t="array" ref="I636">GetCSVIndex(A2,343+6048)</f>
        <v/>
      </c>
      <c r="J636" s="26"/>
      <c r="K636" s="45">
        <v>62</v>
      </c>
      <c r="L636" s="29" t="e" cm="1">
        <f t="array" ref="L636">CHOOSE(GetCSVIndex(A2,219+6048)+1,"","Station","Block","","Delay")</f>
        <v>#VALUE!</v>
      </c>
      <c r="M636" s="29" t="str" cm="1">
        <f t="array" ref="M636">GetCSVIndex(A2,220+6048)</f>
        <v/>
      </c>
      <c r="N636" s="27" t="str" cm="1">
        <f t="array" ref="N636">GetCSVIndex(A2,312+6048)</f>
        <v/>
      </c>
      <c r="O636" s="43" t="str" cm="1">
        <f t="array" ref="O636">GetCSVIndex(A2,375+6048)</f>
        <v/>
      </c>
    </row>
    <row r="637" spans="1:15" ht="21" customHeight="1" x14ac:dyDescent="0.25">
      <c r="A637" s="42"/>
      <c r="B637" s="25"/>
      <c r="C637" s="25"/>
      <c r="D637" s="26"/>
      <c r="E637" s="45">
        <v>31</v>
      </c>
      <c r="F637" s="29" t="e" cm="1">
        <f t="array" ref="F637">CHOOSE(GetCSVIndex(A2,126+6048)+1,"","Station","Block","","Delay")</f>
        <v>#VALUE!</v>
      </c>
      <c r="G637" s="29" t="str" cm="1">
        <f t="array" ref="G637">GetCSVIndex(A2,127+6048)</f>
        <v/>
      </c>
      <c r="H637" s="45" t="str" cm="1">
        <f t="array" ref="H637">GetCSVIndex(A2,281+6048)</f>
        <v/>
      </c>
      <c r="I637" s="29" t="str" cm="1">
        <f t="array" ref="I637">GetCSVIndex(A2,344+6048)</f>
        <v/>
      </c>
      <c r="J637" s="26"/>
      <c r="K637" s="45">
        <v>63</v>
      </c>
      <c r="L637" s="29" t="e" cm="1">
        <f t="array" ref="L637">CHOOSE(GetCSVIndex(A2,222+6048)+1,"","Station","Block","","Delay")</f>
        <v>#VALUE!</v>
      </c>
      <c r="M637" s="29" t="str" cm="1">
        <f t="array" ref="M637">GetCSVIndex(A2,223+6048)</f>
        <v/>
      </c>
      <c r="N637" s="27" t="str" cm="1">
        <f t="array" ref="N637">GetCSVIndex(A2,313+6048)</f>
        <v/>
      </c>
      <c r="O637" s="43" t="str" cm="1">
        <f t="array" ref="O637">GetCSVIndex(A2,376+6048)</f>
        <v/>
      </c>
    </row>
    <row r="638" spans="1:15" ht="21" customHeight="1" x14ac:dyDescent="0.25">
      <c r="A638" s="37"/>
      <c r="B638" s="28"/>
      <c r="C638" s="29"/>
      <c r="D638" s="29"/>
      <c r="E638" s="45">
        <v>32</v>
      </c>
      <c r="F638" s="29" t="e" cm="1">
        <f t="array" ref="F638">CHOOSE(GetCSVIndex(A2,129+6048)+1,"","Station","Block","","Delay")</f>
        <v>#VALUE!</v>
      </c>
      <c r="G638" s="29" t="str" cm="1">
        <f t="array" ref="G638">GetCSVIndex(A2,130+6048)</f>
        <v/>
      </c>
      <c r="H638" s="45" t="str" cm="1">
        <f t="array" ref="H638">GetCSVIndex(A2,282+6048)</f>
        <v/>
      </c>
      <c r="I638" s="29" t="str" cm="1">
        <f t="array" ref="I638">GetCSVIndex(A2,345+6048)</f>
        <v/>
      </c>
      <c r="J638" s="29"/>
      <c r="K638" s="45">
        <v>64</v>
      </c>
      <c r="L638" s="29" t="e" cm="1">
        <f t="array" ref="L638">CHOOSE(GetCSVIndex(A2,225+6048)+1,"","Station","Block","","Delay")</f>
        <v>#VALUE!</v>
      </c>
      <c r="M638" s="29" t="str" cm="1">
        <f t="array" ref="M638">GetCSVIndex(A2,226+6048)</f>
        <v/>
      </c>
      <c r="N638" s="27" t="str" cm="1">
        <f t="array" ref="N638">GetCSVIndex(A2,314+6048)</f>
        <v/>
      </c>
      <c r="O638" s="43" t="str" cm="1">
        <f t="array" ref="O638">GetCSVIndex(A2,377+6048)</f>
        <v/>
      </c>
    </row>
    <row r="639" spans="1:15" ht="23.25" customHeight="1" x14ac:dyDescent="0.25">
      <c r="A639" s="51" t="str" cm="1">
        <f t="array" ref="A639">CONCATENATE("Schedule  Program Number : ", GetCSVIndex(A2,5+6426))</f>
        <v xml:space="preserve">Schedule  Program Number : </v>
      </c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3"/>
    </row>
    <row r="640" spans="1:15" ht="21" customHeight="1" x14ac:dyDescent="0.25">
      <c r="A640" s="20" t="s">
        <v>44</v>
      </c>
      <c r="B640" s="22" t="str" cm="1">
        <f t="array" ref="B640">GetCSVIndex(A2,5+6426)</f>
        <v/>
      </c>
      <c r="C640" s="18"/>
      <c r="D640" s="18"/>
      <c r="E640" s="18"/>
      <c r="F640" s="18"/>
      <c r="G640" s="18" t="s">
        <v>19</v>
      </c>
      <c r="H640" s="18" t="e" cm="1">
        <f t="array" ref="H640">CHOOSE(GetCSVIndex(A2,7+6426)+1, "Days of Week", "Odd/Even", "Interval","Manual")</f>
        <v>#VALUE!</v>
      </c>
      <c r="I640" s="18"/>
      <c r="J640" s="15"/>
      <c r="K640" s="15"/>
      <c r="L640" s="15"/>
      <c r="M640" s="15"/>
      <c r="N640" s="15"/>
      <c r="O640" s="16"/>
    </row>
    <row r="641" spans="1:15" ht="18" customHeight="1" x14ac:dyDescent="0.25">
      <c r="A641" s="21" t="s">
        <v>20</v>
      </c>
      <c r="B641" s="19" t="e" cm="1">
        <f t="array" ref="B641">CHOOSE(GetCSVIndex(A2,24+6426)+1, "Program", "Global", "Monthly","Solar Sync")</f>
        <v>#VALUE!</v>
      </c>
      <c r="C641" s="19"/>
      <c r="D641" s="19"/>
      <c r="E641" s="19"/>
      <c r="F641" s="19" t="s">
        <v>21</v>
      </c>
      <c r="G641" s="19" t="e" cm="1">
        <f t="array" ref="G641">IF(CHOOSE(GetCSVIndex(A2,7+6426)+1,IF(_xlfn.BITAND(GetCSVIndex(A2,8+6426), 2^0)=0, 0, 1),IF(_xlfn.BITAND(GetCSVIndex(A2,9+6426), 2^0)=0, 0, 1),IF(_xlfn.BITAND(GetCSVIndex(A2,10+6426), 2^0)=0, 0, 1)) =1,"Mon","")</f>
        <v>#VALUE!</v>
      </c>
      <c r="H641" s="19" t="e" cm="1">
        <f t="array" ref="H641">CONCATENATE(IF(CHOOSE(GetCSVIndex(A2,7+6426)+1,IF(_xlfn.BITAND(GetCSVIndex(A2,8+6426), 2^1)=0, 0, 1),IF(_xlfn.BITAND(GetCSVIndex(A2,9+6426), 2^1)=0, 0, 1),IF(_xlfn.BITAND(GetCSVIndex(A2,10+6426), 2^1)=0, 0, 1)) =1,"Tue       ","       "),IF(CHOOSE(GetCSVIndex(A2,7+6426)+1,IF(_xlfn.BITAND(GetCSVIndex(A2,8+6426), 2^2)=0, 0, 1),IF(_xlfn.BITAND(GetCSVIndex(A2,9+6426), 2^2)=0, 0, 1),IF(_xlfn.BITAND(GetCSVIndex(A2,10+6426), 2^2)=0, 0, 1)) =1,"Wed",""),IF(CHOOSE(GetCSVIndex(A2,7+6426)+1,IF(_xlfn.BITAND(GetCSVIndex(A2,8+6426), 2^3)=0, 0, 1),IF(_xlfn.BITAND(GetCSVIndex(A2,9+6426), 2^3)=0, 0, 1),IF(_xlfn.BITAND(GetCSVIndex(A2,10+6426), 2^3)=0, 0, 1)) =1,"       Thu","       "))</f>
        <v>#VALUE!</v>
      </c>
      <c r="I641" s="32" t="e" cm="1">
        <f t="array" ref="I641">CONCATENATE(IF(CHOOSE(GetCSVIndex(A2,7+6426)+1,IF(_xlfn.BITAND(GetCSVIndex(A2,8+6426), 2^4)=0, 0, 1),IF(_xlfn.BITAND(GetCSVIndex(A2,9+6426), 2^4)=0, 0, 1),IF(_xlfn.BITAND(GetCSVIndex(A2,10+6426), 2^4)=0, 0, 1)) =1,"Fri       ","       "),IF(CHOOSE(GetCSVIndex(A2,7+6426)+1,IF(_xlfn.BITAND(GetCSVIndex(A2,8+6426), 2^5)=0, 0, 1),IF(_xlfn.BITAND(GetCSVIndex(A2,9+6426), 2^5)=0, 0, 1),IF(_xlfn.BITAND(GetCSVIndex(A2,10+6426), 2^5)=0, 0, 1)) =1,"Sat",""),IF(CHOOSE(GetCSVIndex(A2,7+6426)+1,IF(_xlfn.BITAND(GetCSVIndex(A2,8+6426), 2^6)=0, 0, 1),IF(_xlfn.BITAND(GetCSVIndex(A2,9+6426), 2^6)=0, 0, 1),IF(_xlfn.BITAND(GetCSVIndex(A2,10+6426), 2^6)=0, 0, 1)) =1,"       Sun","       "))</f>
        <v>#VALUE!</v>
      </c>
      <c r="J641" s="19"/>
      <c r="K641" s="19"/>
      <c r="L641" s="32" t="s">
        <v>22</v>
      </c>
      <c r="M641" s="19"/>
      <c r="N641" s="19" t="str" cm="1">
        <f t="array" ref="N641">IF(GetCSVIndex(A2,26+6426)="1","Enable","Disable")</f>
        <v>Disable</v>
      </c>
      <c r="O641" s="24"/>
    </row>
    <row r="642" spans="1:15" ht="18" customHeight="1" x14ac:dyDescent="0.25">
      <c r="A642" s="21" t="str" cm="1">
        <f t="array" ref="A642">CONCATENATE("Program ", GetCSVIndex(A2,5+6426))</f>
        <v xml:space="preserve">Program </v>
      </c>
      <c r="B642" s="23" t="str" cm="1">
        <f t="array" ref="B642">CONCATENATE(GetCSVIndex(A2,25+6426)," %")</f>
        <v xml:space="preserve"> %</v>
      </c>
      <c r="C642" s="19"/>
      <c r="D642" s="19"/>
      <c r="E642" s="19"/>
      <c r="F642" s="19" t="str" cm="1">
        <f t="array" ref="F642">IF(GetCSVIndex(A2,7)="2","Water Every"," ")</f>
        <v xml:space="preserve"> </v>
      </c>
      <c r="G642" s="47" t="str" cm="1">
        <f t="array" ref="G642">IF(GetCSVIndex(A2,7+6426)="2",GetCSVIndex(A2,11+6426)," ")</f>
        <v xml:space="preserve"> </v>
      </c>
      <c r="H642" s="19" t="str" cm="1">
        <f t="array" ref="H642">IF(GetCSVIndex(A2,7+6426)="2","Days"," ")</f>
        <v xml:space="preserve"> </v>
      </c>
      <c r="I642" s="32" t="str" cm="1">
        <f t="array" ref="I642">IF(GetCSVIndex(A2,7+6426)="2","Water After"," ")</f>
        <v xml:space="preserve"> </v>
      </c>
      <c r="J642" s="19"/>
      <c r="K642" s="19" t="str" cm="1">
        <f t="array" ref="K642">IF(GetCSVIndex(A2,7+6426)="2",GetCSVIndex(A2,12+6426)," ")</f>
        <v xml:space="preserve"> </v>
      </c>
      <c r="L642" s="47" t="str" cm="1">
        <f t="array" ref="L642">IF(GetCSVIndex(A2,7+6426)="2","Days"," ")</f>
        <v xml:space="preserve"> </v>
      </c>
      <c r="M642" s="32"/>
      <c r="N642" s="32"/>
      <c r="O642" s="24"/>
    </row>
    <row r="643" spans="1:15" ht="21" customHeight="1" x14ac:dyDescent="0.25">
      <c r="A643" s="20" t="s">
        <v>23</v>
      </c>
      <c r="B643" s="18" t="s">
        <v>24</v>
      </c>
      <c r="C643" s="18" t="str" cm="1">
        <f t="array" ref="C643">CHOOSE(GetCSVIndex(A2,13)+1, "Auto", "Start to End","Manual")</f>
        <v>Start to End</v>
      </c>
      <c r="D643" s="31"/>
      <c r="E643" s="17" t="s">
        <v>38</v>
      </c>
      <c r="F643" s="18" t="s">
        <v>39</v>
      </c>
      <c r="G643" s="18" t="s">
        <v>40</v>
      </c>
      <c r="H643" s="18" t="s">
        <v>41</v>
      </c>
      <c r="I643" s="18" t="s">
        <v>43</v>
      </c>
      <c r="J643" s="31"/>
      <c r="K643" s="17" t="s">
        <v>38</v>
      </c>
      <c r="L643" s="18" t="s">
        <v>39</v>
      </c>
      <c r="M643" s="18" t="s">
        <v>40</v>
      </c>
      <c r="N643" s="22" t="s">
        <v>41</v>
      </c>
      <c r="O643" s="44" t="s">
        <v>42</v>
      </c>
    </row>
    <row r="644" spans="1:15" ht="21" customHeight="1" x14ac:dyDescent="0.25">
      <c r="A644" s="36" t="s">
        <v>25</v>
      </c>
      <c r="B644" s="46" t="str" cm="1">
        <f t="array" ref="B644">IF(GetCSVIndex(A2,6+6426)="1","Over","Stack")</f>
        <v>Stack</v>
      </c>
      <c r="C644" s="26" t="str" cm="1">
        <f t="array" ref="C644">GetCSVIndex(A2,29+6426)</f>
        <v/>
      </c>
      <c r="D644" s="25"/>
      <c r="E644" s="45">
        <v>1</v>
      </c>
      <c r="F644" s="29" t="e" cm="1">
        <f t="array" ref="F644">CHOOSE(GetCSVIndex(A2,36+6426)+1,"","Station","Block","","Delay")</f>
        <v>#VALUE!</v>
      </c>
      <c r="G644" s="29" t="str" cm="1">
        <f t="array" ref="G644">GetCSVIndex(A2,37+6426)</f>
        <v/>
      </c>
      <c r="H644" s="45" t="str" cm="1">
        <f t="array" ref="H644">GetCSVIndex(A2,3+6426)</f>
        <v/>
      </c>
      <c r="I644" s="29" t="str" cm="1">
        <f t="array" ref="I644">GetCSVIndex(A2,1+6426)</f>
        <v/>
      </c>
      <c r="J644" s="25"/>
      <c r="K644" s="45">
        <v>33</v>
      </c>
      <c r="L644" s="29" t="e" cm="1">
        <f t="array" ref="L644">CHOOSE(GetCSVIndex(A2,132+6426)+1,"","Station","Block","","Delay")</f>
        <v>#VALUE!</v>
      </c>
      <c r="M644" s="29" t="str" cm="1">
        <f t="array" ref="M644">GetCSVIndex(A2,133+6426)</f>
        <v/>
      </c>
      <c r="N644" s="27" t="str" cm="1">
        <f t="array" ref="N644">GetCSVIndex(A2,283+6426)</f>
        <v/>
      </c>
      <c r="O644" s="43" t="str" cm="1">
        <f t="array" ref="O644">GetCSVIndex(A2,346+6426)</f>
        <v/>
      </c>
    </row>
    <row r="645" spans="1:15" ht="21" customHeight="1" x14ac:dyDescent="0.25">
      <c r="A645" s="36" t="s">
        <v>26</v>
      </c>
      <c r="B645" s="25" t="str" cm="1">
        <f t="array" ref="B645">IF(GetCSVIndex(A2,2+6426)="1092:15","Not Set",CONCATENATE("From     ",GetCSVIndex(A2,2+6426)))</f>
        <v xml:space="preserve">From     </v>
      </c>
      <c r="C645" s="26" t="str" cm="1">
        <f t="array" ref="C645">IF(GetCSVIndex(C4,1+34)="1092:15","Not Set",CONCATENATE("To     ",GetCSVIndex(C4,1+34)))</f>
        <v xml:space="preserve">To     </v>
      </c>
      <c r="D645" s="25"/>
      <c r="E645" s="45">
        <v>2</v>
      </c>
      <c r="F645" s="29" t="e" cm="1">
        <f t="array" ref="F645">CHOOSE(GetCSVIndex(A2,39+6426)+1,"","Station","Block","","Delay")</f>
        <v>#VALUE!</v>
      </c>
      <c r="G645" s="29" t="str" cm="1">
        <f t="array" ref="G645">GetCSVIndex(A2,40+6426)</f>
        <v/>
      </c>
      <c r="H645" s="45" t="str" cm="1">
        <f t="array" ref="H645">GetCSVIndex(A2,252+6426)</f>
        <v/>
      </c>
      <c r="I645" s="29" t="str" cm="1">
        <f t="array" ref="I645">GetCSVIndex(A2,315+6426)</f>
        <v/>
      </c>
      <c r="J645" s="25"/>
      <c r="K645" s="45">
        <v>34</v>
      </c>
      <c r="L645" s="29" t="e" cm="1">
        <f t="array" ref="L645">CHOOSE(GetCSVIndex(A2,135+6426)+1,"","Station","Block","","Delay")</f>
        <v>#VALUE!</v>
      </c>
      <c r="M645" s="29" t="str" cm="1">
        <f t="array" ref="M645">GetCSVIndex(A2,136+6426)</f>
        <v/>
      </c>
      <c r="N645" s="27" t="str" cm="1">
        <f t="array" ref="N645">GetCSVIndex(A2,284+6426)</f>
        <v/>
      </c>
      <c r="O645" s="43" t="str" cm="1">
        <f t="array" ref="O645">GetCSVIndex(A2,347+6426)</f>
        <v/>
      </c>
    </row>
    <row r="646" spans="1:15" ht="21" customHeight="1" x14ac:dyDescent="0.25">
      <c r="A646" s="36" t="s">
        <v>27</v>
      </c>
      <c r="B646" s="25"/>
      <c r="C646" s="26" t="str" cm="1">
        <f t="array" ref="C646">CONCATENATE(GetCSVIndex(A2,249+6426),":", GetCSVIndex(A2,250+6426),":", GetCSVIndex(A2,251+6426))</f>
        <v>::</v>
      </c>
      <c r="D646" s="26"/>
      <c r="E646" s="45">
        <v>3</v>
      </c>
      <c r="F646" s="29" t="e" cm="1">
        <f t="array" ref="F646">CHOOSE(GetCSVIndex(A2,42+6426)+1,"","Station","Block","","Delay")</f>
        <v>#VALUE!</v>
      </c>
      <c r="G646" s="29" t="str" cm="1">
        <f t="array" ref="G646">GetCSVIndex(A2,43+6426)</f>
        <v/>
      </c>
      <c r="H646" s="45" t="str" cm="1">
        <f t="array" ref="H646">GetCSVIndex(A2,253+6426)</f>
        <v/>
      </c>
      <c r="I646" s="29" t="str" cm="1">
        <f t="array" ref="I646">GetCSVIndex(A2,316+6426)</f>
        <v/>
      </c>
      <c r="J646" s="25"/>
      <c r="K646" s="45">
        <v>35</v>
      </c>
      <c r="L646" s="29" t="e" cm="1">
        <f t="array" ref="L646">CHOOSE(GetCSVIndex(A2,138+6426)+1,"","Station","Block","","Delay")</f>
        <v>#VALUE!</v>
      </c>
      <c r="M646" s="29" t="str" cm="1">
        <f t="array" ref="M646">GetCSVIndex(A2,139+6426)</f>
        <v/>
      </c>
      <c r="N646" s="27" t="str" cm="1">
        <f t="array" ref="N646">GetCSVIndex(A2,285+6426)</f>
        <v/>
      </c>
      <c r="O646" s="43" t="str" cm="1">
        <f t="array" ref="O646">GetCSVIndex(A2,348+6426)</f>
        <v/>
      </c>
    </row>
    <row r="647" spans="1:15" ht="21" customHeight="1" x14ac:dyDescent="0.25">
      <c r="A647" s="36"/>
      <c r="B647" s="25"/>
      <c r="C647" s="25"/>
      <c r="D647" s="25"/>
      <c r="E647" s="45">
        <v>4</v>
      </c>
      <c r="F647" s="29" t="e" cm="1">
        <f t="array" ref="F647">CHOOSE(GetCSVIndex(A2,45+6426)+1,"","Station","Block","","Delay")</f>
        <v>#VALUE!</v>
      </c>
      <c r="G647" s="29" t="str" cm="1">
        <f t="array" ref="G647">GetCSVIndex(A2,46+6426)</f>
        <v/>
      </c>
      <c r="H647" s="45" t="str" cm="1">
        <f t="array" ref="H647">GetCSVIndex(A2,254+6426)</f>
        <v/>
      </c>
      <c r="I647" s="29" t="str" cm="1">
        <f t="array" ref="I647">GetCSVIndex(A2,317+6426)</f>
        <v/>
      </c>
      <c r="J647" s="25"/>
      <c r="K647" s="45">
        <v>36</v>
      </c>
      <c r="L647" s="29" t="e" cm="1">
        <f t="array" ref="L647">CHOOSE(GetCSVIndex(A2,141+6426)+1,"","Station","Block","","Delay")</f>
        <v>#VALUE!</v>
      </c>
      <c r="M647" s="29" t="str" cm="1">
        <f t="array" ref="M647">GetCSVIndex(A2,142+6426)</f>
        <v/>
      </c>
      <c r="N647" s="27" t="str" cm="1">
        <f t="array" ref="N647">GetCSVIndex(A2,286+6426)</f>
        <v/>
      </c>
      <c r="O647" s="43" t="str" cm="1">
        <f t="array" ref="O647">GetCSVIndex(A2,349+6426)</f>
        <v/>
      </c>
    </row>
    <row r="648" spans="1:15" ht="21" customHeight="1" x14ac:dyDescent="0.25">
      <c r="A648" s="37" t="s">
        <v>28</v>
      </c>
      <c r="B648" s="28"/>
      <c r="C648" s="29" t="str" cm="1">
        <f t="array" ref="C648">IF(GetCSVIndex(A2,14+6426)&lt;&gt;"65535",CONCATENATE(GetCSVIndex(A2,229+6426),":", GetCSVIndex(A2,239+6426)),"OFF")</f>
        <v>:</v>
      </c>
      <c r="D648" s="25"/>
      <c r="E648" s="45">
        <v>5</v>
      </c>
      <c r="F648" s="29" t="e" cm="1">
        <f t="array" ref="F648">CHOOSE(GetCSVIndex(A2,48+6426)+1,"","Station","Block","","Delay")</f>
        <v>#VALUE!</v>
      </c>
      <c r="G648" s="29" t="str" cm="1">
        <f t="array" ref="G648">GetCSVIndex(A2,49+6426)</f>
        <v/>
      </c>
      <c r="H648" s="45" t="str" cm="1">
        <f t="array" ref="H648">GetCSVIndex(A2,255+6426)</f>
        <v/>
      </c>
      <c r="I648" s="29" t="str" cm="1">
        <f t="array" ref="I648">GetCSVIndex(A2,318+6426)</f>
        <v/>
      </c>
      <c r="J648" s="25"/>
      <c r="K648" s="45">
        <v>37</v>
      </c>
      <c r="L648" s="29" t="e" cm="1">
        <f t="array" ref="L648">CHOOSE(GetCSVIndex(A2,144+6426)+1,"","Station","Block","","Delay")</f>
        <v>#VALUE!</v>
      </c>
      <c r="M648" s="29" t="str" cm="1">
        <f t="array" ref="M648">GetCSVIndex(A2,145+6426)</f>
        <v/>
      </c>
      <c r="N648" s="27" t="str" cm="1">
        <f t="array" ref="N648">GetCSVIndex(A2,287+6426)</f>
        <v/>
      </c>
      <c r="O648" s="43" t="str" cm="1">
        <f t="array" ref="O648">GetCSVIndex(A2,350+6426)</f>
        <v/>
      </c>
    </row>
    <row r="649" spans="1:15" ht="21" customHeight="1" x14ac:dyDescent="0.25">
      <c r="A649" s="38" t="s">
        <v>29</v>
      </c>
      <c r="B649" s="30"/>
      <c r="C649" s="29" t="str" cm="1">
        <f t="array" ref="C649">IF(GetCSVIndex(A2,15+6426)&lt;&gt;"65535",CONCATENATE(GetCSVIndex(A2,231+6426),":", GetCSVIndex(A2,241+6426)),"OFF")</f>
        <v>:</v>
      </c>
      <c r="D649" s="25"/>
      <c r="E649" s="45">
        <v>6</v>
      </c>
      <c r="F649" s="29" t="e" cm="1">
        <f t="array" ref="F649">CHOOSE(GetCSVIndex(A2,51+6426)+1,"","Station","Block","","Delay")</f>
        <v>#VALUE!</v>
      </c>
      <c r="G649" s="29" t="str" cm="1">
        <f t="array" ref="G649">GetCSVIndex(A2,52+6426)</f>
        <v/>
      </c>
      <c r="H649" s="45" t="str" cm="1">
        <f t="array" ref="H649">GetCSVIndex(A2,256+6426)</f>
        <v/>
      </c>
      <c r="I649" s="29" t="str" cm="1">
        <f t="array" ref="I649">GetCSVIndex(A2,319+6426)</f>
        <v/>
      </c>
      <c r="J649" s="25"/>
      <c r="K649" s="45">
        <v>38</v>
      </c>
      <c r="L649" s="29" t="e" cm="1">
        <f t="array" ref="L649">CHOOSE(GetCSVIndex(A2,147+6426)+1,"","Station","Block","","Delay")</f>
        <v>#VALUE!</v>
      </c>
      <c r="M649" s="29" t="str" cm="1">
        <f t="array" ref="M649">GetCSVIndex(A2,148+6426)</f>
        <v/>
      </c>
      <c r="N649" s="27" t="str" cm="1">
        <f t="array" ref="N649">GetCSVIndex(A2,288+6426)</f>
        <v/>
      </c>
      <c r="O649" s="43" t="str" cm="1">
        <f t="array" ref="O649">GetCSVIndex(A2,351+6426)</f>
        <v/>
      </c>
    </row>
    <row r="650" spans="1:15" ht="21" customHeight="1" x14ac:dyDescent="0.25">
      <c r="A650" s="38" t="s">
        <v>30</v>
      </c>
      <c r="B650" s="30"/>
      <c r="C650" s="29" t="str" cm="1">
        <f t="array" ref="C650">IF(GetCSVIndex(A2,16+6426)&lt;&gt;"65535",CONCATENATE(GetCSVIndex(A2,232+6426),":", GetCSVIndex(A2,242+6426)),"OFF")</f>
        <v>:</v>
      </c>
      <c r="D650" s="25"/>
      <c r="E650" s="45">
        <v>7</v>
      </c>
      <c r="F650" s="29" t="e" cm="1">
        <f t="array" ref="F650">CHOOSE(GetCSVIndex(A2,54+6426)+1,"","Station","Block","","Delay")</f>
        <v>#VALUE!</v>
      </c>
      <c r="G650" s="29" t="str" cm="1">
        <f t="array" ref="G650">GetCSVIndex(A2,55+6426)</f>
        <v/>
      </c>
      <c r="H650" s="45" t="str" cm="1">
        <f t="array" ref="H650">GetCSVIndex(A2,257+6426)</f>
        <v/>
      </c>
      <c r="I650" s="29" t="str" cm="1">
        <f t="array" ref="I650">GetCSVIndex(A2,320+6426)</f>
        <v/>
      </c>
      <c r="J650" s="25"/>
      <c r="K650" s="45">
        <v>39</v>
      </c>
      <c r="L650" s="29" t="e" cm="1">
        <f t="array" ref="L650">CHOOSE(GetCSVIndex(A2,150+6426)+1,"","Station","Block","","Delay")</f>
        <v>#VALUE!</v>
      </c>
      <c r="M650" s="29" t="str" cm="1">
        <f t="array" ref="M650">GetCSVIndex(A2,151+6426)</f>
        <v/>
      </c>
      <c r="N650" s="27" t="str" cm="1">
        <f t="array" ref="N650">GetCSVIndex(A2,289+6426)</f>
        <v/>
      </c>
      <c r="O650" s="43" t="str" cm="1">
        <f t="array" ref="O650">GetCSVIndex(A2,352+6426)</f>
        <v/>
      </c>
    </row>
    <row r="651" spans="1:15" ht="21" customHeight="1" x14ac:dyDescent="0.25">
      <c r="A651" s="38" t="s">
        <v>31</v>
      </c>
      <c r="B651" s="30"/>
      <c r="C651" s="29" t="str" cm="1">
        <f t="array" ref="C651">IF(GetCSVIndex(A2,17+6426)&lt;&gt;"65535",CONCATENATE(GetCSVIndex(A2,233+6426),":", GetCSVIndex(A2,243+6426)),"OFF")</f>
        <v>:</v>
      </c>
      <c r="D651" s="25"/>
      <c r="E651" s="45">
        <v>8</v>
      </c>
      <c r="F651" s="29" t="e" cm="1">
        <f t="array" ref="F651">CHOOSE(GetCSVIndex(A2,57+6426)+1,"","Station","Block","","Delay")</f>
        <v>#VALUE!</v>
      </c>
      <c r="G651" s="29" t="str" cm="1">
        <f t="array" ref="G651">GetCSVIndex(A2,58+6426)</f>
        <v/>
      </c>
      <c r="H651" s="45" t="str" cm="1">
        <f t="array" ref="H651">GetCSVIndex(A2,258+6426)</f>
        <v/>
      </c>
      <c r="I651" s="29" t="str" cm="1">
        <f t="array" ref="I651">GetCSVIndex(A2,321+6426)</f>
        <v/>
      </c>
      <c r="J651" s="25"/>
      <c r="K651" s="45">
        <v>40</v>
      </c>
      <c r="L651" s="29" t="e" cm="1">
        <f t="array" ref="L651">CHOOSE(GetCSVIndex(A2,153+6426)+1,"","Station","Block","","Delay")</f>
        <v>#VALUE!</v>
      </c>
      <c r="M651" s="29" t="str" cm="1">
        <f t="array" ref="M651">GetCSVIndex(A2,154+6426)</f>
        <v/>
      </c>
      <c r="N651" s="27" t="str" cm="1">
        <f t="array" ref="N651">GetCSVIndex(A2,290+6426)</f>
        <v/>
      </c>
      <c r="O651" s="43" t="str" cm="1">
        <f t="array" ref="O651">GetCSVIndex(A2,353+6426)</f>
        <v/>
      </c>
    </row>
    <row r="652" spans="1:15" ht="21" customHeight="1" x14ac:dyDescent="0.25">
      <c r="A652" s="38" t="s">
        <v>32</v>
      </c>
      <c r="B652" s="30"/>
      <c r="C652" s="29" t="str" cm="1">
        <f t="array" ref="C652">IF(GetCSVIndex(A2,18+6426)&lt;&gt;"65535",CONCATENATE(GetCSVIndex(A2,234+6426),":", GetCSVIndex(A2,244+6426)),"OFF")</f>
        <v>:</v>
      </c>
      <c r="D652" s="25"/>
      <c r="E652" s="45">
        <v>9</v>
      </c>
      <c r="F652" s="29" t="e" cm="1">
        <f t="array" ref="F652">CHOOSE(GetCSVIndex(A2,60+6426)+1,"","Station","Block","","Delay")</f>
        <v>#VALUE!</v>
      </c>
      <c r="G652" s="29" t="str" cm="1">
        <f t="array" ref="G652">GetCSVIndex(A2,61+6426)</f>
        <v/>
      </c>
      <c r="H652" s="45" t="str" cm="1">
        <f t="array" ref="H652">GetCSVIndex(A2,259+6426)</f>
        <v/>
      </c>
      <c r="I652" s="29" t="str" cm="1">
        <f t="array" ref="I652">GetCSVIndex(A2,322+6426)</f>
        <v/>
      </c>
      <c r="J652" s="25"/>
      <c r="K652" s="45">
        <v>41</v>
      </c>
      <c r="L652" s="29" t="e" cm="1">
        <f t="array" ref="L652">CHOOSE(GetCSVIndex(A2,156+6426)+1,"","Station","Block","","Delay")</f>
        <v>#VALUE!</v>
      </c>
      <c r="M652" s="29" t="str" cm="1">
        <f t="array" ref="M652">GetCSVIndex(A2,157+6426)</f>
        <v/>
      </c>
      <c r="N652" s="27" t="str" cm="1">
        <f t="array" ref="N652">GetCSVIndex(A2,291+6426)</f>
        <v/>
      </c>
      <c r="O652" s="43" t="str" cm="1">
        <f t="array" ref="O652">GetCSVIndex(A2,354+6426)</f>
        <v/>
      </c>
    </row>
    <row r="653" spans="1:15" ht="21" customHeight="1" x14ac:dyDescent="0.25">
      <c r="A653" s="38" t="s">
        <v>33</v>
      </c>
      <c r="B653" s="30"/>
      <c r="C653" s="29" t="str" cm="1">
        <f t="array" ref="C653">IF(GetCSVIndex(A2,19+6426)&lt;&gt;"65535",CONCATENATE(GetCSVIndex(A2,235+6426),":", GetCSVIndex(A2,245+6426)),"OFF")</f>
        <v>:</v>
      </c>
      <c r="D653" s="25"/>
      <c r="E653" s="45">
        <v>10</v>
      </c>
      <c r="F653" s="29" t="e" cm="1">
        <f t="array" ref="F653">CHOOSE(GetCSVIndex(A2,63+6426)+1,"","Station","Block","","Delay")</f>
        <v>#VALUE!</v>
      </c>
      <c r="G653" s="29" t="str" cm="1">
        <f t="array" ref="G653">GetCSVIndex(A2,64+6426)</f>
        <v/>
      </c>
      <c r="H653" s="45" t="str" cm="1">
        <f t="array" ref="H653">GetCSVIndex(A2,260+6426)</f>
        <v/>
      </c>
      <c r="I653" s="29" t="str" cm="1">
        <f t="array" ref="I653">GetCSVIndex(A2,323+6426)</f>
        <v/>
      </c>
      <c r="J653" s="25"/>
      <c r="K653" s="45">
        <v>42</v>
      </c>
      <c r="L653" s="29" t="e" cm="1">
        <f t="array" ref="L653">CHOOSE(GetCSVIndex(A2,159+6426)+1,"","Station","Block","","Delay")</f>
        <v>#VALUE!</v>
      </c>
      <c r="M653" s="29" t="str" cm="1">
        <f t="array" ref="M653">GetCSVIndex(A2,160+6426)</f>
        <v/>
      </c>
      <c r="N653" s="27" t="str" cm="1">
        <f t="array" ref="N653">GetCSVIndex(A2,292+6426)</f>
        <v/>
      </c>
      <c r="O653" s="43" t="str" cm="1">
        <f t="array" ref="O653">GetCSVIndex(A2,355+6426)</f>
        <v/>
      </c>
    </row>
    <row r="654" spans="1:15" ht="21" customHeight="1" x14ac:dyDescent="0.25">
      <c r="A654" s="38" t="s">
        <v>34</v>
      </c>
      <c r="B654" s="30"/>
      <c r="C654" s="29" t="str" cm="1">
        <f t="array" ref="C654">IF(GetCSVIndex(A2,20+6426)&lt;&gt;"65535",CONCATENATE(GetCSVIndex(A2,236+6426),":", GetCSVIndex(A2,246+6426)),"OFF")</f>
        <v>:</v>
      </c>
      <c r="D654" s="25"/>
      <c r="E654" s="45">
        <v>11</v>
      </c>
      <c r="F654" s="29" t="e" cm="1">
        <f t="array" ref="F654">CHOOSE(GetCSVIndex(A2,66+6426)+1,"","Station","Block","","Delay")</f>
        <v>#VALUE!</v>
      </c>
      <c r="G654" s="29" t="str" cm="1">
        <f t="array" ref="G654">GetCSVIndex(A2,67+6426)</f>
        <v/>
      </c>
      <c r="H654" s="45" t="str" cm="1">
        <f t="array" ref="H654">GetCSVIndex(A2,261+6426)</f>
        <v/>
      </c>
      <c r="I654" s="29" t="str" cm="1">
        <f t="array" ref="I654">GetCSVIndex(A2,324+6426)</f>
        <v/>
      </c>
      <c r="J654" s="25"/>
      <c r="K654" s="45">
        <v>43</v>
      </c>
      <c r="L654" s="29" t="e" cm="1">
        <f t="array" ref="L654">CHOOSE(GetCSVIndex(A2,162+6426)+1,"","Station","Block","","Delay")</f>
        <v>#VALUE!</v>
      </c>
      <c r="M654" s="29" t="str" cm="1">
        <f t="array" ref="M654">GetCSVIndex(A2,163+6426)</f>
        <v/>
      </c>
      <c r="N654" s="27" t="str" cm="1">
        <f t="array" ref="N654">GetCSVIndex(A2,293+6426)</f>
        <v/>
      </c>
      <c r="O654" s="43" t="str" cm="1">
        <f t="array" ref="O654">GetCSVIndex(A2,356+6426)</f>
        <v/>
      </c>
    </row>
    <row r="655" spans="1:15" ht="21" customHeight="1" x14ac:dyDescent="0.25">
      <c r="A655" s="38" t="s">
        <v>35</v>
      </c>
      <c r="B655" s="30"/>
      <c r="C655" s="29" t="str" cm="1">
        <f t="array" ref="C655">IF(GetCSVIndex(A2,21+6426)&lt;&gt;"65535",CONCATENATE(GetCSVIndex(A2,237+6426),":", GetCSVIndex(A2,247+6426)),"OFF")</f>
        <v>:</v>
      </c>
      <c r="D655" s="25"/>
      <c r="E655" s="45">
        <v>12</v>
      </c>
      <c r="F655" s="29" t="e" cm="1">
        <f t="array" ref="F655">CHOOSE(GetCSVIndex(A2,69+6426)+1,"","Station","Block","","Delay")</f>
        <v>#VALUE!</v>
      </c>
      <c r="G655" s="29" t="str" cm="1">
        <f t="array" ref="G655">GetCSVIndex(A2,70+6426)</f>
        <v/>
      </c>
      <c r="H655" s="45" t="str" cm="1">
        <f t="array" ref="H655">GetCSVIndex(A2,262+6426)</f>
        <v/>
      </c>
      <c r="I655" s="29" t="str" cm="1">
        <f t="array" ref="I655">GetCSVIndex(A2,325+6426)</f>
        <v/>
      </c>
      <c r="J655" s="25"/>
      <c r="K655" s="45">
        <v>44</v>
      </c>
      <c r="L655" s="29" t="e" cm="1">
        <f t="array" ref="L655">CHOOSE(GetCSVIndex(A2,165+6426)+1,"","Station","Block","","Delay")</f>
        <v>#VALUE!</v>
      </c>
      <c r="M655" s="29" t="str" cm="1">
        <f t="array" ref="M655">GetCSVIndex(A2,166+6426)</f>
        <v/>
      </c>
      <c r="N655" s="27" t="str" cm="1">
        <f t="array" ref="N655">GetCSVIndex(A2,294+6426)</f>
        <v/>
      </c>
      <c r="O655" s="43" t="str" cm="1">
        <f t="array" ref="O655">GetCSVIndex(A2,357+6426)</f>
        <v/>
      </c>
    </row>
    <row r="656" spans="1:15" ht="21" customHeight="1" x14ac:dyDescent="0.25">
      <c r="A656" s="38" t="s">
        <v>36</v>
      </c>
      <c r="B656" s="30"/>
      <c r="C656" s="29" t="str" cm="1">
        <f t="array" ref="C656">IF(GetCSVIndex(A2,22+6426)&lt;&gt;"65535",CONCATENATE(GetCSVIndex(A2,238+6426),":", GetCSVIndex(A2,248+6426)),"OFF")</f>
        <v>:</v>
      </c>
      <c r="D656" s="25"/>
      <c r="E656" s="45">
        <v>13</v>
      </c>
      <c r="F656" s="29" t="e" cm="1">
        <f t="array" ref="F656">CHOOSE(GetCSVIndex(A2,72+6426)+1,"","Station","Block","","Delay")</f>
        <v>#VALUE!</v>
      </c>
      <c r="G656" s="29" t="str" cm="1">
        <f t="array" ref="G656">GetCSVIndex(A2,73+6426)</f>
        <v/>
      </c>
      <c r="H656" s="45" t="str" cm="1">
        <f t="array" ref="H656">GetCSVIndex(A2,263+6426)</f>
        <v/>
      </c>
      <c r="I656" s="29" t="str" cm="1">
        <f t="array" ref="I656">GetCSVIndex(A2,326+6426)</f>
        <v/>
      </c>
      <c r="J656" s="25"/>
      <c r="K656" s="45">
        <v>45</v>
      </c>
      <c r="L656" s="29" t="e" cm="1">
        <f t="array" ref="L656">CHOOSE(GetCSVIndex(A2,168+6426)+1,"","Station","Block","","Delay")</f>
        <v>#VALUE!</v>
      </c>
      <c r="M656" s="29" t="str" cm="1">
        <f t="array" ref="M656">GetCSVIndex(A2,169+6426)</f>
        <v/>
      </c>
      <c r="N656" s="27" t="str" cm="1">
        <f t="array" ref="N656">GetCSVIndex(A2,295+6426)</f>
        <v/>
      </c>
      <c r="O656" s="43" t="str" cm="1">
        <f t="array" ref="O656">GetCSVIndex(A2,358+6426)</f>
        <v/>
      </c>
    </row>
    <row r="657" spans="1:15" ht="21" customHeight="1" x14ac:dyDescent="0.25">
      <c r="A657" s="36" t="s">
        <v>37</v>
      </c>
      <c r="B657" s="25"/>
      <c r="C657" s="29" t="str" cm="1">
        <f t="array" ref="C657">IF(GetCSVIndex(A2,23+6426)&lt;&gt;"65535",CONCATENATE(GetCSVIndex(A2,230+6426),":", GetCSVIndex(A2,240+6426)),"OFF")</f>
        <v>:</v>
      </c>
      <c r="D657" s="25"/>
      <c r="E657" s="45">
        <v>14</v>
      </c>
      <c r="F657" s="29" t="e" cm="1">
        <f t="array" ref="F657">CHOOSE(GetCSVIndex(A2,75+6426)+1,"","Station","Block","","Delay")</f>
        <v>#VALUE!</v>
      </c>
      <c r="G657" s="29" t="str" cm="1">
        <f t="array" ref="G657">GetCSVIndex(A2,76+6426)</f>
        <v/>
      </c>
      <c r="H657" s="45" t="str" cm="1">
        <f t="array" ref="H657">GetCSVIndex(A2,264+6426)</f>
        <v/>
      </c>
      <c r="I657" s="29" t="str" cm="1">
        <f t="array" ref="I657">GetCSVIndex(A2,327+6426)</f>
        <v/>
      </c>
      <c r="J657" s="25"/>
      <c r="K657" s="45">
        <v>46</v>
      </c>
      <c r="L657" s="29" t="e" cm="1">
        <f t="array" ref="L657">CHOOSE(GetCSVIndex(A2,171+6426)+1,"","Station","Block","","Delay")</f>
        <v>#VALUE!</v>
      </c>
      <c r="M657" s="29" t="str" cm="1">
        <f t="array" ref="M657">GetCSVIndex(A2,172+6426)</f>
        <v/>
      </c>
      <c r="N657" s="27" t="str" cm="1">
        <f t="array" ref="N657">GetCSVIndex(A2,296+6426)</f>
        <v/>
      </c>
      <c r="O657" s="43" t="str" cm="1">
        <f t="array" ref="O657">GetCSVIndex(A2,359+6426)</f>
        <v/>
      </c>
    </row>
    <row r="658" spans="1:15" ht="21" customHeight="1" x14ac:dyDescent="0.25">
      <c r="A658" s="39"/>
      <c r="B658" s="40"/>
      <c r="C658" s="41"/>
      <c r="D658" s="26"/>
      <c r="E658" s="45">
        <v>15</v>
      </c>
      <c r="F658" s="29" t="e" cm="1">
        <f t="array" ref="F658">CHOOSE(GetCSVIndex(A2,78+6426)+1,"","Station","Block","","Delay")</f>
        <v>#VALUE!</v>
      </c>
      <c r="G658" s="29" t="str" cm="1">
        <f t="array" ref="G658">GetCSVIndex(A2,79+6426)</f>
        <v/>
      </c>
      <c r="H658" s="45" t="str" cm="1">
        <f t="array" ref="H658">GetCSVIndex(A2,265+6426)</f>
        <v/>
      </c>
      <c r="I658" s="29" t="str" cm="1">
        <f t="array" ref="I658">GetCSVIndex(A2,328+6426)</f>
        <v/>
      </c>
      <c r="J658" s="26"/>
      <c r="K658" s="45">
        <v>47</v>
      </c>
      <c r="L658" s="29" t="e" cm="1">
        <f t="array" ref="L658">CHOOSE(GetCSVIndex(A2,174+6426)+1,"","Station","Block","","Delay")</f>
        <v>#VALUE!</v>
      </c>
      <c r="M658" s="29" t="str" cm="1">
        <f t="array" ref="M658">GetCSVIndex(A2,175+6426)</f>
        <v/>
      </c>
      <c r="N658" s="27" t="str" cm="1">
        <f t="array" ref="N658">GetCSVIndex(A2,297+6426)</f>
        <v/>
      </c>
      <c r="O658" s="43" t="str" cm="1">
        <f t="array" ref="O658">GetCSVIndex(A2,360+6426)</f>
        <v/>
      </c>
    </row>
    <row r="659" spans="1:15" ht="21" customHeight="1" x14ac:dyDescent="0.25">
      <c r="A659" s="42"/>
      <c r="B659" s="25"/>
      <c r="C659" s="25"/>
      <c r="D659" s="26"/>
      <c r="E659" s="45">
        <v>16</v>
      </c>
      <c r="F659" s="29" t="e" cm="1">
        <f t="array" ref="F659">CHOOSE(GetCSVIndex(A2,81+6426)+1,"","Station","Block","","Delay")</f>
        <v>#VALUE!</v>
      </c>
      <c r="G659" s="29" t="str" cm="1">
        <f t="array" ref="G659">GetCSVIndex(A2,82+6426)</f>
        <v/>
      </c>
      <c r="H659" s="45" t="str" cm="1">
        <f t="array" ref="H659">GetCSVIndex(A2,266+6426)</f>
        <v/>
      </c>
      <c r="I659" s="29" t="str" cm="1">
        <f t="array" ref="I659">GetCSVIndex(A2,329+6426)</f>
        <v/>
      </c>
      <c r="J659" s="25"/>
      <c r="K659" s="45">
        <v>48</v>
      </c>
      <c r="L659" s="29" t="e" cm="1">
        <f t="array" ref="L659">CHOOSE(GetCSVIndex(A2,177+6426)+1,"","Station","Block","","Delay")</f>
        <v>#VALUE!</v>
      </c>
      <c r="M659" s="29" t="str" cm="1">
        <f t="array" ref="M659">GetCSVIndex(A2,178+6426)</f>
        <v/>
      </c>
      <c r="N659" s="27" t="str" cm="1">
        <f t="array" ref="N659">GetCSVIndex(A2,298+6426)</f>
        <v/>
      </c>
      <c r="O659" s="43" t="str" cm="1">
        <f t="array" ref="O659">GetCSVIndex(A2,361+6426)</f>
        <v/>
      </c>
    </row>
    <row r="660" spans="1:15" ht="21" customHeight="1" x14ac:dyDescent="0.25">
      <c r="A660" s="42"/>
      <c r="B660" s="25"/>
      <c r="C660" s="25"/>
      <c r="D660" s="26"/>
      <c r="E660" s="45">
        <v>17</v>
      </c>
      <c r="F660" s="29" t="e" cm="1">
        <f t="array" ref="F660">CHOOSE(GetCSVIndex(A2,84+6426)+1,"","Station","Block","","Delay")</f>
        <v>#VALUE!</v>
      </c>
      <c r="G660" s="29" t="str" cm="1">
        <f t="array" ref="G660">GetCSVIndex(A2,85+6426)</f>
        <v/>
      </c>
      <c r="H660" s="45" t="str" cm="1">
        <f t="array" ref="H660">GetCSVIndex(A2,267+6426)</f>
        <v/>
      </c>
      <c r="I660" s="29" t="str" cm="1">
        <f t="array" ref="I660">GetCSVIndex(A2,330+6426)</f>
        <v/>
      </c>
      <c r="J660" s="26"/>
      <c r="K660" s="45">
        <v>49</v>
      </c>
      <c r="L660" s="29" t="e" cm="1">
        <f t="array" ref="L660">CHOOSE(GetCSVIndex(A2,180+6426)+1,"","Station","Block","","Delay")</f>
        <v>#VALUE!</v>
      </c>
      <c r="M660" s="29" t="str" cm="1">
        <f t="array" ref="M660">GetCSVIndex(A2,181+6426)</f>
        <v/>
      </c>
      <c r="N660" s="27" t="str" cm="1">
        <f t="array" ref="N660">GetCSVIndex(A2,299+6426)</f>
        <v/>
      </c>
      <c r="O660" s="43" t="str" cm="1">
        <f t="array" ref="O660">GetCSVIndex(A2,362+6426)</f>
        <v/>
      </c>
    </row>
    <row r="661" spans="1:15" ht="21" customHeight="1" x14ac:dyDescent="0.25">
      <c r="A661" s="42"/>
      <c r="B661" s="25"/>
      <c r="C661" s="25"/>
      <c r="D661" s="26"/>
      <c r="E661" s="45">
        <v>18</v>
      </c>
      <c r="F661" s="29" t="e" cm="1">
        <f t="array" ref="F661">CHOOSE(GetCSVIndex(A2,87+6426)+1,"","Station","Block","","Delay")</f>
        <v>#VALUE!</v>
      </c>
      <c r="G661" s="29" t="str" cm="1">
        <f t="array" ref="G661">GetCSVIndex(A2,88+6426)</f>
        <v/>
      </c>
      <c r="H661" s="45" t="str" cm="1">
        <f t="array" ref="H661">GetCSVIndex(A2,268+6426)</f>
        <v/>
      </c>
      <c r="I661" s="29" t="str" cm="1">
        <f t="array" ref="I661">GetCSVIndex(A2,331+6426)</f>
        <v/>
      </c>
      <c r="J661" s="26"/>
      <c r="K661" s="45">
        <v>50</v>
      </c>
      <c r="L661" s="29" t="e" cm="1">
        <f t="array" ref="L661">CHOOSE(GetCSVIndex(A2,183+6426)+1,"","Station","Block","","Delay")</f>
        <v>#VALUE!</v>
      </c>
      <c r="M661" s="29" t="str" cm="1">
        <f t="array" ref="M661">GetCSVIndex(A2,184+6426)</f>
        <v/>
      </c>
      <c r="N661" s="27" t="str" cm="1">
        <f t="array" ref="N661">GetCSVIndex(A2,300+6426)</f>
        <v/>
      </c>
      <c r="O661" s="43" t="str" cm="1">
        <f t="array" ref="O661">GetCSVIndex(A2,363+6426)</f>
        <v/>
      </c>
    </row>
    <row r="662" spans="1:15" ht="21" customHeight="1" x14ac:dyDescent="0.25">
      <c r="A662" s="42"/>
      <c r="B662" s="25"/>
      <c r="C662" s="25"/>
      <c r="D662" s="26"/>
      <c r="E662" s="45">
        <v>19</v>
      </c>
      <c r="F662" s="29" t="e" cm="1">
        <f t="array" ref="F662">CHOOSE(GetCSVIndex(A2,90+6426)+1,"","Station","Block","","Delay")</f>
        <v>#VALUE!</v>
      </c>
      <c r="G662" s="29" t="str" cm="1">
        <f t="array" ref="G662">GetCSVIndex(A2,91+6426)</f>
        <v/>
      </c>
      <c r="H662" s="45" t="str" cm="1">
        <f t="array" ref="H662">GetCSVIndex(A2,269+6426)</f>
        <v/>
      </c>
      <c r="I662" s="29" t="str" cm="1">
        <f t="array" ref="I662">GetCSVIndex(A2,332+6426)</f>
        <v/>
      </c>
      <c r="J662" s="26"/>
      <c r="K662" s="45">
        <v>51</v>
      </c>
      <c r="L662" s="29" t="e" cm="1">
        <f t="array" ref="L662">CHOOSE(GetCSVIndex(A2,186+6426)+1,"","Station","Block","","Delay")</f>
        <v>#VALUE!</v>
      </c>
      <c r="M662" s="29" t="str" cm="1">
        <f t="array" ref="M662">GetCSVIndex(A2,187+6426)</f>
        <v/>
      </c>
      <c r="N662" s="27" t="str" cm="1">
        <f t="array" ref="N662">GetCSVIndex(A2,301+6426)</f>
        <v/>
      </c>
      <c r="O662" s="43" t="str" cm="1">
        <f t="array" ref="O662">GetCSVIndex(A2,364+6426)</f>
        <v/>
      </c>
    </row>
    <row r="663" spans="1:15" ht="21" customHeight="1" x14ac:dyDescent="0.25">
      <c r="A663" s="42"/>
      <c r="B663" s="25"/>
      <c r="C663" s="25"/>
      <c r="D663" s="26"/>
      <c r="E663" s="45">
        <v>20</v>
      </c>
      <c r="F663" s="29" t="e" cm="1">
        <f t="array" ref="F663">CHOOSE(GetCSVIndex(A2,93+6426)+1,"","Station","Block","","Delay")</f>
        <v>#VALUE!</v>
      </c>
      <c r="G663" s="29" t="str" cm="1">
        <f t="array" ref="G663">GetCSVIndex(A2,94+6426)</f>
        <v/>
      </c>
      <c r="H663" s="45" t="str" cm="1">
        <f t="array" ref="H663">GetCSVIndex(A2,270+6426)</f>
        <v/>
      </c>
      <c r="I663" s="29" t="str" cm="1">
        <f t="array" ref="I663">GetCSVIndex(A2,333+6426)</f>
        <v/>
      </c>
      <c r="J663" s="26"/>
      <c r="K663" s="45">
        <v>52</v>
      </c>
      <c r="L663" s="29" t="e" cm="1">
        <f t="array" ref="L663">CHOOSE(GetCSVIndex(A2,189+6426)+1,"","Station","Block","","Delay")</f>
        <v>#VALUE!</v>
      </c>
      <c r="M663" s="29" t="str" cm="1">
        <f t="array" ref="M663">GetCSVIndex(A2,190+6426)</f>
        <v/>
      </c>
      <c r="N663" s="27" t="str" cm="1">
        <f t="array" ref="N663">GetCSVIndex(A2,302+6426)</f>
        <v/>
      </c>
      <c r="O663" s="43" t="str" cm="1">
        <f t="array" ref="O663">GetCSVIndex(A2,365+6426)</f>
        <v/>
      </c>
    </row>
    <row r="664" spans="1:15" ht="21" customHeight="1" x14ac:dyDescent="0.25">
      <c r="A664" s="42"/>
      <c r="B664" s="25"/>
      <c r="C664" s="25"/>
      <c r="D664" s="26"/>
      <c r="E664" s="45">
        <v>21</v>
      </c>
      <c r="F664" s="29" t="e" cm="1">
        <f t="array" ref="F664">CHOOSE(GetCSVIndex(A2,96+6426)+1,"","Station","Block","","Delay")</f>
        <v>#VALUE!</v>
      </c>
      <c r="G664" s="29" t="str" cm="1">
        <f t="array" ref="G664">GetCSVIndex(A2,97+6426)</f>
        <v/>
      </c>
      <c r="H664" s="45" t="str" cm="1">
        <f t="array" ref="H664">GetCSVIndex(A2,271+6426)</f>
        <v/>
      </c>
      <c r="I664" s="29" t="str" cm="1">
        <f t="array" ref="I664">GetCSVIndex(A2,334+6426)</f>
        <v/>
      </c>
      <c r="J664" s="26"/>
      <c r="K664" s="45">
        <v>53</v>
      </c>
      <c r="L664" s="29" t="e" cm="1">
        <f t="array" ref="L664">CHOOSE(GetCSVIndex(A2,192+6426)+1,"","Station","Block","","Delay")</f>
        <v>#VALUE!</v>
      </c>
      <c r="M664" s="29" t="str" cm="1">
        <f t="array" ref="M664">GetCSVIndex(A2,193+6426)</f>
        <v/>
      </c>
      <c r="N664" s="27" t="str" cm="1">
        <f t="array" ref="N664">GetCSVIndex(A2,303+6426)</f>
        <v/>
      </c>
      <c r="O664" s="43" t="str" cm="1">
        <f t="array" ref="O664">GetCSVIndex(A2,366+6426)</f>
        <v/>
      </c>
    </row>
    <row r="665" spans="1:15" ht="21" customHeight="1" x14ac:dyDescent="0.25">
      <c r="A665" s="42"/>
      <c r="B665" s="25"/>
      <c r="C665" s="25"/>
      <c r="D665" s="26"/>
      <c r="E665" s="45">
        <v>22</v>
      </c>
      <c r="F665" s="29" t="e" cm="1">
        <f t="array" ref="F665">CHOOSE(GetCSVIndex(A2,99+6426)+1,"","Station","Block","","Delay")</f>
        <v>#VALUE!</v>
      </c>
      <c r="G665" s="29" t="str" cm="1">
        <f t="array" ref="G665">GetCSVIndex(A2,100+6426)</f>
        <v/>
      </c>
      <c r="H665" s="45" t="str" cm="1">
        <f t="array" ref="H665">GetCSVIndex(A2,272+6426)</f>
        <v/>
      </c>
      <c r="I665" s="29" t="str" cm="1">
        <f t="array" ref="I665">GetCSVIndex(A2,335+6426)</f>
        <v/>
      </c>
      <c r="J665" s="26"/>
      <c r="K665" s="45">
        <v>54</v>
      </c>
      <c r="L665" s="29" t="e" cm="1">
        <f t="array" ref="L665">CHOOSE(GetCSVIndex(A2,195+6426)+1,"","Station","Block","","Delay")</f>
        <v>#VALUE!</v>
      </c>
      <c r="M665" s="29" t="str" cm="1">
        <f t="array" ref="M665">GetCSVIndex(A2,196+6426)</f>
        <v/>
      </c>
      <c r="N665" s="27" t="str" cm="1">
        <f t="array" ref="N665">GetCSVIndex(A2,304+6426)</f>
        <v/>
      </c>
      <c r="O665" s="43" t="str" cm="1">
        <f t="array" ref="O665">GetCSVIndex(A2,367+6426)</f>
        <v/>
      </c>
    </row>
    <row r="666" spans="1:15" ht="21" customHeight="1" x14ac:dyDescent="0.25">
      <c r="A666" s="42"/>
      <c r="B666" s="25"/>
      <c r="C666" s="25"/>
      <c r="D666" s="26"/>
      <c r="E666" s="45">
        <v>23</v>
      </c>
      <c r="F666" s="29" t="e" cm="1">
        <f t="array" ref="F666">CHOOSE(GetCSVIndex(A2,102+6426)+1,"","Station","Block","","Delay")</f>
        <v>#VALUE!</v>
      </c>
      <c r="G666" s="29" t="str" cm="1">
        <f t="array" ref="G666">GetCSVIndex(A2,103+6426)</f>
        <v/>
      </c>
      <c r="H666" s="45" t="str" cm="1">
        <f t="array" ref="H666">GetCSVIndex(A2,273+6426)</f>
        <v/>
      </c>
      <c r="I666" s="29" t="str" cm="1">
        <f t="array" ref="I666">GetCSVIndex(A2,336+6426)</f>
        <v/>
      </c>
      <c r="J666" s="26"/>
      <c r="K666" s="45">
        <v>55</v>
      </c>
      <c r="L666" s="29" t="e" cm="1">
        <f t="array" ref="L666">CHOOSE(GetCSVIndex(A2,198+6426)+1,"","Station","Block","","Delay")</f>
        <v>#VALUE!</v>
      </c>
      <c r="M666" s="29" t="str" cm="1">
        <f t="array" ref="M666">GetCSVIndex(A2,199+6426)</f>
        <v/>
      </c>
      <c r="N666" s="27" t="str" cm="1">
        <f t="array" ref="N666">GetCSVIndex(A2,305+6426)</f>
        <v/>
      </c>
      <c r="O666" s="43" t="str" cm="1">
        <f t="array" ref="O666">GetCSVIndex(A2,368+6426)</f>
        <v/>
      </c>
    </row>
    <row r="667" spans="1:15" ht="21" customHeight="1" x14ac:dyDescent="0.25">
      <c r="A667" s="42"/>
      <c r="B667" s="25"/>
      <c r="C667" s="25"/>
      <c r="D667" s="26"/>
      <c r="E667" s="45">
        <v>24</v>
      </c>
      <c r="F667" s="29" t="e" cm="1">
        <f t="array" ref="F667">CHOOSE(GetCSVIndex(A2,105+6426)+1,"","Station","Block","","Delay")</f>
        <v>#VALUE!</v>
      </c>
      <c r="G667" s="29" t="str" cm="1">
        <f t="array" ref="G667">GetCSVIndex(A2,106+6426)</f>
        <v/>
      </c>
      <c r="H667" s="45" t="str" cm="1">
        <f t="array" ref="H667">GetCSVIndex(A2,274+6426)</f>
        <v/>
      </c>
      <c r="I667" s="29" t="str" cm="1">
        <f t="array" ref="I667">GetCSVIndex(A2,337+6426)</f>
        <v/>
      </c>
      <c r="J667" s="26"/>
      <c r="K667" s="45">
        <v>56</v>
      </c>
      <c r="L667" s="29" t="e" cm="1">
        <f t="array" ref="L667">CHOOSE(GetCSVIndex(A2,201+6426)+1,"","Station","Block","","Delay")</f>
        <v>#VALUE!</v>
      </c>
      <c r="M667" s="29" t="str" cm="1">
        <f t="array" ref="M667">GetCSVIndex(A2,202+6426)</f>
        <v/>
      </c>
      <c r="N667" s="27" t="str" cm="1">
        <f t="array" ref="N667">GetCSVIndex(A2,306+6426)</f>
        <v/>
      </c>
      <c r="O667" s="43" t="str" cm="1">
        <f t="array" ref="O667">GetCSVIndex(A2,369+6426)</f>
        <v/>
      </c>
    </row>
    <row r="668" spans="1:15" ht="21" customHeight="1" x14ac:dyDescent="0.25">
      <c r="A668" s="42"/>
      <c r="B668" s="25"/>
      <c r="C668" s="25"/>
      <c r="D668" s="26"/>
      <c r="E668" s="45">
        <v>25</v>
      </c>
      <c r="F668" s="29" t="e" cm="1">
        <f t="array" ref="F668">CHOOSE(GetCSVIndex(A2,108+6426)+1,"","Station","Block","","Delay")</f>
        <v>#VALUE!</v>
      </c>
      <c r="G668" s="29" t="str" cm="1">
        <f t="array" ref="G668">GetCSVIndex(A2,109+6426)</f>
        <v/>
      </c>
      <c r="H668" s="45" t="str" cm="1">
        <f t="array" ref="H668">GetCSVIndex(A2,275+6426)</f>
        <v/>
      </c>
      <c r="I668" s="29" t="str" cm="1">
        <f t="array" ref="I668">GetCSVIndex(A2,338+6426)</f>
        <v/>
      </c>
      <c r="J668" s="26"/>
      <c r="K668" s="45">
        <v>57</v>
      </c>
      <c r="L668" s="29" t="e" cm="1">
        <f t="array" ref="L668">CHOOSE(GetCSVIndex(A2,204+6426)+1,"","Station","Block","","Delay")</f>
        <v>#VALUE!</v>
      </c>
      <c r="M668" s="29" t="str" cm="1">
        <f t="array" ref="M668">GetCSVIndex(A2,205+6426)</f>
        <v/>
      </c>
      <c r="N668" s="27" t="str" cm="1">
        <f t="array" ref="N668">GetCSVIndex(A2,307+6426)</f>
        <v/>
      </c>
      <c r="O668" s="43" t="str" cm="1">
        <f t="array" ref="O668">GetCSVIndex(A2,370+6426)</f>
        <v/>
      </c>
    </row>
    <row r="669" spans="1:15" ht="21" customHeight="1" x14ac:dyDescent="0.25">
      <c r="A669" s="42"/>
      <c r="B669" s="25"/>
      <c r="C669" s="25"/>
      <c r="D669" s="26"/>
      <c r="E669" s="45">
        <v>26</v>
      </c>
      <c r="F669" s="29" t="e" cm="1">
        <f t="array" ref="F669">CHOOSE(GetCSVIndex(A2,111+6426)+1,"","Station","Block","","Delay")</f>
        <v>#VALUE!</v>
      </c>
      <c r="G669" s="29" t="str" cm="1">
        <f t="array" ref="G669">GetCSVIndex(A2,112+6426)</f>
        <v/>
      </c>
      <c r="H669" s="45" t="str" cm="1">
        <f t="array" ref="H669">GetCSVIndex(A2,276+6426)</f>
        <v/>
      </c>
      <c r="I669" s="29" t="str" cm="1">
        <f t="array" ref="I669">GetCSVIndex(A2,339+6426)</f>
        <v/>
      </c>
      <c r="J669" s="26"/>
      <c r="K669" s="45">
        <v>58</v>
      </c>
      <c r="L669" s="29" t="e" cm="1">
        <f t="array" ref="L669">CHOOSE(GetCSVIndex(A2,207+6426)+1,"","Station","Block","","Delay")</f>
        <v>#VALUE!</v>
      </c>
      <c r="M669" s="29" t="str" cm="1">
        <f t="array" ref="M669">GetCSVIndex(A2,208+6426)</f>
        <v/>
      </c>
      <c r="N669" s="27" t="str" cm="1">
        <f t="array" ref="N669">GetCSVIndex(A2,308+6426)</f>
        <v/>
      </c>
      <c r="O669" s="43" t="str" cm="1">
        <f t="array" ref="O669">GetCSVIndex(A2,371+6426)</f>
        <v/>
      </c>
    </row>
    <row r="670" spans="1:15" ht="21" customHeight="1" x14ac:dyDescent="0.25">
      <c r="A670" s="42"/>
      <c r="B670" s="25"/>
      <c r="C670" s="25"/>
      <c r="D670" s="26"/>
      <c r="E670" s="45">
        <v>27</v>
      </c>
      <c r="F670" s="29" t="e" cm="1">
        <f t="array" ref="F670">CHOOSE(GetCSVIndex(A2,114+6426)+1,"","Station","Block","","Delay")</f>
        <v>#VALUE!</v>
      </c>
      <c r="G670" s="29" t="str" cm="1">
        <f t="array" ref="G670">GetCSVIndex(A2,115+6426)</f>
        <v/>
      </c>
      <c r="H670" s="45" t="str" cm="1">
        <f t="array" ref="H670">GetCSVIndex(A2,277+6426)</f>
        <v/>
      </c>
      <c r="I670" s="29" t="str" cm="1">
        <f t="array" ref="I670">GetCSVIndex(A2,340+6426)</f>
        <v/>
      </c>
      <c r="J670" s="26"/>
      <c r="K670" s="45">
        <v>59</v>
      </c>
      <c r="L670" s="29" t="e" cm="1">
        <f t="array" ref="L670">CHOOSE(GetCSVIndex(A2,210+6426)+1,"","Station","Block","","Delay")</f>
        <v>#VALUE!</v>
      </c>
      <c r="M670" s="29" t="str" cm="1">
        <f t="array" ref="M670">GetCSVIndex(A2,211+6426)</f>
        <v/>
      </c>
      <c r="N670" s="27" t="str" cm="1">
        <f t="array" ref="N670">GetCSVIndex(A2,309+6426)</f>
        <v/>
      </c>
      <c r="O670" s="43" t="str" cm="1">
        <f t="array" ref="O670">GetCSVIndex(A2,372+6426)</f>
        <v/>
      </c>
    </row>
    <row r="671" spans="1:15" ht="21" customHeight="1" x14ac:dyDescent="0.25">
      <c r="A671" s="42"/>
      <c r="B671" s="25"/>
      <c r="C671" s="25"/>
      <c r="D671" s="26"/>
      <c r="E671" s="45">
        <v>28</v>
      </c>
      <c r="F671" s="29" t="e" cm="1">
        <f t="array" ref="F671">CHOOSE(GetCSVIndex(A2,117+6426)+1,"","Station","Block","","Delay")</f>
        <v>#VALUE!</v>
      </c>
      <c r="G671" s="29" t="str" cm="1">
        <f t="array" ref="G671">GetCSVIndex(A2,118+6426)</f>
        <v/>
      </c>
      <c r="H671" s="45" t="str" cm="1">
        <f t="array" ref="H671">GetCSVIndex(A2,278+6426)</f>
        <v/>
      </c>
      <c r="I671" s="29" t="str" cm="1">
        <f t="array" ref="I671">GetCSVIndex(A2,341+6426)</f>
        <v/>
      </c>
      <c r="J671" s="26"/>
      <c r="K671" s="45">
        <v>60</v>
      </c>
      <c r="L671" s="29" t="e" cm="1">
        <f t="array" ref="L671">CHOOSE(GetCSVIndex(A2,213+6426)+1,"","Station","Block","","Delay")</f>
        <v>#VALUE!</v>
      </c>
      <c r="M671" s="29" t="str" cm="1">
        <f t="array" ref="M671">GetCSVIndex(A2,214+6426)</f>
        <v/>
      </c>
      <c r="N671" s="27" t="str" cm="1">
        <f t="array" ref="N671">GetCSVIndex(A2,310+6426)</f>
        <v/>
      </c>
      <c r="O671" s="43" t="str" cm="1">
        <f t="array" ref="O671">GetCSVIndex(A2,373+6426)</f>
        <v/>
      </c>
    </row>
    <row r="672" spans="1:15" ht="21" customHeight="1" x14ac:dyDescent="0.25">
      <c r="A672" s="42"/>
      <c r="B672" s="25"/>
      <c r="C672" s="25"/>
      <c r="D672" s="26"/>
      <c r="E672" s="45">
        <v>29</v>
      </c>
      <c r="F672" s="29" t="e" cm="1">
        <f t="array" ref="F672">CHOOSE(GetCSVIndex(A2,120+6426)+1,"","Station","Block","","Delay")</f>
        <v>#VALUE!</v>
      </c>
      <c r="G672" s="29" t="str" cm="1">
        <f t="array" ref="G672">GetCSVIndex(A2,121+6426)</f>
        <v/>
      </c>
      <c r="H672" s="45" t="str" cm="1">
        <f t="array" ref="H672">GetCSVIndex(A2,279+6426)</f>
        <v/>
      </c>
      <c r="I672" s="29" t="str" cm="1">
        <f t="array" ref="I672">GetCSVIndex(A2,342+6426)</f>
        <v/>
      </c>
      <c r="J672" s="26"/>
      <c r="K672" s="45">
        <v>61</v>
      </c>
      <c r="L672" s="29" t="e" cm="1">
        <f t="array" ref="L672">CHOOSE(GetCSVIndex(A2,216+6426)+1,"","Station","Block","","Delay")</f>
        <v>#VALUE!</v>
      </c>
      <c r="M672" s="29" t="str" cm="1">
        <f t="array" ref="M672">GetCSVIndex(A2,217+6426)</f>
        <v/>
      </c>
      <c r="N672" s="27" t="str" cm="1">
        <f t="array" ref="N672">GetCSVIndex(A2,311+6426)</f>
        <v/>
      </c>
      <c r="O672" s="43" t="str" cm="1">
        <f t="array" ref="O672">GetCSVIndex(A2,374+6426)</f>
        <v/>
      </c>
    </row>
    <row r="673" spans="1:15" ht="21" customHeight="1" x14ac:dyDescent="0.25">
      <c r="A673" s="42"/>
      <c r="B673" s="25"/>
      <c r="C673" s="25"/>
      <c r="D673" s="26"/>
      <c r="E673" s="45">
        <v>30</v>
      </c>
      <c r="F673" s="29" t="e" cm="1">
        <f t="array" ref="F673">CHOOSE(GetCSVIndex(A2,123+6426)+1,"","Station","Block","","Delay")</f>
        <v>#VALUE!</v>
      </c>
      <c r="G673" s="29" t="str" cm="1">
        <f t="array" ref="G673">GetCSVIndex(A2,124+6426)</f>
        <v/>
      </c>
      <c r="H673" s="45" t="str" cm="1">
        <f t="array" ref="H673">GetCSVIndex(A2,280+6426)</f>
        <v/>
      </c>
      <c r="I673" s="29" t="str" cm="1">
        <f t="array" ref="I673">GetCSVIndex(A2,343+6426)</f>
        <v/>
      </c>
      <c r="J673" s="26"/>
      <c r="K673" s="45">
        <v>62</v>
      </c>
      <c r="L673" s="29" t="e" cm="1">
        <f t="array" ref="L673">CHOOSE(GetCSVIndex(A2,219+6426)+1,"","Station","Block","","Delay")</f>
        <v>#VALUE!</v>
      </c>
      <c r="M673" s="29" t="str" cm="1">
        <f t="array" ref="M673">GetCSVIndex(A2,220+6426)</f>
        <v/>
      </c>
      <c r="N673" s="27" t="str" cm="1">
        <f t="array" ref="N673">GetCSVIndex(A2,312+6426)</f>
        <v/>
      </c>
      <c r="O673" s="43" t="str" cm="1">
        <f t="array" ref="O673">GetCSVIndex(A2,375+6426)</f>
        <v/>
      </c>
    </row>
    <row r="674" spans="1:15" ht="21" customHeight="1" x14ac:dyDescent="0.25">
      <c r="A674" s="42"/>
      <c r="B674" s="25"/>
      <c r="C674" s="25"/>
      <c r="D674" s="26"/>
      <c r="E674" s="45">
        <v>31</v>
      </c>
      <c r="F674" s="29" t="e" cm="1">
        <f t="array" ref="F674">CHOOSE(GetCSVIndex(A2,126+6426)+1,"","Station","Block","","Delay")</f>
        <v>#VALUE!</v>
      </c>
      <c r="G674" s="29" t="str" cm="1">
        <f t="array" ref="G674">GetCSVIndex(A2,127+6426)</f>
        <v/>
      </c>
      <c r="H674" s="45" t="str" cm="1">
        <f t="array" ref="H674">GetCSVIndex(A2,281+6426)</f>
        <v/>
      </c>
      <c r="I674" s="29" t="str" cm="1">
        <f t="array" ref="I674">GetCSVIndex(A2,344+6426)</f>
        <v/>
      </c>
      <c r="J674" s="26"/>
      <c r="K674" s="45">
        <v>63</v>
      </c>
      <c r="L674" s="29" t="e" cm="1">
        <f t="array" ref="L674">CHOOSE(GetCSVIndex(A2,222+6426)+1,"","Station","Block","","Delay")</f>
        <v>#VALUE!</v>
      </c>
      <c r="M674" s="29" t="str" cm="1">
        <f t="array" ref="M674">GetCSVIndex(A2,223+6426)</f>
        <v/>
      </c>
      <c r="N674" s="27" t="str" cm="1">
        <f t="array" ref="N674">GetCSVIndex(A2,313+6426)</f>
        <v/>
      </c>
      <c r="O674" s="43" t="str" cm="1">
        <f t="array" ref="O674">GetCSVIndex(A2,376+6426)</f>
        <v/>
      </c>
    </row>
    <row r="675" spans="1:15" ht="21" customHeight="1" x14ac:dyDescent="0.25">
      <c r="A675" s="37"/>
      <c r="B675" s="28"/>
      <c r="C675" s="29"/>
      <c r="D675" s="29"/>
      <c r="E675" s="45">
        <v>32</v>
      </c>
      <c r="F675" s="29" t="e" cm="1">
        <f t="array" ref="F675">CHOOSE(GetCSVIndex(A2,129+6426)+1,"","Station","Block","","Delay")</f>
        <v>#VALUE!</v>
      </c>
      <c r="G675" s="29" t="str" cm="1">
        <f t="array" ref="G675">GetCSVIndex(A2,130+6426)</f>
        <v/>
      </c>
      <c r="H675" s="45" t="str" cm="1">
        <f t="array" ref="H675">GetCSVIndex(A2,282+6426)</f>
        <v/>
      </c>
      <c r="I675" s="29" t="str" cm="1">
        <f t="array" ref="I675">GetCSVIndex(A2,345+6426)</f>
        <v/>
      </c>
      <c r="J675" s="29"/>
      <c r="K675" s="45">
        <v>64</v>
      </c>
      <c r="L675" s="29" t="e" cm="1">
        <f t="array" ref="L675">CHOOSE(GetCSVIndex(A2,225+6426)+1,"","Station","Block","","Delay")</f>
        <v>#VALUE!</v>
      </c>
      <c r="M675" s="29" t="str" cm="1">
        <f t="array" ref="M675">GetCSVIndex(A2,226+6426)</f>
        <v/>
      </c>
      <c r="N675" s="27" t="str" cm="1">
        <f t="array" ref="N675">GetCSVIndex(A2,314+6426)</f>
        <v/>
      </c>
      <c r="O675" s="43" t="str" cm="1">
        <f t="array" ref="O675">GetCSVIndex(A2,377+6426)</f>
        <v/>
      </c>
    </row>
    <row r="676" spans="1:15" ht="23.25" customHeight="1" x14ac:dyDescent="0.25">
      <c r="A676" s="51" t="str" cm="1">
        <f t="array" ref="A676">CONCATENATE("Schedule  Program Number : ", GetCSVIndex(A2,5+7182))</f>
        <v xml:space="preserve">Schedule  Program Number : </v>
      </c>
      <c r="B676" s="52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3"/>
    </row>
    <row r="677" spans="1:15" ht="21" customHeight="1" x14ac:dyDescent="0.25">
      <c r="A677" s="20" t="s">
        <v>44</v>
      </c>
      <c r="B677" s="22" t="str" cm="1">
        <f t="array" ref="B677">GetCSVIndex(A2,5+7182)</f>
        <v/>
      </c>
      <c r="C677" s="18"/>
      <c r="D677" s="18"/>
      <c r="E677" s="18"/>
      <c r="F677" s="18"/>
      <c r="G677" s="18" t="s">
        <v>19</v>
      </c>
      <c r="H677" s="18" t="e" cm="1">
        <f t="array" ref="H677">CHOOSE(GetCSVIndex(A2,7+7182)+1, "Days of Week", "Odd/Even", "Interval","Manual")</f>
        <v>#VALUE!</v>
      </c>
      <c r="I677" s="18"/>
      <c r="J677" s="15"/>
      <c r="K677" s="15"/>
      <c r="L677" s="15"/>
      <c r="M677" s="15"/>
      <c r="N677" s="15"/>
      <c r="O677" s="16"/>
    </row>
    <row r="678" spans="1:15" ht="18" customHeight="1" x14ac:dyDescent="0.25">
      <c r="A678" s="21" t="s">
        <v>20</v>
      </c>
      <c r="B678" s="19" t="e" cm="1">
        <f t="array" ref="B678">CHOOSE(GetCSVIndex(A2,24+7182)+1, "Program", "Global", "Monthly","Solar Sync")</f>
        <v>#VALUE!</v>
      </c>
      <c r="C678" s="19"/>
      <c r="D678" s="19"/>
      <c r="E678" s="19"/>
      <c r="F678" s="19" t="s">
        <v>21</v>
      </c>
      <c r="G678" s="19" t="e" cm="1">
        <f t="array" ref="G678">IF(CHOOSE(GetCSVIndex(A2,7+7182)+1,IF(_xlfn.BITAND(GetCSVIndex(A2,8+7182), 2^0)=0, 0, 1),IF(_xlfn.BITAND(GetCSVIndex(A2,9+7182), 2^0)=0, 0, 1),IF(_xlfn.BITAND(GetCSVIndex(A2,10+7182), 2^0)=0, 0, 1)) =1,"Mon","")</f>
        <v>#VALUE!</v>
      </c>
      <c r="H678" s="19" t="e" cm="1">
        <f t="array" ref="H678">CONCATENATE(IF(CHOOSE(GetCSVIndex(A2,7+7182)+1,IF(_xlfn.BITAND(GetCSVIndex(A2,8+7182), 2^1)=0, 0, 1),IF(_xlfn.BITAND(GetCSVIndex(A2,9+7182), 2^1)=0, 0, 1),IF(_xlfn.BITAND(GetCSVIndex(A2,10+7182), 2^1)=0, 0, 1)) =1,"Tue       ","       "),IF(CHOOSE(GetCSVIndex(A2,7+7182)+1,IF(_xlfn.BITAND(GetCSVIndex(A2,8+7182), 2^2)=0, 0, 1),IF(_xlfn.BITAND(GetCSVIndex(A2,9+7182), 2^2)=0, 0, 1),IF(_xlfn.BITAND(GetCSVIndex(A2,10+7182), 2^2)=0, 0, 1)) =1,"Wed",""),IF(CHOOSE(GetCSVIndex(A2,7+7182)+1,IF(_xlfn.BITAND(GetCSVIndex(A2,8+7182), 2^3)=0, 0, 1),IF(_xlfn.BITAND(GetCSVIndex(A2,9+7182), 2^3)=0, 0, 1),IF(_xlfn.BITAND(GetCSVIndex(A2,10+7182), 2^3)=0, 0, 1)) =1,"       Thu","       "))</f>
        <v>#VALUE!</v>
      </c>
      <c r="I678" s="32" t="e" cm="1">
        <f t="array" ref="I678">CONCATENATE(IF(CHOOSE(GetCSVIndex(A2,7+7182)+1,IF(_xlfn.BITAND(GetCSVIndex(A2,8+7182), 2^4)=0, 0, 1),IF(_xlfn.BITAND(GetCSVIndex(A2,9+7182), 2^4)=0, 0, 1),IF(_xlfn.BITAND(GetCSVIndex(A2,10+7182), 2^4)=0, 0, 1)) =1,"Fri       ","       "),IF(CHOOSE(GetCSVIndex(A2,7+7182)+1,IF(_xlfn.BITAND(GetCSVIndex(A2,8+7182), 2^5)=0, 0, 1),IF(_xlfn.BITAND(GetCSVIndex(A2,9+7182), 2^5)=0, 0, 1),IF(_xlfn.BITAND(GetCSVIndex(A2,10+7182), 2^5)=0, 0, 1)) =1,"Sat",""),IF(CHOOSE(GetCSVIndex(A2,7+7182)+1,IF(_xlfn.BITAND(GetCSVIndex(A2,8+7182), 2^6)=0, 0, 1),IF(_xlfn.BITAND(GetCSVIndex(A2,9+7182), 2^6)=0, 0, 1),IF(_xlfn.BITAND(GetCSVIndex(A2,10+7182), 2^6)=0, 0, 1)) =1,"       Sun","       "))</f>
        <v>#VALUE!</v>
      </c>
      <c r="J678" s="19"/>
      <c r="K678" s="19"/>
      <c r="L678" s="32" t="s">
        <v>22</v>
      </c>
      <c r="M678" s="19"/>
      <c r="N678" s="19" t="str" cm="1">
        <f t="array" ref="N678">IF(GetCSVIndex(A2,26+7182)="1","Enable","Disable")</f>
        <v>Disable</v>
      </c>
      <c r="O678" s="24"/>
    </row>
    <row r="679" spans="1:15" ht="18" customHeight="1" x14ac:dyDescent="0.25">
      <c r="A679" s="21" t="str" cm="1">
        <f t="array" ref="A679">CONCATENATE("Program ", GetCSVIndex(A2,5+7182))</f>
        <v xml:space="preserve">Program </v>
      </c>
      <c r="B679" s="23" t="str" cm="1">
        <f t="array" ref="B679">CONCATENATE(GetCSVIndex(A2,25+7182)," %")</f>
        <v xml:space="preserve"> %</v>
      </c>
      <c r="C679" s="19"/>
      <c r="D679" s="19"/>
      <c r="E679" s="19"/>
      <c r="F679" s="19" t="str" cm="1">
        <f t="array" ref="F679">IF(GetCSVIndex(A2,7)="2","Water Every"," ")</f>
        <v xml:space="preserve"> </v>
      </c>
      <c r="G679" s="47" t="str" cm="1">
        <f t="array" ref="G679">IF(GetCSVIndex(A2,7+7182)="2",GetCSVIndex(A2,11+7182)," ")</f>
        <v xml:space="preserve"> </v>
      </c>
      <c r="H679" s="19" t="str" cm="1">
        <f t="array" ref="H679">IF(GetCSVIndex(A2,7+7182)="2","Days"," ")</f>
        <v xml:space="preserve"> </v>
      </c>
      <c r="I679" s="32" t="str" cm="1">
        <f t="array" ref="I679">IF(GetCSVIndex(A2,7+7182)="2","Water After"," ")</f>
        <v xml:space="preserve"> </v>
      </c>
      <c r="J679" s="19"/>
      <c r="K679" s="19" t="str" cm="1">
        <f t="array" ref="K679">IF(GetCSVIndex(A2,7+7182)="2",GetCSVIndex(A2,12+7182)," ")</f>
        <v xml:space="preserve"> </v>
      </c>
      <c r="L679" s="47" t="str" cm="1">
        <f t="array" ref="L679">IF(GetCSVIndex(A2,7+7182)="2","Days"," ")</f>
        <v xml:space="preserve"> </v>
      </c>
      <c r="M679" s="32"/>
      <c r="N679" s="32"/>
      <c r="O679" s="24"/>
    </row>
    <row r="680" spans="1:15" ht="21" customHeight="1" x14ac:dyDescent="0.25">
      <c r="A680" s="20" t="s">
        <v>23</v>
      </c>
      <c r="B680" s="18" t="s">
        <v>24</v>
      </c>
      <c r="C680" s="18" t="str" cm="1">
        <f t="array" ref="C680">CHOOSE(GetCSVIndex(A2,13)+1, "Auto", "Start to End","Manual")</f>
        <v>Start to End</v>
      </c>
      <c r="D680" s="31"/>
      <c r="E680" s="17" t="s">
        <v>38</v>
      </c>
      <c r="F680" s="18" t="s">
        <v>39</v>
      </c>
      <c r="G680" s="18" t="s">
        <v>40</v>
      </c>
      <c r="H680" s="18" t="s">
        <v>41</v>
      </c>
      <c r="I680" s="18" t="s">
        <v>43</v>
      </c>
      <c r="J680" s="31"/>
      <c r="K680" s="17" t="s">
        <v>38</v>
      </c>
      <c r="L680" s="18" t="s">
        <v>39</v>
      </c>
      <c r="M680" s="18" t="s">
        <v>40</v>
      </c>
      <c r="N680" s="22" t="s">
        <v>41</v>
      </c>
      <c r="O680" s="44" t="s">
        <v>42</v>
      </c>
    </row>
    <row r="681" spans="1:15" ht="21" customHeight="1" x14ac:dyDescent="0.25">
      <c r="A681" s="36" t="s">
        <v>25</v>
      </c>
      <c r="B681" s="46" t="str" cm="1">
        <f t="array" ref="B681">IF(GetCSVIndex(A2,6+7182)="1","Over","Stack")</f>
        <v>Stack</v>
      </c>
      <c r="C681" s="26" t="str" cm="1">
        <f t="array" ref="C681">GetCSVIndex(A2,29+7182)</f>
        <v/>
      </c>
      <c r="D681" s="25"/>
      <c r="E681" s="45">
        <v>1</v>
      </c>
      <c r="F681" s="29" t="e" cm="1">
        <f t="array" ref="F681">CHOOSE(GetCSVIndex(A2,36+7182)+1,"","Station","Block","","Delay")</f>
        <v>#VALUE!</v>
      </c>
      <c r="G681" s="29" t="str" cm="1">
        <f t="array" ref="G681">GetCSVIndex(A2,37+7182)</f>
        <v/>
      </c>
      <c r="H681" s="45" t="str" cm="1">
        <f t="array" ref="H681">GetCSVIndex(A2,3+7182)</f>
        <v/>
      </c>
      <c r="I681" s="29" t="str" cm="1">
        <f t="array" ref="I681">GetCSVIndex(A2,1+7182)</f>
        <v/>
      </c>
      <c r="J681" s="25"/>
      <c r="K681" s="45">
        <v>33</v>
      </c>
      <c r="L681" s="29" t="e" cm="1">
        <f t="array" ref="L681">CHOOSE(GetCSVIndex(A2,132+7182)+1,"","Station","Block","","Delay")</f>
        <v>#VALUE!</v>
      </c>
      <c r="M681" s="29" t="str" cm="1">
        <f t="array" ref="M681">GetCSVIndex(A2,133+7182)</f>
        <v/>
      </c>
      <c r="N681" s="27" t="str" cm="1">
        <f t="array" ref="N681">GetCSVIndex(A2,283+7182)</f>
        <v/>
      </c>
      <c r="O681" s="43" t="str" cm="1">
        <f t="array" ref="O681">GetCSVIndex(A2,346+7182)</f>
        <v/>
      </c>
    </row>
    <row r="682" spans="1:15" ht="21" customHeight="1" x14ac:dyDescent="0.25">
      <c r="A682" s="36" t="s">
        <v>26</v>
      </c>
      <c r="B682" s="25" t="str" cm="1">
        <f t="array" ref="B682">IF(GetCSVIndex(A2,2+7182)="1092:15","Not Set",CONCATENATE("From     ",GetCSVIndex(A2,2+7182)))</f>
        <v xml:space="preserve">From     </v>
      </c>
      <c r="C682" s="26" t="str" cm="1">
        <f t="array" ref="C682">IF(GetCSVIndex(C4,1+36)="1092:15","Not Set",CONCATENATE("To     ",GetCSVIndex(C4,1+36)))</f>
        <v xml:space="preserve">To     </v>
      </c>
      <c r="D682" s="25"/>
      <c r="E682" s="45">
        <v>2</v>
      </c>
      <c r="F682" s="29" t="e" cm="1">
        <f t="array" ref="F682">CHOOSE(GetCSVIndex(A2,39+7182)+1,"","Station","Block","","Delay")</f>
        <v>#VALUE!</v>
      </c>
      <c r="G682" s="29" t="str" cm="1">
        <f t="array" ref="G682">GetCSVIndex(A2,40+7182)</f>
        <v/>
      </c>
      <c r="H682" s="45" t="str" cm="1">
        <f t="array" ref="H682">GetCSVIndex(A2,252+7182)</f>
        <v/>
      </c>
      <c r="I682" s="29" t="str" cm="1">
        <f t="array" ref="I682">GetCSVIndex(A2,315+7182)</f>
        <v/>
      </c>
      <c r="J682" s="25"/>
      <c r="K682" s="45">
        <v>34</v>
      </c>
      <c r="L682" s="29" t="e" cm="1">
        <f t="array" ref="L682">CHOOSE(GetCSVIndex(A2,135+7182)+1,"","Station","Block","","Delay")</f>
        <v>#VALUE!</v>
      </c>
      <c r="M682" s="29" t="str" cm="1">
        <f t="array" ref="M682">GetCSVIndex(A2,136+7182)</f>
        <v/>
      </c>
      <c r="N682" s="27" t="str" cm="1">
        <f t="array" ref="N682">GetCSVIndex(A2,284+7182)</f>
        <v/>
      </c>
      <c r="O682" s="43" t="str" cm="1">
        <f t="array" ref="O682">GetCSVIndex(A2,347+7182)</f>
        <v/>
      </c>
    </row>
    <row r="683" spans="1:15" ht="21" customHeight="1" x14ac:dyDescent="0.25">
      <c r="A683" s="36" t="s">
        <v>27</v>
      </c>
      <c r="B683" s="25"/>
      <c r="C683" s="26" t="str" cm="1">
        <f t="array" ref="C683">CONCATENATE(GetCSVIndex(A2,249+7182),":", GetCSVIndex(A2,250+7182),":", GetCSVIndex(A2,251+7182))</f>
        <v>::</v>
      </c>
      <c r="D683" s="26"/>
      <c r="E683" s="45">
        <v>3</v>
      </c>
      <c r="F683" s="29" t="e" cm="1">
        <f t="array" ref="F683">CHOOSE(GetCSVIndex(A2,42+7182)+1,"","Station","Block","","Delay")</f>
        <v>#VALUE!</v>
      </c>
      <c r="G683" s="29" t="str" cm="1">
        <f t="array" ref="G683">GetCSVIndex(A2,43+7182)</f>
        <v/>
      </c>
      <c r="H683" s="45" t="str" cm="1">
        <f t="array" ref="H683">GetCSVIndex(A2,253+7182)</f>
        <v/>
      </c>
      <c r="I683" s="29" t="str" cm="1">
        <f t="array" ref="I683">GetCSVIndex(A2,316+7182)</f>
        <v/>
      </c>
      <c r="J683" s="25"/>
      <c r="K683" s="45">
        <v>35</v>
      </c>
      <c r="L683" s="29" t="e" cm="1">
        <f t="array" ref="L683">CHOOSE(GetCSVIndex(A2,138+7182)+1,"","Station","Block","","Delay")</f>
        <v>#VALUE!</v>
      </c>
      <c r="M683" s="29" t="str" cm="1">
        <f t="array" ref="M683">GetCSVIndex(A2,139+7182)</f>
        <v/>
      </c>
      <c r="N683" s="27" t="str" cm="1">
        <f t="array" ref="N683">GetCSVIndex(A2,285+7182)</f>
        <v/>
      </c>
      <c r="O683" s="43" t="str" cm="1">
        <f t="array" ref="O683">GetCSVIndex(A2,348+7182)</f>
        <v/>
      </c>
    </row>
    <row r="684" spans="1:15" ht="21" customHeight="1" x14ac:dyDescent="0.25">
      <c r="A684" s="36"/>
      <c r="B684" s="25"/>
      <c r="C684" s="25"/>
      <c r="D684" s="25"/>
      <c r="E684" s="45">
        <v>4</v>
      </c>
      <c r="F684" s="29" t="e" cm="1">
        <f t="array" ref="F684">CHOOSE(GetCSVIndex(A2,45+7182)+1,"","Station","Block","","Delay")</f>
        <v>#VALUE!</v>
      </c>
      <c r="G684" s="29" t="str" cm="1">
        <f t="array" ref="G684">GetCSVIndex(A2,46+7182)</f>
        <v/>
      </c>
      <c r="H684" s="45" t="str" cm="1">
        <f t="array" ref="H684">GetCSVIndex(A2,254+7182)</f>
        <v/>
      </c>
      <c r="I684" s="29" t="str" cm="1">
        <f t="array" ref="I684">GetCSVIndex(A2,317+7182)</f>
        <v/>
      </c>
      <c r="J684" s="25"/>
      <c r="K684" s="45">
        <v>36</v>
      </c>
      <c r="L684" s="29" t="e" cm="1">
        <f t="array" ref="L684">CHOOSE(GetCSVIndex(A2,141+7182)+1,"","Station","Block","","Delay")</f>
        <v>#VALUE!</v>
      </c>
      <c r="M684" s="29" t="str" cm="1">
        <f t="array" ref="M684">GetCSVIndex(A2,142+7182)</f>
        <v/>
      </c>
      <c r="N684" s="27" t="str" cm="1">
        <f t="array" ref="N684">GetCSVIndex(A2,286+7182)</f>
        <v/>
      </c>
      <c r="O684" s="43" t="str" cm="1">
        <f t="array" ref="O684">GetCSVIndex(A2,349+7182)</f>
        <v/>
      </c>
    </row>
    <row r="685" spans="1:15" ht="21" customHeight="1" x14ac:dyDescent="0.25">
      <c r="A685" s="37" t="s">
        <v>28</v>
      </c>
      <c r="B685" s="28"/>
      <c r="C685" s="29" t="str" cm="1">
        <f t="array" ref="C685">IF(GetCSVIndex(A2,14+7182)&lt;&gt;"65535",CONCATENATE(GetCSVIndex(A2,229+7182),":", GetCSVIndex(A2,239+7182)),"OFF")</f>
        <v>:</v>
      </c>
      <c r="D685" s="25"/>
      <c r="E685" s="45">
        <v>5</v>
      </c>
      <c r="F685" s="29" t="e" cm="1">
        <f t="array" ref="F685">CHOOSE(GetCSVIndex(A2,48+7182)+1,"","Station","Block","","Delay")</f>
        <v>#VALUE!</v>
      </c>
      <c r="G685" s="29" t="str" cm="1">
        <f t="array" ref="G685">GetCSVIndex(A2,49+7182)</f>
        <v/>
      </c>
      <c r="H685" s="45" t="str" cm="1">
        <f t="array" ref="H685">GetCSVIndex(A2,255+7182)</f>
        <v/>
      </c>
      <c r="I685" s="29" t="str" cm="1">
        <f t="array" ref="I685">GetCSVIndex(A2,318+7182)</f>
        <v/>
      </c>
      <c r="J685" s="25"/>
      <c r="K685" s="45">
        <v>37</v>
      </c>
      <c r="L685" s="29" t="e" cm="1">
        <f t="array" ref="L685">CHOOSE(GetCSVIndex(A2,144+7182)+1,"","Station","Block","","Delay")</f>
        <v>#VALUE!</v>
      </c>
      <c r="M685" s="29" t="str" cm="1">
        <f t="array" ref="M685">GetCSVIndex(A2,145+7182)</f>
        <v/>
      </c>
      <c r="N685" s="27" t="str" cm="1">
        <f t="array" ref="N685">GetCSVIndex(A2,287+7182)</f>
        <v/>
      </c>
      <c r="O685" s="43" t="str" cm="1">
        <f t="array" ref="O685">GetCSVIndex(A2,350+7182)</f>
        <v/>
      </c>
    </row>
    <row r="686" spans="1:15" ht="21" customHeight="1" x14ac:dyDescent="0.25">
      <c r="A686" s="38" t="s">
        <v>29</v>
      </c>
      <c r="B686" s="30"/>
      <c r="C686" s="29" t="str" cm="1">
        <f t="array" ref="C686">IF(GetCSVIndex(A2,15+7182)&lt;&gt;"65535",CONCATENATE(GetCSVIndex(A2,231+7182),":", GetCSVIndex(A2,241+7182)),"OFF")</f>
        <v>:</v>
      </c>
      <c r="D686" s="25"/>
      <c r="E686" s="45">
        <v>6</v>
      </c>
      <c r="F686" s="29" t="e" cm="1">
        <f t="array" ref="F686">CHOOSE(GetCSVIndex(A2,51+7182)+1,"","Station","Block","","Delay")</f>
        <v>#VALUE!</v>
      </c>
      <c r="G686" s="29" t="str" cm="1">
        <f t="array" ref="G686">GetCSVIndex(A2,52+7182)</f>
        <v/>
      </c>
      <c r="H686" s="45" t="str" cm="1">
        <f t="array" ref="H686">GetCSVIndex(A2,256+7182)</f>
        <v/>
      </c>
      <c r="I686" s="29" t="str" cm="1">
        <f t="array" ref="I686">GetCSVIndex(A2,319+7182)</f>
        <v/>
      </c>
      <c r="J686" s="25"/>
      <c r="K686" s="45">
        <v>38</v>
      </c>
      <c r="L686" s="29" t="e" cm="1">
        <f t="array" ref="L686">CHOOSE(GetCSVIndex(A2,147+7182)+1,"","Station","Block","","Delay")</f>
        <v>#VALUE!</v>
      </c>
      <c r="M686" s="29" t="str" cm="1">
        <f t="array" ref="M686">GetCSVIndex(A2,148+7182)</f>
        <v/>
      </c>
      <c r="N686" s="27" t="str" cm="1">
        <f t="array" ref="N686">GetCSVIndex(A2,288+7182)</f>
        <v/>
      </c>
      <c r="O686" s="43" t="str" cm="1">
        <f t="array" ref="O686">GetCSVIndex(A2,351+7182)</f>
        <v/>
      </c>
    </row>
    <row r="687" spans="1:15" ht="21" customHeight="1" x14ac:dyDescent="0.25">
      <c r="A687" s="38" t="s">
        <v>30</v>
      </c>
      <c r="B687" s="30"/>
      <c r="C687" s="29" t="str" cm="1">
        <f t="array" ref="C687">IF(GetCSVIndex(A2,16+7182)&lt;&gt;"65535",CONCATENATE(GetCSVIndex(A2,232+7182),":", GetCSVIndex(A2,242+7182)),"OFF")</f>
        <v>:</v>
      </c>
      <c r="D687" s="25"/>
      <c r="E687" s="45">
        <v>7</v>
      </c>
      <c r="F687" s="29" t="e" cm="1">
        <f t="array" ref="F687">CHOOSE(GetCSVIndex(A2,54+7182)+1,"","Station","Block","","Delay")</f>
        <v>#VALUE!</v>
      </c>
      <c r="G687" s="29" t="str" cm="1">
        <f t="array" ref="G687">GetCSVIndex(A2,55+7182)</f>
        <v/>
      </c>
      <c r="H687" s="45" t="str" cm="1">
        <f t="array" ref="H687">GetCSVIndex(A2,257+7182)</f>
        <v/>
      </c>
      <c r="I687" s="29" t="str" cm="1">
        <f t="array" ref="I687">GetCSVIndex(A2,320+7182)</f>
        <v/>
      </c>
      <c r="J687" s="25"/>
      <c r="K687" s="45">
        <v>39</v>
      </c>
      <c r="L687" s="29" t="e" cm="1">
        <f t="array" ref="L687">CHOOSE(GetCSVIndex(A2,150+7182)+1,"","Station","Block","","Delay")</f>
        <v>#VALUE!</v>
      </c>
      <c r="M687" s="29" t="str" cm="1">
        <f t="array" ref="M687">GetCSVIndex(A2,151+7182)</f>
        <v/>
      </c>
      <c r="N687" s="27" t="str" cm="1">
        <f t="array" ref="N687">GetCSVIndex(A2,289+7182)</f>
        <v/>
      </c>
      <c r="O687" s="43" t="str" cm="1">
        <f t="array" ref="O687">GetCSVIndex(A2,352+7182)</f>
        <v/>
      </c>
    </row>
    <row r="688" spans="1:15" ht="21" customHeight="1" x14ac:dyDescent="0.25">
      <c r="A688" s="38" t="s">
        <v>31</v>
      </c>
      <c r="B688" s="30"/>
      <c r="C688" s="29" t="str" cm="1">
        <f t="array" ref="C688">IF(GetCSVIndex(A2,17+7182)&lt;&gt;"65535",CONCATENATE(GetCSVIndex(A2,233+7182),":", GetCSVIndex(A2,243+7182)),"OFF")</f>
        <v>:</v>
      </c>
      <c r="D688" s="25"/>
      <c r="E688" s="45">
        <v>8</v>
      </c>
      <c r="F688" s="29" t="e" cm="1">
        <f t="array" ref="F688">CHOOSE(GetCSVIndex(A2,57+7182)+1,"","Station","Block","","Delay")</f>
        <v>#VALUE!</v>
      </c>
      <c r="G688" s="29" t="str" cm="1">
        <f t="array" ref="G688">GetCSVIndex(A2,58+7182)</f>
        <v/>
      </c>
      <c r="H688" s="45" t="str" cm="1">
        <f t="array" ref="H688">GetCSVIndex(A2,258+7182)</f>
        <v/>
      </c>
      <c r="I688" s="29" t="str" cm="1">
        <f t="array" ref="I688">GetCSVIndex(A2,321+7182)</f>
        <v/>
      </c>
      <c r="J688" s="25"/>
      <c r="K688" s="45">
        <v>40</v>
      </c>
      <c r="L688" s="29" t="e" cm="1">
        <f t="array" ref="L688">CHOOSE(GetCSVIndex(A2,153+7182)+1,"","Station","Block","","Delay")</f>
        <v>#VALUE!</v>
      </c>
      <c r="M688" s="29" t="str" cm="1">
        <f t="array" ref="M688">GetCSVIndex(A2,154+7182)</f>
        <v/>
      </c>
      <c r="N688" s="27" t="str" cm="1">
        <f t="array" ref="N688">GetCSVIndex(A2,290+7182)</f>
        <v/>
      </c>
      <c r="O688" s="43" t="str" cm="1">
        <f t="array" ref="O688">GetCSVIndex(A2,353+7182)</f>
        <v/>
      </c>
    </row>
    <row r="689" spans="1:15" ht="21" customHeight="1" x14ac:dyDescent="0.25">
      <c r="A689" s="38" t="s">
        <v>32</v>
      </c>
      <c r="B689" s="30"/>
      <c r="C689" s="29" t="str" cm="1">
        <f t="array" ref="C689">IF(GetCSVIndex(A2,18+7182)&lt;&gt;"65535",CONCATENATE(GetCSVIndex(A2,234+7182),":", GetCSVIndex(A2,244+7182)),"OFF")</f>
        <v>:</v>
      </c>
      <c r="D689" s="25"/>
      <c r="E689" s="45">
        <v>9</v>
      </c>
      <c r="F689" s="29" t="e" cm="1">
        <f t="array" ref="F689">CHOOSE(GetCSVIndex(A2,60+7182)+1,"","Station","Block","","Delay")</f>
        <v>#VALUE!</v>
      </c>
      <c r="G689" s="29" t="str" cm="1">
        <f t="array" ref="G689">GetCSVIndex(A2,61+7182)</f>
        <v/>
      </c>
      <c r="H689" s="45" t="str" cm="1">
        <f t="array" ref="H689">GetCSVIndex(A2,259+7182)</f>
        <v/>
      </c>
      <c r="I689" s="29" t="str" cm="1">
        <f t="array" ref="I689">GetCSVIndex(A2,322+7182)</f>
        <v/>
      </c>
      <c r="J689" s="25"/>
      <c r="K689" s="45">
        <v>41</v>
      </c>
      <c r="L689" s="29" t="e" cm="1">
        <f t="array" ref="L689">CHOOSE(GetCSVIndex(A2,156+7182)+1,"","Station","Block","","Delay")</f>
        <v>#VALUE!</v>
      </c>
      <c r="M689" s="29" t="str" cm="1">
        <f t="array" ref="M689">GetCSVIndex(A2,157+7182)</f>
        <v/>
      </c>
      <c r="N689" s="27" t="str" cm="1">
        <f t="array" ref="N689">GetCSVIndex(A2,291+7182)</f>
        <v/>
      </c>
      <c r="O689" s="43" t="str" cm="1">
        <f t="array" ref="O689">GetCSVIndex(A2,354+7182)</f>
        <v/>
      </c>
    </row>
    <row r="690" spans="1:15" ht="21" customHeight="1" x14ac:dyDescent="0.25">
      <c r="A690" s="38" t="s">
        <v>33</v>
      </c>
      <c r="B690" s="30"/>
      <c r="C690" s="29" t="str" cm="1">
        <f t="array" ref="C690">IF(GetCSVIndex(A2,19+7182)&lt;&gt;"65535",CONCATENATE(GetCSVIndex(A2,235+7182),":", GetCSVIndex(A2,245+7182)),"OFF")</f>
        <v>:</v>
      </c>
      <c r="D690" s="25"/>
      <c r="E690" s="45">
        <v>10</v>
      </c>
      <c r="F690" s="29" t="e" cm="1">
        <f t="array" ref="F690">CHOOSE(GetCSVIndex(A2,63+7182)+1,"","Station","Block","","Delay")</f>
        <v>#VALUE!</v>
      </c>
      <c r="G690" s="29" t="str" cm="1">
        <f t="array" ref="G690">GetCSVIndex(A2,64+7182)</f>
        <v/>
      </c>
      <c r="H690" s="45" t="str" cm="1">
        <f t="array" ref="H690">GetCSVIndex(A2,260+7182)</f>
        <v/>
      </c>
      <c r="I690" s="29" t="str" cm="1">
        <f t="array" ref="I690">GetCSVIndex(A2,323+7182)</f>
        <v/>
      </c>
      <c r="J690" s="25"/>
      <c r="K690" s="45">
        <v>42</v>
      </c>
      <c r="L690" s="29" t="e" cm="1">
        <f t="array" ref="L690">CHOOSE(GetCSVIndex(A2,159+7182)+1,"","Station","Block","","Delay")</f>
        <v>#VALUE!</v>
      </c>
      <c r="M690" s="29" t="str" cm="1">
        <f t="array" ref="M690">GetCSVIndex(A2,160+7182)</f>
        <v/>
      </c>
      <c r="N690" s="27" t="str" cm="1">
        <f t="array" ref="N690">GetCSVIndex(A2,292+7182)</f>
        <v/>
      </c>
      <c r="O690" s="43" t="str" cm="1">
        <f t="array" ref="O690">GetCSVIndex(A2,355+7182)</f>
        <v/>
      </c>
    </row>
    <row r="691" spans="1:15" ht="21" customHeight="1" x14ac:dyDescent="0.25">
      <c r="A691" s="38" t="s">
        <v>34</v>
      </c>
      <c r="B691" s="30"/>
      <c r="C691" s="29" t="str" cm="1">
        <f t="array" ref="C691">IF(GetCSVIndex(A2,20+7182)&lt;&gt;"65535",CONCATENATE(GetCSVIndex(A2,236+7182),":", GetCSVIndex(A2,246+7182)),"OFF")</f>
        <v>:</v>
      </c>
      <c r="D691" s="25"/>
      <c r="E691" s="45">
        <v>11</v>
      </c>
      <c r="F691" s="29" t="e" cm="1">
        <f t="array" ref="F691">CHOOSE(GetCSVIndex(A2,66+7182)+1,"","Station","Block","","Delay")</f>
        <v>#VALUE!</v>
      </c>
      <c r="G691" s="29" t="str" cm="1">
        <f t="array" ref="G691">GetCSVIndex(A2,67+7182)</f>
        <v/>
      </c>
      <c r="H691" s="45" t="str" cm="1">
        <f t="array" ref="H691">GetCSVIndex(A2,261+7182)</f>
        <v/>
      </c>
      <c r="I691" s="29" t="str" cm="1">
        <f t="array" ref="I691">GetCSVIndex(A2,324+7182)</f>
        <v/>
      </c>
      <c r="J691" s="25"/>
      <c r="K691" s="45">
        <v>43</v>
      </c>
      <c r="L691" s="29" t="e" cm="1">
        <f t="array" ref="L691">CHOOSE(GetCSVIndex(A2,162+7182)+1,"","Station","Block","","Delay")</f>
        <v>#VALUE!</v>
      </c>
      <c r="M691" s="29" t="str" cm="1">
        <f t="array" ref="M691">GetCSVIndex(A2,163+7182)</f>
        <v/>
      </c>
      <c r="N691" s="27" t="str" cm="1">
        <f t="array" ref="N691">GetCSVIndex(A2,293+7182)</f>
        <v/>
      </c>
      <c r="O691" s="43" t="str" cm="1">
        <f t="array" ref="O691">GetCSVIndex(A2,356+7182)</f>
        <v/>
      </c>
    </row>
    <row r="692" spans="1:15" ht="21" customHeight="1" x14ac:dyDescent="0.25">
      <c r="A692" s="38" t="s">
        <v>35</v>
      </c>
      <c r="B692" s="30"/>
      <c r="C692" s="29" t="str" cm="1">
        <f t="array" ref="C692">IF(GetCSVIndex(A2,21+7182)&lt;&gt;"65535",CONCATENATE(GetCSVIndex(A2,237+7182),":", GetCSVIndex(A2,247+7182)),"OFF")</f>
        <v>:</v>
      </c>
      <c r="D692" s="25"/>
      <c r="E692" s="45">
        <v>12</v>
      </c>
      <c r="F692" s="29" t="e" cm="1">
        <f t="array" ref="F692">CHOOSE(GetCSVIndex(A2,69+7182)+1,"","Station","Block","","Delay")</f>
        <v>#VALUE!</v>
      </c>
      <c r="G692" s="29" t="str" cm="1">
        <f t="array" ref="G692">GetCSVIndex(A2,70+7182)</f>
        <v/>
      </c>
      <c r="H692" s="45" t="str" cm="1">
        <f t="array" ref="H692">GetCSVIndex(A2,262+7182)</f>
        <v/>
      </c>
      <c r="I692" s="29" t="str" cm="1">
        <f t="array" ref="I692">GetCSVIndex(A2,325+7182)</f>
        <v/>
      </c>
      <c r="J692" s="25"/>
      <c r="K692" s="45">
        <v>44</v>
      </c>
      <c r="L692" s="29" t="e" cm="1">
        <f t="array" ref="L692">CHOOSE(GetCSVIndex(A2,165+7182)+1,"","Station","Block","","Delay")</f>
        <v>#VALUE!</v>
      </c>
      <c r="M692" s="29" t="str" cm="1">
        <f t="array" ref="M692">GetCSVIndex(A2,166+7182)</f>
        <v/>
      </c>
      <c r="N692" s="27" t="str" cm="1">
        <f t="array" ref="N692">GetCSVIndex(A2,294+7182)</f>
        <v/>
      </c>
      <c r="O692" s="43" t="str" cm="1">
        <f t="array" ref="O692">GetCSVIndex(A2,357+7182)</f>
        <v/>
      </c>
    </row>
    <row r="693" spans="1:15" ht="21" customHeight="1" x14ac:dyDescent="0.25">
      <c r="A693" s="38" t="s">
        <v>36</v>
      </c>
      <c r="B693" s="30"/>
      <c r="C693" s="29" t="str" cm="1">
        <f t="array" ref="C693">IF(GetCSVIndex(A2,22+7182)&lt;&gt;"65535",CONCATENATE(GetCSVIndex(A2,238+7182),":", GetCSVIndex(A2,248+7182)),"OFF")</f>
        <v>:</v>
      </c>
      <c r="D693" s="25"/>
      <c r="E693" s="45">
        <v>13</v>
      </c>
      <c r="F693" s="29" t="e" cm="1">
        <f t="array" ref="F693">CHOOSE(GetCSVIndex(A2,72+7182)+1,"","Station","Block","","Delay")</f>
        <v>#VALUE!</v>
      </c>
      <c r="G693" s="29" t="str" cm="1">
        <f t="array" ref="G693">GetCSVIndex(A2,73+7182)</f>
        <v/>
      </c>
      <c r="H693" s="45" t="str" cm="1">
        <f t="array" ref="H693">GetCSVIndex(A2,263+7182)</f>
        <v/>
      </c>
      <c r="I693" s="29" t="str" cm="1">
        <f t="array" ref="I693">GetCSVIndex(A2,326+7182)</f>
        <v/>
      </c>
      <c r="J693" s="25"/>
      <c r="K693" s="45">
        <v>45</v>
      </c>
      <c r="L693" s="29" t="e" cm="1">
        <f t="array" ref="L693">CHOOSE(GetCSVIndex(A2,168+7182)+1,"","Station","Block","","Delay")</f>
        <v>#VALUE!</v>
      </c>
      <c r="M693" s="29" t="str" cm="1">
        <f t="array" ref="M693">GetCSVIndex(A2,169+7182)</f>
        <v/>
      </c>
      <c r="N693" s="27" t="str" cm="1">
        <f t="array" ref="N693">GetCSVIndex(A2,295+7182)</f>
        <v/>
      </c>
      <c r="O693" s="43" t="str" cm="1">
        <f t="array" ref="O693">GetCSVIndex(A2,358+7182)</f>
        <v/>
      </c>
    </row>
    <row r="694" spans="1:15" ht="21" customHeight="1" x14ac:dyDescent="0.25">
      <c r="A694" s="36" t="s">
        <v>37</v>
      </c>
      <c r="B694" s="25"/>
      <c r="C694" s="29" t="str" cm="1">
        <f t="array" ref="C694">IF(GetCSVIndex(A2,23+7182)&lt;&gt;"65535",CONCATENATE(GetCSVIndex(A2,230+7182),":", GetCSVIndex(A2,240+7182)),"OFF")</f>
        <v>:</v>
      </c>
      <c r="D694" s="25"/>
      <c r="E694" s="45">
        <v>14</v>
      </c>
      <c r="F694" s="29" t="e" cm="1">
        <f t="array" ref="F694">CHOOSE(GetCSVIndex(A2,75+7182)+1,"","Station","Block","","Delay")</f>
        <v>#VALUE!</v>
      </c>
      <c r="G694" s="29" t="str" cm="1">
        <f t="array" ref="G694">GetCSVIndex(A2,76+7182)</f>
        <v/>
      </c>
      <c r="H694" s="45" t="str" cm="1">
        <f t="array" ref="H694">GetCSVIndex(A2,264+7182)</f>
        <v/>
      </c>
      <c r="I694" s="29" t="str" cm="1">
        <f t="array" ref="I694">GetCSVIndex(A2,327+7182)</f>
        <v/>
      </c>
      <c r="J694" s="25"/>
      <c r="K694" s="45">
        <v>46</v>
      </c>
      <c r="L694" s="29" t="e" cm="1">
        <f t="array" ref="L694">CHOOSE(GetCSVIndex(A2,171+7182)+1,"","Station","Block","","Delay")</f>
        <v>#VALUE!</v>
      </c>
      <c r="M694" s="29" t="str" cm="1">
        <f t="array" ref="M694">GetCSVIndex(A2,172+7182)</f>
        <v/>
      </c>
      <c r="N694" s="27" t="str" cm="1">
        <f t="array" ref="N694">GetCSVIndex(A2,296+7182)</f>
        <v/>
      </c>
      <c r="O694" s="43" t="str" cm="1">
        <f t="array" ref="O694">GetCSVIndex(A2,359+7182)</f>
        <v/>
      </c>
    </row>
    <row r="695" spans="1:15" ht="21" customHeight="1" x14ac:dyDescent="0.25">
      <c r="A695" s="39"/>
      <c r="B695" s="40"/>
      <c r="C695" s="41"/>
      <c r="D695" s="26"/>
      <c r="E695" s="45">
        <v>15</v>
      </c>
      <c r="F695" s="29" t="e" cm="1">
        <f t="array" ref="F695">CHOOSE(GetCSVIndex(A2,78+7182)+1,"","Station","Block","","Delay")</f>
        <v>#VALUE!</v>
      </c>
      <c r="G695" s="29" t="str" cm="1">
        <f t="array" ref="G695">GetCSVIndex(A2,79+7182)</f>
        <v/>
      </c>
      <c r="H695" s="45" t="str" cm="1">
        <f t="array" ref="H695">GetCSVIndex(A2,265+7182)</f>
        <v/>
      </c>
      <c r="I695" s="29" t="str" cm="1">
        <f t="array" ref="I695">GetCSVIndex(A2,328+7182)</f>
        <v/>
      </c>
      <c r="J695" s="26"/>
      <c r="K695" s="45">
        <v>47</v>
      </c>
      <c r="L695" s="29" t="e" cm="1">
        <f t="array" ref="L695">CHOOSE(GetCSVIndex(A2,174+7182)+1,"","Station","Block","","Delay")</f>
        <v>#VALUE!</v>
      </c>
      <c r="M695" s="29" t="str" cm="1">
        <f t="array" ref="M695">GetCSVIndex(A2,175+7182)</f>
        <v/>
      </c>
      <c r="N695" s="27" t="str" cm="1">
        <f t="array" ref="N695">GetCSVIndex(A2,297+7182)</f>
        <v/>
      </c>
      <c r="O695" s="43" t="str" cm="1">
        <f t="array" ref="O695">GetCSVIndex(A2,360+7182)</f>
        <v/>
      </c>
    </row>
    <row r="696" spans="1:15" ht="21" customHeight="1" x14ac:dyDescent="0.25">
      <c r="A696" s="42"/>
      <c r="B696" s="25"/>
      <c r="C696" s="25"/>
      <c r="D696" s="26"/>
      <c r="E696" s="45">
        <v>16</v>
      </c>
      <c r="F696" s="29" t="e" cm="1">
        <f t="array" ref="F696">CHOOSE(GetCSVIndex(A2,81+7182)+1,"","Station","Block","","Delay")</f>
        <v>#VALUE!</v>
      </c>
      <c r="G696" s="29" t="str" cm="1">
        <f t="array" ref="G696">GetCSVIndex(A2,82+7182)</f>
        <v/>
      </c>
      <c r="H696" s="45" t="str" cm="1">
        <f t="array" ref="H696">GetCSVIndex(A2,266+7182)</f>
        <v/>
      </c>
      <c r="I696" s="29" t="str" cm="1">
        <f t="array" ref="I696">GetCSVIndex(A2,329+7182)</f>
        <v/>
      </c>
      <c r="J696" s="25"/>
      <c r="K696" s="45">
        <v>48</v>
      </c>
      <c r="L696" s="29" t="e" cm="1">
        <f t="array" ref="L696">CHOOSE(GetCSVIndex(A2,177+7182)+1,"","Station","Block","","Delay")</f>
        <v>#VALUE!</v>
      </c>
      <c r="M696" s="29" t="str" cm="1">
        <f t="array" ref="M696">GetCSVIndex(A2,178+7182)</f>
        <v/>
      </c>
      <c r="N696" s="27" t="str" cm="1">
        <f t="array" ref="N696">GetCSVIndex(A2,298+7182)</f>
        <v/>
      </c>
      <c r="O696" s="43" t="str" cm="1">
        <f t="array" ref="O696">GetCSVIndex(A2,361+7182)</f>
        <v/>
      </c>
    </row>
    <row r="697" spans="1:15" ht="21" customHeight="1" x14ac:dyDescent="0.25">
      <c r="A697" s="42"/>
      <c r="B697" s="25"/>
      <c r="C697" s="25"/>
      <c r="D697" s="26"/>
      <c r="E697" s="45">
        <v>17</v>
      </c>
      <c r="F697" s="29" t="e" cm="1">
        <f t="array" ref="F697">CHOOSE(GetCSVIndex(A2,84+7182)+1,"","Station","Block","","Delay")</f>
        <v>#VALUE!</v>
      </c>
      <c r="G697" s="29" t="str" cm="1">
        <f t="array" ref="G697">GetCSVIndex(A2,85+7182)</f>
        <v/>
      </c>
      <c r="H697" s="45" t="str" cm="1">
        <f t="array" ref="H697">GetCSVIndex(A2,267+7182)</f>
        <v/>
      </c>
      <c r="I697" s="29" t="str" cm="1">
        <f t="array" ref="I697">GetCSVIndex(A2,330+7182)</f>
        <v/>
      </c>
      <c r="J697" s="26"/>
      <c r="K697" s="45">
        <v>49</v>
      </c>
      <c r="L697" s="29" t="e" cm="1">
        <f t="array" ref="L697">CHOOSE(GetCSVIndex(A2,180+7182)+1,"","Station","Block","","Delay")</f>
        <v>#VALUE!</v>
      </c>
      <c r="M697" s="29" t="str" cm="1">
        <f t="array" ref="M697">GetCSVIndex(A2,181+7182)</f>
        <v/>
      </c>
      <c r="N697" s="27" t="str" cm="1">
        <f t="array" ref="N697">GetCSVIndex(A2,299+7182)</f>
        <v/>
      </c>
      <c r="O697" s="43" t="str" cm="1">
        <f t="array" ref="O697">GetCSVIndex(A2,362+7182)</f>
        <v/>
      </c>
    </row>
    <row r="698" spans="1:15" ht="21" customHeight="1" x14ac:dyDescent="0.25">
      <c r="A698" s="42"/>
      <c r="B698" s="25"/>
      <c r="C698" s="25"/>
      <c r="D698" s="26"/>
      <c r="E698" s="45">
        <v>18</v>
      </c>
      <c r="F698" s="29" t="e" cm="1">
        <f t="array" ref="F698">CHOOSE(GetCSVIndex(A2,87+7182)+1,"","Station","Block","","Delay")</f>
        <v>#VALUE!</v>
      </c>
      <c r="G698" s="29" t="str" cm="1">
        <f t="array" ref="G698">GetCSVIndex(A2,88+7182)</f>
        <v/>
      </c>
      <c r="H698" s="45" t="str" cm="1">
        <f t="array" ref="H698">GetCSVIndex(A2,268+7182)</f>
        <v/>
      </c>
      <c r="I698" s="29" t="str" cm="1">
        <f t="array" ref="I698">GetCSVIndex(A2,331+7182)</f>
        <v/>
      </c>
      <c r="J698" s="26"/>
      <c r="K698" s="45">
        <v>50</v>
      </c>
      <c r="L698" s="29" t="e" cm="1">
        <f t="array" ref="L698">CHOOSE(GetCSVIndex(A2,183+7182)+1,"","Station","Block","","Delay")</f>
        <v>#VALUE!</v>
      </c>
      <c r="M698" s="29" t="str" cm="1">
        <f t="array" ref="M698">GetCSVIndex(A2,184+7182)</f>
        <v/>
      </c>
      <c r="N698" s="27" t="str" cm="1">
        <f t="array" ref="N698">GetCSVIndex(A2,300+7182)</f>
        <v/>
      </c>
      <c r="O698" s="43" t="str" cm="1">
        <f t="array" ref="O698">GetCSVIndex(A2,363+7182)</f>
        <v/>
      </c>
    </row>
    <row r="699" spans="1:15" ht="21" customHeight="1" x14ac:dyDescent="0.25">
      <c r="A699" s="42"/>
      <c r="B699" s="25"/>
      <c r="C699" s="25"/>
      <c r="D699" s="26"/>
      <c r="E699" s="45">
        <v>19</v>
      </c>
      <c r="F699" s="29" t="e" cm="1">
        <f t="array" ref="F699">CHOOSE(GetCSVIndex(A2,90+7182)+1,"","Station","Block","","Delay")</f>
        <v>#VALUE!</v>
      </c>
      <c r="G699" s="29" t="str" cm="1">
        <f t="array" ref="G699">GetCSVIndex(A2,91+7182)</f>
        <v/>
      </c>
      <c r="H699" s="45" t="str" cm="1">
        <f t="array" ref="H699">GetCSVIndex(A2,269+7182)</f>
        <v/>
      </c>
      <c r="I699" s="29" t="str" cm="1">
        <f t="array" ref="I699">GetCSVIndex(A2,332+7182)</f>
        <v/>
      </c>
      <c r="J699" s="26"/>
      <c r="K699" s="45">
        <v>51</v>
      </c>
      <c r="L699" s="29" t="e" cm="1">
        <f t="array" ref="L699">CHOOSE(GetCSVIndex(A2,186+7182)+1,"","Station","Block","","Delay")</f>
        <v>#VALUE!</v>
      </c>
      <c r="M699" s="29" t="str" cm="1">
        <f t="array" ref="M699">GetCSVIndex(A2,187+7182)</f>
        <v/>
      </c>
      <c r="N699" s="27" t="str" cm="1">
        <f t="array" ref="N699">GetCSVIndex(A2,301+7182)</f>
        <v/>
      </c>
      <c r="O699" s="43" t="str" cm="1">
        <f t="array" ref="O699">GetCSVIndex(A2,364+7182)</f>
        <v/>
      </c>
    </row>
    <row r="700" spans="1:15" ht="21" customHeight="1" x14ac:dyDescent="0.25">
      <c r="A700" s="42"/>
      <c r="B700" s="25"/>
      <c r="C700" s="25"/>
      <c r="D700" s="26"/>
      <c r="E700" s="45">
        <v>20</v>
      </c>
      <c r="F700" s="29" t="e" cm="1">
        <f t="array" ref="F700">CHOOSE(GetCSVIndex(A2,93+7182)+1,"","Station","Block","","Delay")</f>
        <v>#VALUE!</v>
      </c>
      <c r="G700" s="29" t="str" cm="1">
        <f t="array" ref="G700">GetCSVIndex(A2,94+7182)</f>
        <v/>
      </c>
      <c r="H700" s="45" t="str" cm="1">
        <f t="array" ref="H700">GetCSVIndex(A2,270+7182)</f>
        <v/>
      </c>
      <c r="I700" s="29" t="str" cm="1">
        <f t="array" ref="I700">GetCSVIndex(A2,333+7182)</f>
        <v/>
      </c>
      <c r="J700" s="26"/>
      <c r="K700" s="45">
        <v>52</v>
      </c>
      <c r="L700" s="29" t="e" cm="1">
        <f t="array" ref="L700">CHOOSE(GetCSVIndex(A2,189+7182)+1,"","Station","Block","","Delay")</f>
        <v>#VALUE!</v>
      </c>
      <c r="M700" s="29" t="str" cm="1">
        <f t="array" ref="M700">GetCSVIndex(A2,190+7182)</f>
        <v/>
      </c>
      <c r="N700" s="27" t="str" cm="1">
        <f t="array" ref="N700">GetCSVIndex(A2,302+7182)</f>
        <v/>
      </c>
      <c r="O700" s="43" t="str" cm="1">
        <f t="array" ref="O700">GetCSVIndex(A2,365+7182)</f>
        <v/>
      </c>
    </row>
    <row r="701" spans="1:15" ht="21" customHeight="1" x14ac:dyDescent="0.25">
      <c r="A701" s="42"/>
      <c r="B701" s="25"/>
      <c r="C701" s="25"/>
      <c r="D701" s="26"/>
      <c r="E701" s="45">
        <v>21</v>
      </c>
      <c r="F701" s="29" t="e" cm="1">
        <f t="array" ref="F701">CHOOSE(GetCSVIndex(A2,96+7182)+1,"","Station","Block","","Delay")</f>
        <v>#VALUE!</v>
      </c>
      <c r="G701" s="29" t="str" cm="1">
        <f t="array" ref="G701">GetCSVIndex(A2,97+7182)</f>
        <v/>
      </c>
      <c r="H701" s="45" t="str" cm="1">
        <f t="array" ref="H701">GetCSVIndex(A2,271+7182)</f>
        <v/>
      </c>
      <c r="I701" s="29" t="str" cm="1">
        <f t="array" ref="I701">GetCSVIndex(A2,334+7182)</f>
        <v/>
      </c>
      <c r="J701" s="26"/>
      <c r="K701" s="45">
        <v>53</v>
      </c>
      <c r="L701" s="29" t="e" cm="1">
        <f t="array" ref="L701">CHOOSE(GetCSVIndex(A2,192+7182)+1,"","Station","Block","","Delay")</f>
        <v>#VALUE!</v>
      </c>
      <c r="M701" s="29" t="str" cm="1">
        <f t="array" ref="M701">GetCSVIndex(A2,193+7182)</f>
        <v/>
      </c>
      <c r="N701" s="27" t="str" cm="1">
        <f t="array" ref="N701">GetCSVIndex(A2,303+7182)</f>
        <v/>
      </c>
      <c r="O701" s="43" t="str" cm="1">
        <f t="array" ref="O701">GetCSVIndex(A2,366+7182)</f>
        <v/>
      </c>
    </row>
    <row r="702" spans="1:15" ht="21" customHeight="1" x14ac:dyDescent="0.25">
      <c r="A702" s="42"/>
      <c r="B702" s="25"/>
      <c r="C702" s="25"/>
      <c r="D702" s="26"/>
      <c r="E702" s="45">
        <v>22</v>
      </c>
      <c r="F702" s="29" t="e" cm="1">
        <f t="array" ref="F702">CHOOSE(GetCSVIndex(A2,99+7182)+1,"","Station","Block","","Delay")</f>
        <v>#VALUE!</v>
      </c>
      <c r="G702" s="29" t="str" cm="1">
        <f t="array" ref="G702">GetCSVIndex(A2,100+7182)</f>
        <v/>
      </c>
      <c r="H702" s="45" t="str" cm="1">
        <f t="array" ref="H702">GetCSVIndex(A2,272+7182)</f>
        <v/>
      </c>
      <c r="I702" s="29" t="str" cm="1">
        <f t="array" ref="I702">GetCSVIndex(A2,335+7182)</f>
        <v/>
      </c>
      <c r="J702" s="26"/>
      <c r="K702" s="45">
        <v>54</v>
      </c>
      <c r="L702" s="29" t="e" cm="1">
        <f t="array" ref="L702">CHOOSE(GetCSVIndex(A2,195+7182)+1,"","Station","Block","","Delay")</f>
        <v>#VALUE!</v>
      </c>
      <c r="M702" s="29" t="str" cm="1">
        <f t="array" ref="M702">GetCSVIndex(A2,196+7182)</f>
        <v/>
      </c>
      <c r="N702" s="27" t="str" cm="1">
        <f t="array" ref="N702">GetCSVIndex(A2,304+7182)</f>
        <v/>
      </c>
      <c r="O702" s="43" t="str" cm="1">
        <f t="array" ref="O702">GetCSVIndex(A2,367+7182)</f>
        <v/>
      </c>
    </row>
    <row r="703" spans="1:15" ht="21" customHeight="1" x14ac:dyDescent="0.25">
      <c r="A703" s="42"/>
      <c r="B703" s="25"/>
      <c r="C703" s="25"/>
      <c r="D703" s="26"/>
      <c r="E703" s="45">
        <v>23</v>
      </c>
      <c r="F703" s="29" t="e" cm="1">
        <f t="array" ref="F703">CHOOSE(GetCSVIndex(A2,102+7182)+1,"","Station","Block","","Delay")</f>
        <v>#VALUE!</v>
      </c>
      <c r="G703" s="29" t="str" cm="1">
        <f t="array" ref="G703">GetCSVIndex(A2,103+7182)</f>
        <v/>
      </c>
      <c r="H703" s="45" t="str" cm="1">
        <f t="array" ref="H703">GetCSVIndex(A2,273+7182)</f>
        <v/>
      </c>
      <c r="I703" s="29" t="str" cm="1">
        <f t="array" ref="I703">GetCSVIndex(A2,336+7182)</f>
        <v/>
      </c>
      <c r="J703" s="26"/>
      <c r="K703" s="45">
        <v>55</v>
      </c>
      <c r="L703" s="29" t="e" cm="1">
        <f t="array" ref="L703">CHOOSE(GetCSVIndex(A2,198+7182)+1,"","Station","Block","","Delay")</f>
        <v>#VALUE!</v>
      </c>
      <c r="M703" s="29" t="str" cm="1">
        <f t="array" ref="M703">GetCSVIndex(A2,199+7182)</f>
        <v/>
      </c>
      <c r="N703" s="27" t="str" cm="1">
        <f t="array" ref="N703">GetCSVIndex(A2,305+7182)</f>
        <v/>
      </c>
      <c r="O703" s="43" t="str" cm="1">
        <f t="array" ref="O703">GetCSVIndex(A2,368+7182)</f>
        <v/>
      </c>
    </row>
    <row r="704" spans="1:15" ht="21" customHeight="1" x14ac:dyDescent="0.25">
      <c r="A704" s="42"/>
      <c r="B704" s="25"/>
      <c r="C704" s="25"/>
      <c r="D704" s="26"/>
      <c r="E704" s="45">
        <v>24</v>
      </c>
      <c r="F704" s="29" t="e" cm="1">
        <f t="array" ref="F704">CHOOSE(GetCSVIndex(A2,105+7182)+1,"","Station","Block","","Delay")</f>
        <v>#VALUE!</v>
      </c>
      <c r="G704" s="29" t="str" cm="1">
        <f t="array" ref="G704">GetCSVIndex(A2,106+7182)</f>
        <v/>
      </c>
      <c r="H704" s="45" t="str" cm="1">
        <f t="array" ref="H704">GetCSVIndex(A2,274+7182)</f>
        <v/>
      </c>
      <c r="I704" s="29" t="str" cm="1">
        <f t="array" ref="I704">GetCSVIndex(A2,337+7182)</f>
        <v/>
      </c>
      <c r="J704" s="26"/>
      <c r="K704" s="45">
        <v>56</v>
      </c>
      <c r="L704" s="29" t="e" cm="1">
        <f t="array" ref="L704">CHOOSE(GetCSVIndex(A2,201+7182)+1,"","Station","Block","","Delay")</f>
        <v>#VALUE!</v>
      </c>
      <c r="M704" s="29" t="str" cm="1">
        <f t="array" ref="M704">GetCSVIndex(A2,202+7182)</f>
        <v/>
      </c>
      <c r="N704" s="27" t="str" cm="1">
        <f t="array" ref="N704">GetCSVIndex(A2,306+7182)</f>
        <v/>
      </c>
      <c r="O704" s="43" t="str" cm="1">
        <f t="array" ref="O704">GetCSVIndex(A2,369+7182)</f>
        <v/>
      </c>
    </row>
    <row r="705" spans="1:15" ht="21" customHeight="1" x14ac:dyDescent="0.25">
      <c r="A705" s="42"/>
      <c r="B705" s="25"/>
      <c r="C705" s="25"/>
      <c r="D705" s="26"/>
      <c r="E705" s="45">
        <v>25</v>
      </c>
      <c r="F705" s="29" t="e" cm="1">
        <f t="array" ref="F705">CHOOSE(GetCSVIndex(A2,108+7182)+1,"","Station","Block","","Delay")</f>
        <v>#VALUE!</v>
      </c>
      <c r="G705" s="29" t="str" cm="1">
        <f t="array" ref="G705">GetCSVIndex(A2,109+7182)</f>
        <v/>
      </c>
      <c r="H705" s="45" t="str" cm="1">
        <f t="array" ref="H705">GetCSVIndex(A2,275+7182)</f>
        <v/>
      </c>
      <c r="I705" s="29" t="str" cm="1">
        <f t="array" ref="I705">GetCSVIndex(A2,338+7182)</f>
        <v/>
      </c>
      <c r="J705" s="26"/>
      <c r="K705" s="45">
        <v>57</v>
      </c>
      <c r="L705" s="29" t="e" cm="1">
        <f t="array" ref="L705">CHOOSE(GetCSVIndex(A2,204+7182)+1,"","Station","Block","","Delay")</f>
        <v>#VALUE!</v>
      </c>
      <c r="M705" s="29" t="str" cm="1">
        <f t="array" ref="M705">GetCSVIndex(A2,205+7182)</f>
        <v/>
      </c>
      <c r="N705" s="27" t="str" cm="1">
        <f t="array" ref="N705">GetCSVIndex(A2,307+7182)</f>
        <v/>
      </c>
      <c r="O705" s="43" t="str" cm="1">
        <f t="array" ref="O705">GetCSVIndex(A2,370+7182)</f>
        <v/>
      </c>
    </row>
    <row r="706" spans="1:15" ht="21" customHeight="1" x14ac:dyDescent="0.25">
      <c r="A706" s="42"/>
      <c r="B706" s="25"/>
      <c r="C706" s="25"/>
      <c r="D706" s="26"/>
      <c r="E706" s="45">
        <v>26</v>
      </c>
      <c r="F706" s="29" t="e" cm="1">
        <f t="array" ref="F706">CHOOSE(GetCSVIndex(A2,111+7182)+1,"","Station","Block","","Delay")</f>
        <v>#VALUE!</v>
      </c>
      <c r="G706" s="29" t="str" cm="1">
        <f t="array" ref="G706">GetCSVIndex(A2,112+7182)</f>
        <v/>
      </c>
      <c r="H706" s="45" t="str" cm="1">
        <f t="array" ref="H706">GetCSVIndex(A2,276+7182)</f>
        <v/>
      </c>
      <c r="I706" s="29" t="str" cm="1">
        <f t="array" ref="I706">GetCSVIndex(A2,339+7182)</f>
        <v/>
      </c>
      <c r="J706" s="26"/>
      <c r="K706" s="45">
        <v>58</v>
      </c>
      <c r="L706" s="29" t="e" cm="1">
        <f t="array" ref="L706">CHOOSE(GetCSVIndex(A2,207+7182)+1,"","Station","Block","","Delay")</f>
        <v>#VALUE!</v>
      </c>
      <c r="M706" s="29" t="str" cm="1">
        <f t="array" ref="M706">GetCSVIndex(A2,208+7182)</f>
        <v/>
      </c>
      <c r="N706" s="27" t="str" cm="1">
        <f t="array" ref="N706">GetCSVIndex(A2,308+7182)</f>
        <v/>
      </c>
      <c r="O706" s="43" t="str" cm="1">
        <f t="array" ref="O706">GetCSVIndex(A2,371+7182)</f>
        <v/>
      </c>
    </row>
    <row r="707" spans="1:15" ht="21" customHeight="1" x14ac:dyDescent="0.25">
      <c r="A707" s="42"/>
      <c r="B707" s="25"/>
      <c r="C707" s="25"/>
      <c r="D707" s="26"/>
      <c r="E707" s="45">
        <v>27</v>
      </c>
      <c r="F707" s="29" t="e" cm="1">
        <f t="array" ref="F707">CHOOSE(GetCSVIndex(A2,114+7182)+1,"","Station","Block","","Delay")</f>
        <v>#VALUE!</v>
      </c>
      <c r="G707" s="29" t="str" cm="1">
        <f t="array" ref="G707">GetCSVIndex(A2,115+7182)</f>
        <v/>
      </c>
      <c r="H707" s="45" t="str" cm="1">
        <f t="array" ref="H707">GetCSVIndex(A2,277+7182)</f>
        <v/>
      </c>
      <c r="I707" s="29" t="str" cm="1">
        <f t="array" ref="I707">GetCSVIndex(A2,340+7182)</f>
        <v/>
      </c>
      <c r="J707" s="26"/>
      <c r="K707" s="45">
        <v>59</v>
      </c>
      <c r="L707" s="29" t="e" cm="1">
        <f t="array" ref="L707">CHOOSE(GetCSVIndex(A2,210+7182)+1,"","Station","Block","","Delay")</f>
        <v>#VALUE!</v>
      </c>
      <c r="M707" s="29" t="str" cm="1">
        <f t="array" ref="M707">GetCSVIndex(A2,211+7182)</f>
        <v/>
      </c>
      <c r="N707" s="27" t="str" cm="1">
        <f t="array" ref="N707">GetCSVIndex(A2,309+7182)</f>
        <v/>
      </c>
      <c r="O707" s="43" t="str" cm="1">
        <f t="array" ref="O707">GetCSVIndex(A2,372+7182)</f>
        <v/>
      </c>
    </row>
    <row r="708" spans="1:15" ht="21" customHeight="1" x14ac:dyDescent="0.25">
      <c r="A708" s="42"/>
      <c r="B708" s="25"/>
      <c r="C708" s="25"/>
      <c r="D708" s="26"/>
      <c r="E708" s="45">
        <v>28</v>
      </c>
      <c r="F708" s="29" t="e" cm="1">
        <f t="array" ref="F708">CHOOSE(GetCSVIndex(A2,117+7182)+1,"","Station","Block","","Delay")</f>
        <v>#VALUE!</v>
      </c>
      <c r="G708" s="29" t="str" cm="1">
        <f t="array" ref="G708">GetCSVIndex(A2,118+7182)</f>
        <v/>
      </c>
      <c r="H708" s="45" t="str" cm="1">
        <f t="array" ref="H708">GetCSVIndex(A2,278+7182)</f>
        <v/>
      </c>
      <c r="I708" s="29" t="str" cm="1">
        <f t="array" ref="I708">GetCSVIndex(A2,341+7182)</f>
        <v/>
      </c>
      <c r="J708" s="26"/>
      <c r="K708" s="45">
        <v>60</v>
      </c>
      <c r="L708" s="29" t="e" cm="1">
        <f t="array" ref="L708">CHOOSE(GetCSVIndex(A2,213+7182)+1,"","Station","Block","","Delay")</f>
        <v>#VALUE!</v>
      </c>
      <c r="M708" s="29" t="str" cm="1">
        <f t="array" ref="M708">GetCSVIndex(A2,214+7182)</f>
        <v/>
      </c>
      <c r="N708" s="27" t="str" cm="1">
        <f t="array" ref="N708">GetCSVIndex(A2,310+7182)</f>
        <v/>
      </c>
      <c r="O708" s="43" t="str" cm="1">
        <f t="array" ref="O708">GetCSVIndex(A2,373+7182)</f>
        <v/>
      </c>
    </row>
    <row r="709" spans="1:15" ht="21" customHeight="1" x14ac:dyDescent="0.25">
      <c r="A709" s="42"/>
      <c r="B709" s="25"/>
      <c r="C709" s="25"/>
      <c r="D709" s="26"/>
      <c r="E709" s="45">
        <v>29</v>
      </c>
      <c r="F709" s="29" t="e" cm="1">
        <f t="array" ref="F709">CHOOSE(GetCSVIndex(A2,120+7182)+1,"","Station","Block","","Delay")</f>
        <v>#VALUE!</v>
      </c>
      <c r="G709" s="29" t="str" cm="1">
        <f t="array" ref="G709">GetCSVIndex(A2,121+7182)</f>
        <v/>
      </c>
      <c r="H709" s="45" t="str" cm="1">
        <f t="array" ref="H709">GetCSVIndex(A2,279+7182)</f>
        <v/>
      </c>
      <c r="I709" s="29" t="str" cm="1">
        <f t="array" ref="I709">GetCSVIndex(A2,342+7182)</f>
        <v/>
      </c>
      <c r="J709" s="26"/>
      <c r="K709" s="45">
        <v>61</v>
      </c>
      <c r="L709" s="29" t="e" cm="1">
        <f t="array" ref="L709">CHOOSE(GetCSVIndex(A2,216+7182)+1,"","Station","Block","","Delay")</f>
        <v>#VALUE!</v>
      </c>
      <c r="M709" s="29" t="str" cm="1">
        <f t="array" ref="M709">GetCSVIndex(A2,217+7182)</f>
        <v/>
      </c>
      <c r="N709" s="27" t="str" cm="1">
        <f t="array" ref="N709">GetCSVIndex(A2,311+7182)</f>
        <v/>
      </c>
      <c r="O709" s="43" t="str" cm="1">
        <f t="array" ref="O709">GetCSVIndex(A2,374+7182)</f>
        <v/>
      </c>
    </row>
    <row r="710" spans="1:15" ht="21" customHeight="1" x14ac:dyDescent="0.25">
      <c r="A710" s="42"/>
      <c r="B710" s="25"/>
      <c r="C710" s="25"/>
      <c r="D710" s="26"/>
      <c r="E710" s="45">
        <v>30</v>
      </c>
      <c r="F710" s="29" t="e" cm="1">
        <f t="array" ref="F710">CHOOSE(GetCSVIndex(A2,123+7182)+1,"","Station","Block","","Delay")</f>
        <v>#VALUE!</v>
      </c>
      <c r="G710" s="29" t="str" cm="1">
        <f t="array" ref="G710">GetCSVIndex(A2,124+7182)</f>
        <v/>
      </c>
      <c r="H710" s="45" t="str" cm="1">
        <f t="array" ref="H710">GetCSVIndex(A2,280+7182)</f>
        <v/>
      </c>
      <c r="I710" s="29" t="str" cm="1">
        <f t="array" ref="I710">GetCSVIndex(A2,343+7182)</f>
        <v/>
      </c>
      <c r="J710" s="26"/>
      <c r="K710" s="45">
        <v>62</v>
      </c>
      <c r="L710" s="29" t="e" cm="1">
        <f t="array" ref="L710">CHOOSE(GetCSVIndex(A2,219+7182)+1,"","Station","Block","","Delay")</f>
        <v>#VALUE!</v>
      </c>
      <c r="M710" s="29" t="str" cm="1">
        <f t="array" ref="M710">GetCSVIndex(A2,220+7182)</f>
        <v/>
      </c>
      <c r="N710" s="27" t="str" cm="1">
        <f t="array" ref="N710">GetCSVIndex(A2,312+7182)</f>
        <v/>
      </c>
      <c r="O710" s="43" t="str" cm="1">
        <f t="array" ref="O710">GetCSVIndex(A2,375+7182)</f>
        <v/>
      </c>
    </row>
    <row r="711" spans="1:15" ht="21" customHeight="1" x14ac:dyDescent="0.25">
      <c r="A711" s="42"/>
      <c r="B711" s="25"/>
      <c r="C711" s="25"/>
      <c r="D711" s="26"/>
      <c r="E711" s="45">
        <v>31</v>
      </c>
      <c r="F711" s="29" t="e" cm="1">
        <f t="array" ref="F711">CHOOSE(GetCSVIndex(A2,126+7182)+1,"","Station","Block","","Delay")</f>
        <v>#VALUE!</v>
      </c>
      <c r="G711" s="29" t="str" cm="1">
        <f t="array" ref="G711">GetCSVIndex(A2,127+7182)</f>
        <v/>
      </c>
      <c r="H711" s="45" t="str" cm="1">
        <f t="array" ref="H711">GetCSVIndex(A2,281+7182)</f>
        <v/>
      </c>
      <c r="I711" s="29" t="str" cm="1">
        <f t="array" ref="I711">GetCSVIndex(A2,344+7182)</f>
        <v/>
      </c>
      <c r="J711" s="26"/>
      <c r="K711" s="45">
        <v>63</v>
      </c>
      <c r="L711" s="29" t="e" cm="1">
        <f t="array" ref="L711">CHOOSE(GetCSVIndex(A2,222+7182)+1,"","Station","Block","","Delay")</f>
        <v>#VALUE!</v>
      </c>
      <c r="M711" s="29" t="str" cm="1">
        <f t="array" ref="M711">GetCSVIndex(A2,223+7182)</f>
        <v/>
      </c>
      <c r="N711" s="27" t="str" cm="1">
        <f t="array" ref="N711">GetCSVIndex(A2,313+7182)</f>
        <v/>
      </c>
      <c r="O711" s="43" t="str" cm="1">
        <f t="array" ref="O711">GetCSVIndex(A2,376+7182)</f>
        <v/>
      </c>
    </row>
    <row r="712" spans="1:15" ht="21" customHeight="1" x14ac:dyDescent="0.25">
      <c r="A712" s="37"/>
      <c r="B712" s="28"/>
      <c r="C712" s="29"/>
      <c r="D712" s="29"/>
      <c r="E712" s="45">
        <v>32</v>
      </c>
      <c r="F712" s="29" t="e" cm="1">
        <f t="array" ref="F712">CHOOSE(GetCSVIndex(A2,129+7182)+1,"","Station","Block","","Delay")</f>
        <v>#VALUE!</v>
      </c>
      <c r="G712" s="29" t="str" cm="1">
        <f t="array" ref="G712">GetCSVIndex(A2,130+7182)</f>
        <v/>
      </c>
      <c r="H712" s="45" t="str" cm="1">
        <f t="array" ref="H712">GetCSVIndex(A2,282+7182)</f>
        <v/>
      </c>
      <c r="I712" s="29" t="str" cm="1">
        <f t="array" ref="I712">GetCSVIndex(A2,345+7182)</f>
        <v/>
      </c>
      <c r="J712" s="29"/>
      <c r="K712" s="45">
        <v>64</v>
      </c>
      <c r="L712" s="29" t="e" cm="1">
        <f t="array" ref="L712">CHOOSE(GetCSVIndex(A2,225+7182)+1,"","Station","Block","","Delay")</f>
        <v>#VALUE!</v>
      </c>
      <c r="M712" s="29" t="str" cm="1">
        <f t="array" ref="M712">GetCSVIndex(A2,226+7182)</f>
        <v/>
      </c>
      <c r="N712" s="27" t="str" cm="1">
        <f t="array" ref="N712">GetCSVIndex(A2,314+7182)</f>
        <v/>
      </c>
      <c r="O712" s="43" t="str" cm="1">
        <f t="array" ref="O712">GetCSVIndex(A2,377+7182)</f>
        <v/>
      </c>
    </row>
    <row r="713" spans="1:15" ht="23.25" customHeight="1" x14ac:dyDescent="0.25">
      <c r="A713" s="51" t="str" cm="1">
        <f t="array" ref="A713">CONCATENATE("Schedule  Program Number : ", GetCSVIndex(A2,5+7560))</f>
        <v xml:space="preserve">Schedule  Program Number : </v>
      </c>
      <c r="B713" s="52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3"/>
    </row>
    <row r="714" spans="1:15" ht="21" customHeight="1" x14ac:dyDescent="0.25">
      <c r="A714" s="20" t="s">
        <v>44</v>
      </c>
      <c r="B714" s="22" t="str" cm="1">
        <f t="array" ref="B714">GetCSVIndex(A2,5+7560)</f>
        <v/>
      </c>
      <c r="C714" s="18"/>
      <c r="D714" s="18"/>
      <c r="E714" s="18"/>
      <c r="F714" s="18"/>
      <c r="G714" s="18" t="s">
        <v>19</v>
      </c>
      <c r="H714" s="18" t="e" cm="1">
        <f t="array" ref="H714">CHOOSE(GetCSVIndex(A2,7+7560)+1, "Days of Week", "Odd/Even", "Interval","Manual")</f>
        <v>#VALUE!</v>
      </c>
      <c r="I714" s="18"/>
      <c r="J714" s="15"/>
      <c r="K714" s="15"/>
      <c r="L714" s="15"/>
      <c r="M714" s="15"/>
      <c r="N714" s="15"/>
      <c r="O714" s="16"/>
    </row>
    <row r="715" spans="1:15" ht="18" customHeight="1" x14ac:dyDescent="0.25">
      <c r="A715" s="21" t="s">
        <v>20</v>
      </c>
      <c r="B715" s="19" t="e" cm="1">
        <f t="array" ref="B715">CHOOSE(GetCSVIndex(A2,24+7560)+1, "Program", "Global", "Monthly","Solar Sync")</f>
        <v>#VALUE!</v>
      </c>
      <c r="C715" s="19"/>
      <c r="D715" s="19"/>
      <c r="E715" s="19"/>
      <c r="F715" s="19" t="s">
        <v>21</v>
      </c>
      <c r="G715" s="19" t="e" cm="1">
        <f t="array" ref="G715">IF(CHOOSE(GetCSVIndex(A2,7+7560)+1,IF(_xlfn.BITAND(GetCSVIndex(A2,8+7560), 2^0)=0, 0, 1),IF(_xlfn.BITAND(GetCSVIndex(A2,9+7560), 2^0)=0, 0, 1),IF(_xlfn.BITAND(GetCSVIndex(A2,10+7560), 2^0)=0, 0, 1)) =1,"Mon","")</f>
        <v>#VALUE!</v>
      </c>
      <c r="H715" s="19" t="e" cm="1">
        <f t="array" ref="H715">CONCATENATE(IF(CHOOSE(GetCSVIndex(A2,7+7560)+1,IF(_xlfn.BITAND(GetCSVIndex(A2,8+7560), 2^1)=0, 0, 1),IF(_xlfn.BITAND(GetCSVIndex(A2,9+7560), 2^1)=0, 0, 1),IF(_xlfn.BITAND(GetCSVIndex(A2,10+7560), 2^1)=0, 0, 1)) =1,"Tue       ","       "),IF(CHOOSE(GetCSVIndex(A2,7+7560)+1,IF(_xlfn.BITAND(GetCSVIndex(A2,8+7560), 2^2)=0, 0, 1),IF(_xlfn.BITAND(GetCSVIndex(A2,9+7560), 2^2)=0, 0, 1),IF(_xlfn.BITAND(GetCSVIndex(A2,10+7560), 2^2)=0, 0, 1)) =1,"Wed",""),IF(CHOOSE(GetCSVIndex(A2,7+7560)+1,IF(_xlfn.BITAND(GetCSVIndex(A2,8+7560), 2^3)=0, 0, 1),IF(_xlfn.BITAND(GetCSVIndex(A2,9+7560), 2^3)=0, 0, 1),IF(_xlfn.BITAND(GetCSVIndex(A2,10+7560), 2^3)=0, 0, 1)) =1,"       Thu","       "))</f>
        <v>#VALUE!</v>
      </c>
      <c r="I715" s="32" t="e" cm="1">
        <f t="array" ref="I715">CONCATENATE(IF(CHOOSE(GetCSVIndex(A2,7+7560)+1,IF(_xlfn.BITAND(GetCSVIndex(A2,8+7560), 2^4)=0, 0, 1),IF(_xlfn.BITAND(GetCSVIndex(A2,9+7560), 2^4)=0, 0, 1),IF(_xlfn.BITAND(GetCSVIndex(A2,10+7560), 2^4)=0, 0, 1)) =1,"Fri       ","       "),IF(CHOOSE(GetCSVIndex(A2,7+7560)+1,IF(_xlfn.BITAND(GetCSVIndex(A2,8+7560), 2^5)=0, 0, 1),IF(_xlfn.BITAND(GetCSVIndex(A2,9+7560), 2^5)=0, 0, 1),IF(_xlfn.BITAND(GetCSVIndex(A2,10+7560), 2^5)=0, 0, 1)) =1,"Sat",""),IF(CHOOSE(GetCSVIndex(A2,7+7560)+1,IF(_xlfn.BITAND(GetCSVIndex(A2,8+7560), 2^6)=0, 0, 1),IF(_xlfn.BITAND(GetCSVIndex(A2,9+7560), 2^6)=0, 0, 1),IF(_xlfn.BITAND(GetCSVIndex(A2,10+7560), 2^6)=0, 0, 1)) =1,"       Sun","       "))</f>
        <v>#VALUE!</v>
      </c>
      <c r="J715" s="19"/>
      <c r="K715" s="19"/>
      <c r="L715" s="32" t="s">
        <v>22</v>
      </c>
      <c r="M715" s="19"/>
      <c r="N715" s="19" t="str" cm="1">
        <f t="array" ref="N715">IF(GetCSVIndex(A2,26+7560)="1","Enable","Disable")</f>
        <v>Disable</v>
      </c>
      <c r="O715" s="24"/>
    </row>
    <row r="716" spans="1:15" ht="18" customHeight="1" x14ac:dyDescent="0.25">
      <c r="A716" s="21" t="str" cm="1">
        <f t="array" ref="A716">CONCATENATE("Program ", GetCSVIndex(A2,5+7560))</f>
        <v xml:space="preserve">Program </v>
      </c>
      <c r="B716" s="23" t="str" cm="1">
        <f t="array" ref="B716">CONCATENATE(GetCSVIndex(A2,25+7560)," %")</f>
        <v xml:space="preserve"> %</v>
      </c>
      <c r="C716" s="19"/>
      <c r="D716" s="19"/>
      <c r="E716" s="19"/>
      <c r="F716" s="19" t="str" cm="1">
        <f t="array" ref="F716">IF(GetCSVIndex(A2,7)="2","Water Every"," ")</f>
        <v xml:space="preserve"> </v>
      </c>
      <c r="G716" s="47" t="str" cm="1">
        <f t="array" ref="G716">IF(GetCSVIndex(A2,7+7560)="2",GetCSVIndex(A2,11+7560)," ")</f>
        <v xml:space="preserve"> </v>
      </c>
      <c r="H716" s="19" t="str" cm="1">
        <f t="array" ref="H716">IF(GetCSVIndex(A2,7+7560)="2","Days"," ")</f>
        <v xml:space="preserve"> </v>
      </c>
      <c r="I716" s="32" t="str" cm="1">
        <f t="array" ref="I716">IF(GetCSVIndex(A2,7+7560)="2","Water After"," ")</f>
        <v xml:space="preserve"> </v>
      </c>
      <c r="J716" s="19"/>
      <c r="K716" s="19" t="str" cm="1">
        <f t="array" ref="K716">IF(GetCSVIndex(A2,7+7560)="2",GetCSVIndex(A2,12+7560)," ")</f>
        <v xml:space="preserve"> </v>
      </c>
      <c r="L716" s="47" t="str" cm="1">
        <f t="array" ref="L716">IF(GetCSVIndex(A2,7+7560)="2","Days"," ")</f>
        <v xml:space="preserve"> </v>
      </c>
      <c r="M716" s="32"/>
      <c r="N716" s="32"/>
      <c r="O716" s="24"/>
    </row>
    <row r="717" spans="1:15" ht="21" customHeight="1" x14ac:dyDescent="0.25">
      <c r="A717" s="20" t="s">
        <v>23</v>
      </c>
      <c r="B717" s="18" t="s">
        <v>24</v>
      </c>
      <c r="C717" s="18" t="str" cm="1">
        <f t="array" ref="C717">CHOOSE(GetCSVIndex(A2,13)+1, "Auto", "Start to End","Manual")</f>
        <v>Start to End</v>
      </c>
      <c r="D717" s="31"/>
      <c r="E717" s="17" t="s">
        <v>38</v>
      </c>
      <c r="F717" s="18" t="s">
        <v>39</v>
      </c>
      <c r="G717" s="18" t="s">
        <v>40</v>
      </c>
      <c r="H717" s="18" t="s">
        <v>41</v>
      </c>
      <c r="I717" s="18" t="s">
        <v>43</v>
      </c>
      <c r="J717" s="31"/>
      <c r="K717" s="17" t="s">
        <v>38</v>
      </c>
      <c r="L717" s="18" t="s">
        <v>39</v>
      </c>
      <c r="M717" s="18" t="s">
        <v>40</v>
      </c>
      <c r="N717" s="22" t="s">
        <v>41</v>
      </c>
      <c r="O717" s="44" t="s">
        <v>42</v>
      </c>
    </row>
    <row r="718" spans="1:15" ht="21" customHeight="1" x14ac:dyDescent="0.25">
      <c r="A718" s="36" t="s">
        <v>25</v>
      </c>
      <c r="B718" s="46" t="str" cm="1">
        <f t="array" ref="B718">IF(GetCSVIndex(A2,6+7560)="1","Over","Stack")</f>
        <v>Stack</v>
      </c>
      <c r="C718" s="26" t="str" cm="1">
        <f t="array" ref="C718">GetCSVIndex(A2,29+7560)</f>
        <v/>
      </c>
      <c r="D718" s="25"/>
      <c r="E718" s="45">
        <v>1</v>
      </c>
      <c r="F718" s="29" t="e" cm="1">
        <f t="array" ref="F718">CHOOSE(GetCSVIndex(A2,36+7560)+1,"","Station","Block","","Delay")</f>
        <v>#VALUE!</v>
      </c>
      <c r="G718" s="29" t="str" cm="1">
        <f t="array" ref="G718">GetCSVIndex(A2,37+7560)</f>
        <v/>
      </c>
      <c r="H718" s="45" t="str" cm="1">
        <f t="array" ref="H718">GetCSVIndex(A2,3+7560)</f>
        <v/>
      </c>
      <c r="I718" s="29" t="str" cm="1">
        <f t="array" ref="I718">GetCSVIndex(A2,1+7560)</f>
        <v/>
      </c>
      <c r="J718" s="25"/>
      <c r="K718" s="45">
        <v>33</v>
      </c>
      <c r="L718" s="29" t="e" cm="1">
        <f t="array" ref="L718">CHOOSE(GetCSVIndex(A2,132+7560)+1,"","Station","Block","","Delay")</f>
        <v>#VALUE!</v>
      </c>
      <c r="M718" s="29" t="str" cm="1">
        <f t="array" ref="M718">GetCSVIndex(A2,133+7560)</f>
        <v/>
      </c>
      <c r="N718" s="27" t="str" cm="1">
        <f t="array" ref="N718">GetCSVIndex(A2,283+7560)</f>
        <v/>
      </c>
      <c r="O718" s="43" t="str" cm="1">
        <f t="array" ref="O718">GetCSVIndex(A2,346+7560)</f>
        <v/>
      </c>
    </row>
    <row r="719" spans="1:15" ht="21" customHeight="1" x14ac:dyDescent="0.25">
      <c r="A719" s="36" t="s">
        <v>26</v>
      </c>
      <c r="B719" s="25" t="str" cm="1">
        <f t="array" ref="B719">IF(GetCSVIndex(A2,2+7560)="1092:15","Not Set",CONCATENATE("From     ",GetCSVIndex(A2,2+7560)))</f>
        <v xml:space="preserve">From     </v>
      </c>
      <c r="C719" s="26" t="str" cm="1">
        <f t="array" ref="C719">IF(GetCSVIndex(C4,1+38)="1092:15","Not Set",CONCATENATE("To     ",GetCSVIndex(C4,1+38)))</f>
        <v xml:space="preserve">To     </v>
      </c>
      <c r="D719" s="25"/>
      <c r="E719" s="45">
        <v>2</v>
      </c>
      <c r="F719" s="29" t="e" cm="1">
        <f t="array" ref="F719">CHOOSE(GetCSVIndex(A2,39+7560)+1,"","Station","Block","","Delay")</f>
        <v>#VALUE!</v>
      </c>
      <c r="G719" s="29" t="str" cm="1">
        <f t="array" ref="G719">GetCSVIndex(A2,40+7560)</f>
        <v/>
      </c>
      <c r="H719" s="45" t="str" cm="1">
        <f t="array" ref="H719">GetCSVIndex(A2,252+7560)</f>
        <v/>
      </c>
      <c r="I719" s="29" t="str" cm="1">
        <f t="array" ref="I719">GetCSVIndex(A2,315+7560)</f>
        <v/>
      </c>
      <c r="J719" s="25"/>
      <c r="K719" s="45">
        <v>34</v>
      </c>
      <c r="L719" s="29" t="e" cm="1">
        <f t="array" ref="L719">CHOOSE(GetCSVIndex(A2,135+7560)+1,"","Station","Block","","Delay")</f>
        <v>#VALUE!</v>
      </c>
      <c r="M719" s="29" t="str" cm="1">
        <f t="array" ref="M719">GetCSVIndex(A2,136+7560)</f>
        <v/>
      </c>
      <c r="N719" s="27" t="str" cm="1">
        <f t="array" ref="N719">GetCSVIndex(A2,284+7560)</f>
        <v/>
      </c>
      <c r="O719" s="43" t="str" cm="1">
        <f t="array" ref="O719">GetCSVIndex(A2,347+7560)</f>
        <v/>
      </c>
    </row>
    <row r="720" spans="1:15" ht="21" customHeight="1" x14ac:dyDescent="0.25">
      <c r="A720" s="36" t="s">
        <v>27</v>
      </c>
      <c r="B720" s="25"/>
      <c r="C720" s="26" t="str" cm="1">
        <f t="array" ref="C720">CONCATENATE(GetCSVIndex(A2,249+7560),":", GetCSVIndex(A2,250+7560),":", GetCSVIndex(A2,251+7560))</f>
        <v>::</v>
      </c>
      <c r="D720" s="26"/>
      <c r="E720" s="45">
        <v>3</v>
      </c>
      <c r="F720" s="29" t="e" cm="1">
        <f t="array" ref="F720">CHOOSE(GetCSVIndex(A2,42+7560)+1,"","Station","Block","","Delay")</f>
        <v>#VALUE!</v>
      </c>
      <c r="G720" s="29" t="str" cm="1">
        <f t="array" ref="G720">GetCSVIndex(A2,43+7560)</f>
        <v/>
      </c>
      <c r="H720" s="45" t="str" cm="1">
        <f t="array" ref="H720">GetCSVIndex(A2,253+7560)</f>
        <v/>
      </c>
      <c r="I720" s="29" t="str" cm="1">
        <f t="array" ref="I720">GetCSVIndex(A2,316+7560)</f>
        <v/>
      </c>
      <c r="J720" s="25"/>
      <c r="K720" s="45">
        <v>35</v>
      </c>
      <c r="L720" s="29" t="e" cm="1">
        <f t="array" ref="L720">CHOOSE(GetCSVIndex(A2,138+7560)+1,"","Station","Block","","Delay")</f>
        <v>#VALUE!</v>
      </c>
      <c r="M720" s="29" t="str" cm="1">
        <f t="array" ref="M720">GetCSVIndex(A2,139+7560)</f>
        <v/>
      </c>
      <c r="N720" s="27" t="str" cm="1">
        <f t="array" ref="N720">GetCSVIndex(A2,285+7560)</f>
        <v/>
      </c>
      <c r="O720" s="43" t="str" cm="1">
        <f t="array" ref="O720">GetCSVIndex(A2,348+7560)</f>
        <v/>
      </c>
    </row>
    <row r="721" spans="1:15" ht="21" customHeight="1" x14ac:dyDescent="0.25">
      <c r="A721" s="36"/>
      <c r="B721" s="25"/>
      <c r="C721" s="25"/>
      <c r="D721" s="25"/>
      <c r="E721" s="45">
        <v>4</v>
      </c>
      <c r="F721" s="29" t="e" cm="1">
        <f t="array" ref="F721">CHOOSE(GetCSVIndex(A2,45+7560)+1,"","Station","Block","","Delay")</f>
        <v>#VALUE!</v>
      </c>
      <c r="G721" s="29" t="str" cm="1">
        <f t="array" ref="G721">GetCSVIndex(A2,46+7560)</f>
        <v/>
      </c>
      <c r="H721" s="45" t="str" cm="1">
        <f t="array" ref="H721">GetCSVIndex(A2,254+7560)</f>
        <v/>
      </c>
      <c r="I721" s="29" t="str" cm="1">
        <f t="array" ref="I721">GetCSVIndex(A2,317+7560)</f>
        <v/>
      </c>
      <c r="J721" s="25"/>
      <c r="K721" s="45">
        <v>36</v>
      </c>
      <c r="L721" s="29" t="e" cm="1">
        <f t="array" ref="L721">CHOOSE(GetCSVIndex(A2,141+7560)+1,"","Station","Block","","Delay")</f>
        <v>#VALUE!</v>
      </c>
      <c r="M721" s="29" t="str" cm="1">
        <f t="array" ref="M721">GetCSVIndex(A2,142+7560)</f>
        <v/>
      </c>
      <c r="N721" s="27" t="str" cm="1">
        <f t="array" ref="N721">GetCSVIndex(A2,286+7560)</f>
        <v/>
      </c>
      <c r="O721" s="43" t="str" cm="1">
        <f t="array" ref="O721">GetCSVIndex(A2,349+7560)</f>
        <v/>
      </c>
    </row>
    <row r="722" spans="1:15" ht="21" customHeight="1" x14ac:dyDescent="0.25">
      <c r="A722" s="37" t="s">
        <v>28</v>
      </c>
      <c r="B722" s="28"/>
      <c r="C722" s="29" t="str" cm="1">
        <f t="array" ref="C722">IF(GetCSVIndex(A2,14+7560)&lt;&gt;"65535",CONCATENATE(GetCSVIndex(A2,229+7560),":", GetCSVIndex(A2,239+7560)),"OFF")</f>
        <v>:</v>
      </c>
      <c r="D722" s="25"/>
      <c r="E722" s="45">
        <v>5</v>
      </c>
      <c r="F722" s="29" t="e" cm="1">
        <f t="array" ref="F722">CHOOSE(GetCSVIndex(A2,48+7560)+1,"","Station","Block","","Delay")</f>
        <v>#VALUE!</v>
      </c>
      <c r="G722" s="29" t="str" cm="1">
        <f t="array" ref="G722">GetCSVIndex(A2,49+7560)</f>
        <v/>
      </c>
      <c r="H722" s="45" t="str" cm="1">
        <f t="array" ref="H722">GetCSVIndex(A2,255+7560)</f>
        <v/>
      </c>
      <c r="I722" s="29" t="str" cm="1">
        <f t="array" ref="I722">GetCSVIndex(A2,318+7560)</f>
        <v/>
      </c>
      <c r="J722" s="25"/>
      <c r="K722" s="45">
        <v>37</v>
      </c>
      <c r="L722" s="29" t="e" cm="1">
        <f t="array" ref="L722">CHOOSE(GetCSVIndex(A2,144+7560)+1,"","Station","Block","","Delay")</f>
        <v>#VALUE!</v>
      </c>
      <c r="M722" s="29" t="str" cm="1">
        <f t="array" ref="M722">GetCSVIndex(A2,145+7560)</f>
        <v/>
      </c>
      <c r="N722" s="27" t="str" cm="1">
        <f t="array" ref="N722">GetCSVIndex(A2,287+7560)</f>
        <v/>
      </c>
      <c r="O722" s="43" t="str" cm="1">
        <f t="array" ref="O722">GetCSVIndex(A2,350+7560)</f>
        <v/>
      </c>
    </row>
    <row r="723" spans="1:15" ht="21" customHeight="1" x14ac:dyDescent="0.25">
      <c r="A723" s="38" t="s">
        <v>29</v>
      </c>
      <c r="B723" s="30"/>
      <c r="C723" s="29" t="str" cm="1">
        <f t="array" ref="C723">IF(GetCSVIndex(A2,15+7560)&lt;&gt;"65535",CONCATENATE(GetCSVIndex(A2,231+7560),":", GetCSVIndex(A2,241+7560)),"OFF")</f>
        <v>:</v>
      </c>
      <c r="D723" s="25"/>
      <c r="E723" s="45">
        <v>6</v>
      </c>
      <c r="F723" s="29" t="e" cm="1">
        <f t="array" ref="F723">CHOOSE(GetCSVIndex(A2,51+7560)+1,"","Station","Block","","Delay")</f>
        <v>#VALUE!</v>
      </c>
      <c r="G723" s="29" t="str" cm="1">
        <f t="array" ref="G723">GetCSVIndex(A2,52+7560)</f>
        <v/>
      </c>
      <c r="H723" s="45" t="str" cm="1">
        <f t="array" ref="H723">GetCSVIndex(A2,256+7560)</f>
        <v/>
      </c>
      <c r="I723" s="29" t="str" cm="1">
        <f t="array" ref="I723">GetCSVIndex(A2,319+7560)</f>
        <v/>
      </c>
      <c r="J723" s="25"/>
      <c r="K723" s="45">
        <v>38</v>
      </c>
      <c r="L723" s="29" t="e" cm="1">
        <f t="array" ref="L723">CHOOSE(GetCSVIndex(A2,147+7560)+1,"","Station","Block","","Delay")</f>
        <v>#VALUE!</v>
      </c>
      <c r="M723" s="29" t="str" cm="1">
        <f t="array" ref="M723">GetCSVIndex(A2,148+7560)</f>
        <v/>
      </c>
      <c r="N723" s="27" t="str" cm="1">
        <f t="array" ref="N723">GetCSVIndex(A2,288+7560)</f>
        <v/>
      </c>
      <c r="O723" s="43" t="str" cm="1">
        <f t="array" ref="O723">GetCSVIndex(A2,351+7560)</f>
        <v/>
      </c>
    </row>
    <row r="724" spans="1:15" ht="21" customHeight="1" x14ac:dyDescent="0.25">
      <c r="A724" s="38" t="s">
        <v>30</v>
      </c>
      <c r="B724" s="30"/>
      <c r="C724" s="29" t="str" cm="1">
        <f t="array" ref="C724">IF(GetCSVIndex(A2,16+7560)&lt;&gt;"65535",CONCATENATE(GetCSVIndex(A2,232+7560),":", GetCSVIndex(A2,242+7560)),"OFF")</f>
        <v>:</v>
      </c>
      <c r="D724" s="25"/>
      <c r="E724" s="45">
        <v>7</v>
      </c>
      <c r="F724" s="29" t="e" cm="1">
        <f t="array" ref="F724">CHOOSE(GetCSVIndex(A2,54+7560)+1,"","Station","Block","","Delay")</f>
        <v>#VALUE!</v>
      </c>
      <c r="G724" s="29" t="str" cm="1">
        <f t="array" ref="G724">GetCSVIndex(A2,55+7560)</f>
        <v/>
      </c>
      <c r="H724" s="45" t="str" cm="1">
        <f t="array" ref="H724">GetCSVIndex(A2,257+7560)</f>
        <v/>
      </c>
      <c r="I724" s="29" t="str" cm="1">
        <f t="array" ref="I724">GetCSVIndex(A2,320+7560)</f>
        <v/>
      </c>
      <c r="J724" s="25"/>
      <c r="K724" s="45">
        <v>39</v>
      </c>
      <c r="L724" s="29" t="e" cm="1">
        <f t="array" ref="L724">CHOOSE(GetCSVIndex(A2,150+7560)+1,"","Station","Block","","Delay")</f>
        <v>#VALUE!</v>
      </c>
      <c r="M724" s="29" t="str" cm="1">
        <f t="array" ref="M724">GetCSVIndex(A2,151+7560)</f>
        <v/>
      </c>
      <c r="N724" s="27" t="str" cm="1">
        <f t="array" ref="N724">GetCSVIndex(A2,289+7560)</f>
        <v/>
      </c>
      <c r="O724" s="43" t="str" cm="1">
        <f t="array" ref="O724">GetCSVIndex(A2,352+7560)</f>
        <v/>
      </c>
    </row>
    <row r="725" spans="1:15" ht="21" customHeight="1" x14ac:dyDescent="0.25">
      <c r="A725" s="38" t="s">
        <v>31</v>
      </c>
      <c r="B725" s="30"/>
      <c r="C725" s="29" t="str" cm="1">
        <f t="array" ref="C725">IF(GetCSVIndex(A2,17+7560)&lt;&gt;"65535",CONCATENATE(GetCSVIndex(A2,233+7560),":", GetCSVIndex(A2,243+7560)),"OFF")</f>
        <v>:</v>
      </c>
      <c r="D725" s="25"/>
      <c r="E725" s="45">
        <v>8</v>
      </c>
      <c r="F725" s="29" t="e" cm="1">
        <f t="array" ref="F725">CHOOSE(GetCSVIndex(A2,57+7560)+1,"","Station","Block","","Delay")</f>
        <v>#VALUE!</v>
      </c>
      <c r="G725" s="29" t="str" cm="1">
        <f t="array" ref="G725">GetCSVIndex(A2,58+7560)</f>
        <v/>
      </c>
      <c r="H725" s="45" t="str" cm="1">
        <f t="array" ref="H725">GetCSVIndex(A2,258+7560)</f>
        <v/>
      </c>
      <c r="I725" s="29" t="str" cm="1">
        <f t="array" ref="I725">GetCSVIndex(A2,321+7560)</f>
        <v/>
      </c>
      <c r="J725" s="25"/>
      <c r="K725" s="45">
        <v>40</v>
      </c>
      <c r="L725" s="29" t="e" cm="1">
        <f t="array" ref="L725">CHOOSE(GetCSVIndex(A2,153+7560)+1,"","Station","Block","","Delay")</f>
        <v>#VALUE!</v>
      </c>
      <c r="M725" s="29" t="str" cm="1">
        <f t="array" ref="M725">GetCSVIndex(A2,154+7560)</f>
        <v/>
      </c>
      <c r="N725" s="27" t="str" cm="1">
        <f t="array" ref="N725">GetCSVIndex(A2,290+7560)</f>
        <v/>
      </c>
      <c r="O725" s="43" t="str" cm="1">
        <f t="array" ref="O725">GetCSVIndex(A2,353+7560)</f>
        <v/>
      </c>
    </row>
    <row r="726" spans="1:15" ht="21" customHeight="1" x14ac:dyDescent="0.25">
      <c r="A726" s="38" t="s">
        <v>32</v>
      </c>
      <c r="B726" s="30"/>
      <c r="C726" s="29" t="str" cm="1">
        <f t="array" ref="C726">IF(GetCSVIndex(A2,18+7560)&lt;&gt;"65535",CONCATENATE(GetCSVIndex(A2,234+7560),":", GetCSVIndex(A2,244+7560)),"OFF")</f>
        <v>:</v>
      </c>
      <c r="D726" s="25"/>
      <c r="E726" s="45">
        <v>9</v>
      </c>
      <c r="F726" s="29" t="e" cm="1">
        <f t="array" ref="F726">CHOOSE(GetCSVIndex(A2,60+7560)+1,"","Station","Block","","Delay")</f>
        <v>#VALUE!</v>
      </c>
      <c r="G726" s="29" t="str" cm="1">
        <f t="array" ref="G726">GetCSVIndex(A2,61+7560)</f>
        <v/>
      </c>
      <c r="H726" s="45" t="str" cm="1">
        <f t="array" ref="H726">GetCSVIndex(A2,259+7560)</f>
        <v/>
      </c>
      <c r="I726" s="29" t="str" cm="1">
        <f t="array" ref="I726">GetCSVIndex(A2,322+7560)</f>
        <v/>
      </c>
      <c r="J726" s="25"/>
      <c r="K726" s="45">
        <v>41</v>
      </c>
      <c r="L726" s="29" t="e" cm="1">
        <f t="array" ref="L726">CHOOSE(GetCSVIndex(A2,156+7560)+1,"","Station","Block","","Delay")</f>
        <v>#VALUE!</v>
      </c>
      <c r="M726" s="29" t="str" cm="1">
        <f t="array" ref="M726">GetCSVIndex(A2,157+7560)</f>
        <v/>
      </c>
      <c r="N726" s="27" t="str" cm="1">
        <f t="array" ref="N726">GetCSVIndex(A2,291+7560)</f>
        <v/>
      </c>
      <c r="O726" s="43" t="str" cm="1">
        <f t="array" ref="O726">GetCSVIndex(A2,354+7560)</f>
        <v/>
      </c>
    </row>
    <row r="727" spans="1:15" ht="21" customHeight="1" x14ac:dyDescent="0.25">
      <c r="A727" s="38" t="s">
        <v>33</v>
      </c>
      <c r="B727" s="30"/>
      <c r="C727" s="29" t="str" cm="1">
        <f t="array" ref="C727">IF(GetCSVIndex(A2,19+7560)&lt;&gt;"65535",CONCATENATE(GetCSVIndex(A2,235+7560),":", GetCSVIndex(A2,245+7560)),"OFF")</f>
        <v>:</v>
      </c>
      <c r="D727" s="25"/>
      <c r="E727" s="45">
        <v>10</v>
      </c>
      <c r="F727" s="29" t="e" cm="1">
        <f t="array" ref="F727">CHOOSE(GetCSVIndex(A2,63+7560)+1,"","Station","Block","","Delay")</f>
        <v>#VALUE!</v>
      </c>
      <c r="G727" s="29" t="str" cm="1">
        <f t="array" ref="G727">GetCSVIndex(A2,64+7560)</f>
        <v/>
      </c>
      <c r="H727" s="45" t="str" cm="1">
        <f t="array" ref="H727">GetCSVIndex(A2,260+7560)</f>
        <v/>
      </c>
      <c r="I727" s="29" t="str" cm="1">
        <f t="array" ref="I727">GetCSVIndex(A2,323+7560)</f>
        <v/>
      </c>
      <c r="J727" s="25"/>
      <c r="K727" s="45">
        <v>42</v>
      </c>
      <c r="L727" s="29" t="e" cm="1">
        <f t="array" ref="L727">CHOOSE(GetCSVIndex(A2,159+7560)+1,"","Station","Block","","Delay")</f>
        <v>#VALUE!</v>
      </c>
      <c r="M727" s="29" t="str" cm="1">
        <f t="array" ref="M727">GetCSVIndex(A2,160+7560)</f>
        <v/>
      </c>
      <c r="N727" s="27" t="str" cm="1">
        <f t="array" ref="N727">GetCSVIndex(A2,292+7560)</f>
        <v/>
      </c>
      <c r="O727" s="43" t="str" cm="1">
        <f t="array" ref="O727">GetCSVIndex(A2,355+7560)</f>
        <v/>
      </c>
    </row>
    <row r="728" spans="1:15" ht="21" customHeight="1" x14ac:dyDescent="0.25">
      <c r="A728" s="38" t="s">
        <v>34</v>
      </c>
      <c r="B728" s="30"/>
      <c r="C728" s="29" t="str" cm="1">
        <f t="array" ref="C728">IF(GetCSVIndex(A2,20+7560)&lt;&gt;"65535",CONCATENATE(GetCSVIndex(A2,236+7560),":", GetCSVIndex(A2,246+7560)),"OFF")</f>
        <v>:</v>
      </c>
      <c r="D728" s="25"/>
      <c r="E728" s="45">
        <v>11</v>
      </c>
      <c r="F728" s="29" t="e" cm="1">
        <f t="array" ref="F728">CHOOSE(GetCSVIndex(A2,66+7560)+1,"","Station","Block","","Delay")</f>
        <v>#VALUE!</v>
      </c>
      <c r="G728" s="29" t="str" cm="1">
        <f t="array" ref="G728">GetCSVIndex(A2,67+7560)</f>
        <v/>
      </c>
      <c r="H728" s="45" t="str" cm="1">
        <f t="array" ref="H728">GetCSVIndex(A2,261+7560)</f>
        <v/>
      </c>
      <c r="I728" s="29" t="str" cm="1">
        <f t="array" ref="I728">GetCSVIndex(A2,324+7560)</f>
        <v/>
      </c>
      <c r="J728" s="25"/>
      <c r="K728" s="45">
        <v>43</v>
      </c>
      <c r="L728" s="29" t="e" cm="1">
        <f t="array" ref="L728">CHOOSE(GetCSVIndex(A2,162+7560)+1,"","Station","Block","","Delay")</f>
        <v>#VALUE!</v>
      </c>
      <c r="M728" s="29" t="str" cm="1">
        <f t="array" ref="M728">GetCSVIndex(A2,163+7560)</f>
        <v/>
      </c>
      <c r="N728" s="27" t="str" cm="1">
        <f t="array" ref="N728">GetCSVIndex(A2,293+7560)</f>
        <v/>
      </c>
      <c r="O728" s="43" t="str" cm="1">
        <f t="array" ref="O728">GetCSVIndex(A2,356+7560)</f>
        <v/>
      </c>
    </row>
    <row r="729" spans="1:15" ht="21" customHeight="1" x14ac:dyDescent="0.25">
      <c r="A729" s="38" t="s">
        <v>35</v>
      </c>
      <c r="B729" s="30"/>
      <c r="C729" s="29" t="str" cm="1">
        <f t="array" ref="C729">IF(GetCSVIndex(A2,21+7560)&lt;&gt;"65535",CONCATENATE(GetCSVIndex(A2,237+7560),":", GetCSVIndex(A2,247+7560)),"OFF")</f>
        <v>:</v>
      </c>
      <c r="D729" s="25"/>
      <c r="E729" s="45">
        <v>12</v>
      </c>
      <c r="F729" s="29" t="e" cm="1">
        <f t="array" ref="F729">CHOOSE(GetCSVIndex(A2,69+7560)+1,"","Station","Block","","Delay")</f>
        <v>#VALUE!</v>
      </c>
      <c r="G729" s="29" t="str" cm="1">
        <f t="array" ref="G729">GetCSVIndex(A2,70+7560)</f>
        <v/>
      </c>
      <c r="H729" s="45" t="str" cm="1">
        <f t="array" ref="H729">GetCSVIndex(A2,262+7560)</f>
        <v/>
      </c>
      <c r="I729" s="29" t="str" cm="1">
        <f t="array" ref="I729">GetCSVIndex(A2,325+7560)</f>
        <v/>
      </c>
      <c r="J729" s="25"/>
      <c r="K729" s="45">
        <v>44</v>
      </c>
      <c r="L729" s="29" t="e" cm="1">
        <f t="array" ref="L729">CHOOSE(GetCSVIndex(A2,165+7560)+1,"","Station","Block","","Delay")</f>
        <v>#VALUE!</v>
      </c>
      <c r="M729" s="29" t="str" cm="1">
        <f t="array" ref="M729">GetCSVIndex(A2,166+7560)</f>
        <v/>
      </c>
      <c r="N729" s="27" t="str" cm="1">
        <f t="array" ref="N729">GetCSVIndex(A2,294+7560)</f>
        <v/>
      </c>
      <c r="O729" s="43" t="str" cm="1">
        <f t="array" ref="O729">GetCSVIndex(A2,357+7560)</f>
        <v/>
      </c>
    </row>
    <row r="730" spans="1:15" ht="21" customHeight="1" x14ac:dyDescent="0.25">
      <c r="A730" s="38" t="s">
        <v>36</v>
      </c>
      <c r="B730" s="30"/>
      <c r="C730" s="29" t="str" cm="1">
        <f t="array" ref="C730">IF(GetCSVIndex(A2,22+7560)&lt;&gt;"65535",CONCATENATE(GetCSVIndex(A2,238+7560),":", GetCSVIndex(A2,248+7560)),"OFF")</f>
        <v>:</v>
      </c>
      <c r="D730" s="25"/>
      <c r="E730" s="45">
        <v>13</v>
      </c>
      <c r="F730" s="29" t="e" cm="1">
        <f t="array" ref="F730">CHOOSE(GetCSVIndex(A2,72+7560)+1,"","Station","Block","","Delay")</f>
        <v>#VALUE!</v>
      </c>
      <c r="G730" s="29" t="str" cm="1">
        <f t="array" ref="G730">GetCSVIndex(A2,73+7560)</f>
        <v/>
      </c>
      <c r="H730" s="45" t="str" cm="1">
        <f t="array" ref="H730">GetCSVIndex(A2,263+7560)</f>
        <v/>
      </c>
      <c r="I730" s="29" t="str" cm="1">
        <f t="array" ref="I730">GetCSVIndex(A2,326+7560)</f>
        <v/>
      </c>
      <c r="J730" s="25"/>
      <c r="K730" s="45">
        <v>45</v>
      </c>
      <c r="L730" s="29" t="e" cm="1">
        <f t="array" ref="L730">CHOOSE(GetCSVIndex(A2,168+7560)+1,"","Station","Block","","Delay")</f>
        <v>#VALUE!</v>
      </c>
      <c r="M730" s="29" t="str" cm="1">
        <f t="array" ref="M730">GetCSVIndex(A2,169+7560)</f>
        <v/>
      </c>
      <c r="N730" s="27" t="str" cm="1">
        <f t="array" ref="N730">GetCSVIndex(A2,295+7560)</f>
        <v/>
      </c>
      <c r="O730" s="43" t="str" cm="1">
        <f t="array" ref="O730">GetCSVIndex(A2,358+7560)</f>
        <v/>
      </c>
    </row>
    <row r="731" spans="1:15" ht="21" customHeight="1" x14ac:dyDescent="0.25">
      <c r="A731" s="36" t="s">
        <v>37</v>
      </c>
      <c r="B731" s="25"/>
      <c r="C731" s="29" t="str" cm="1">
        <f t="array" ref="C731">IF(GetCSVIndex(A2,23+7560)&lt;&gt;"65535",CONCATENATE(GetCSVIndex(A2,230+7560),":", GetCSVIndex(A2,240+7560)),"OFF")</f>
        <v>:</v>
      </c>
      <c r="D731" s="25"/>
      <c r="E731" s="45">
        <v>14</v>
      </c>
      <c r="F731" s="29" t="e" cm="1">
        <f t="array" ref="F731">CHOOSE(GetCSVIndex(A2,75+7560)+1,"","Station","Block","","Delay")</f>
        <v>#VALUE!</v>
      </c>
      <c r="G731" s="29" t="str" cm="1">
        <f t="array" ref="G731">GetCSVIndex(A2,76+7560)</f>
        <v/>
      </c>
      <c r="H731" s="45" t="str" cm="1">
        <f t="array" ref="H731">GetCSVIndex(A2,264+7560)</f>
        <v/>
      </c>
      <c r="I731" s="29" t="str" cm="1">
        <f t="array" ref="I731">GetCSVIndex(A2,327+7560)</f>
        <v/>
      </c>
      <c r="J731" s="25"/>
      <c r="K731" s="45">
        <v>46</v>
      </c>
      <c r="L731" s="29" t="e" cm="1">
        <f t="array" ref="L731">CHOOSE(GetCSVIndex(A2,171+7560)+1,"","Station","Block","","Delay")</f>
        <v>#VALUE!</v>
      </c>
      <c r="M731" s="29" t="str" cm="1">
        <f t="array" ref="M731">GetCSVIndex(A2,172+7560)</f>
        <v/>
      </c>
      <c r="N731" s="27" t="str" cm="1">
        <f t="array" ref="N731">GetCSVIndex(A2,296+7560)</f>
        <v/>
      </c>
      <c r="O731" s="43" t="str" cm="1">
        <f t="array" ref="O731">GetCSVIndex(A2,359+7560)</f>
        <v/>
      </c>
    </row>
    <row r="732" spans="1:15" ht="21" customHeight="1" x14ac:dyDescent="0.25">
      <c r="A732" s="39"/>
      <c r="B732" s="40"/>
      <c r="C732" s="41"/>
      <c r="D732" s="26"/>
      <c r="E732" s="45">
        <v>15</v>
      </c>
      <c r="F732" s="29" t="e" cm="1">
        <f t="array" ref="F732">CHOOSE(GetCSVIndex(A2,78+7560)+1,"","Station","Block","","Delay")</f>
        <v>#VALUE!</v>
      </c>
      <c r="G732" s="29" t="str" cm="1">
        <f t="array" ref="G732">GetCSVIndex(A2,79+7560)</f>
        <v/>
      </c>
      <c r="H732" s="45" t="str" cm="1">
        <f t="array" ref="H732">GetCSVIndex(A2,265+7560)</f>
        <v/>
      </c>
      <c r="I732" s="29" t="str" cm="1">
        <f t="array" ref="I732">GetCSVIndex(A2,328+7560)</f>
        <v/>
      </c>
      <c r="J732" s="26"/>
      <c r="K732" s="45">
        <v>47</v>
      </c>
      <c r="L732" s="29" t="e" cm="1">
        <f t="array" ref="L732">CHOOSE(GetCSVIndex(A2,174+7560)+1,"","Station","Block","","Delay")</f>
        <v>#VALUE!</v>
      </c>
      <c r="M732" s="29" t="str" cm="1">
        <f t="array" ref="M732">GetCSVIndex(A2,175+7560)</f>
        <v/>
      </c>
      <c r="N732" s="27" t="str" cm="1">
        <f t="array" ref="N732">GetCSVIndex(A2,297+7560)</f>
        <v/>
      </c>
      <c r="O732" s="43" t="str" cm="1">
        <f t="array" ref="O732">GetCSVIndex(A2,360+7560)</f>
        <v/>
      </c>
    </row>
    <row r="733" spans="1:15" ht="21" customHeight="1" x14ac:dyDescent="0.25">
      <c r="A733" s="42"/>
      <c r="B733" s="25"/>
      <c r="C733" s="25"/>
      <c r="D733" s="26"/>
      <c r="E733" s="45">
        <v>16</v>
      </c>
      <c r="F733" s="29" t="e" cm="1">
        <f t="array" ref="F733">CHOOSE(GetCSVIndex(A2,81+7560)+1,"","Station","Block","","Delay")</f>
        <v>#VALUE!</v>
      </c>
      <c r="G733" s="29" t="str" cm="1">
        <f t="array" ref="G733">GetCSVIndex(A2,82+7560)</f>
        <v/>
      </c>
      <c r="H733" s="45" t="str" cm="1">
        <f t="array" ref="H733">GetCSVIndex(A2,266+7560)</f>
        <v/>
      </c>
      <c r="I733" s="29" t="str" cm="1">
        <f t="array" ref="I733">GetCSVIndex(A2,329+7560)</f>
        <v/>
      </c>
      <c r="J733" s="25"/>
      <c r="K733" s="45">
        <v>48</v>
      </c>
      <c r="L733" s="29" t="e" cm="1">
        <f t="array" ref="L733">CHOOSE(GetCSVIndex(A2,177+7560)+1,"","Station","Block","","Delay")</f>
        <v>#VALUE!</v>
      </c>
      <c r="M733" s="29" t="str" cm="1">
        <f t="array" ref="M733">GetCSVIndex(A2,178+7560)</f>
        <v/>
      </c>
      <c r="N733" s="27" t="str" cm="1">
        <f t="array" ref="N733">GetCSVIndex(A2,298+7560)</f>
        <v/>
      </c>
      <c r="O733" s="43" t="str" cm="1">
        <f t="array" ref="O733">GetCSVIndex(A2,361+7560)</f>
        <v/>
      </c>
    </row>
    <row r="734" spans="1:15" ht="21" customHeight="1" x14ac:dyDescent="0.25">
      <c r="A734" s="42"/>
      <c r="B734" s="25"/>
      <c r="C734" s="25"/>
      <c r="D734" s="26"/>
      <c r="E734" s="45">
        <v>17</v>
      </c>
      <c r="F734" s="29" t="e" cm="1">
        <f t="array" ref="F734">CHOOSE(GetCSVIndex(A2,84+7560)+1,"","Station","Block","","Delay")</f>
        <v>#VALUE!</v>
      </c>
      <c r="G734" s="29" t="str" cm="1">
        <f t="array" ref="G734">GetCSVIndex(A2,85+7560)</f>
        <v/>
      </c>
      <c r="H734" s="45" t="str" cm="1">
        <f t="array" ref="H734">GetCSVIndex(A2,267+7560)</f>
        <v/>
      </c>
      <c r="I734" s="29" t="str" cm="1">
        <f t="array" ref="I734">GetCSVIndex(A2,330+7560)</f>
        <v/>
      </c>
      <c r="J734" s="26"/>
      <c r="K734" s="45">
        <v>49</v>
      </c>
      <c r="L734" s="29" t="e" cm="1">
        <f t="array" ref="L734">CHOOSE(GetCSVIndex(A2,180+7560)+1,"","Station","Block","","Delay")</f>
        <v>#VALUE!</v>
      </c>
      <c r="M734" s="29" t="str" cm="1">
        <f t="array" ref="M734">GetCSVIndex(A2,181+7560)</f>
        <v/>
      </c>
      <c r="N734" s="27" t="str" cm="1">
        <f t="array" ref="N734">GetCSVIndex(A2,299+7560)</f>
        <v/>
      </c>
      <c r="O734" s="43" t="str" cm="1">
        <f t="array" ref="O734">GetCSVIndex(A2,362+7560)</f>
        <v/>
      </c>
    </row>
    <row r="735" spans="1:15" ht="21" customHeight="1" x14ac:dyDescent="0.25">
      <c r="A735" s="42"/>
      <c r="B735" s="25"/>
      <c r="C735" s="25"/>
      <c r="D735" s="26"/>
      <c r="E735" s="45">
        <v>18</v>
      </c>
      <c r="F735" s="29" t="e" cm="1">
        <f t="array" ref="F735">CHOOSE(GetCSVIndex(A2,87+7560)+1,"","Station","Block","","Delay")</f>
        <v>#VALUE!</v>
      </c>
      <c r="G735" s="29" t="str" cm="1">
        <f t="array" ref="G735">GetCSVIndex(A2,88+7560)</f>
        <v/>
      </c>
      <c r="H735" s="45" t="str" cm="1">
        <f t="array" ref="H735">GetCSVIndex(A2,268+7560)</f>
        <v/>
      </c>
      <c r="I735" s="29" t="str" cm="1">
        <f t="array" ref="I735">GetCSVIndex(A2,331+7560)</f>
        <v/>
      </c>
      <c r="J735" s="26"/>
      <c r="K735" s="45">
        <v>50</v>
      </c>
      <c r="L735" s="29" t="e" cm="1">
        <f t="array" ref="L735">CHOOSE(GetCSVIndex(A2,183+7560)+1,"","Station","Block","","Delay")</f>
        <v>#VALUE!</v>
      </c>
      <c r="M735" s="29" t="str" cm="1">
        <f t="array" ref="M735">GetCSVIndex(A2,184+7560)</f>
        <v/>
      </c>
      <c r="N735" s="27" t="str" cm="1">
        <f t="array" ref="N735">GetCSVIndex(A2,300+7560)</f>
        <v/>
      </c>
      <c r="O735" s="43" t="str" cm="1">
        <f t="array" ref="O735">GetCSVIndex(A2,363+7560)</f>
        <v/>
      </c>
    </row>
    <row r="736" spans="1:15" ht="21" customHeight="1" x14ac:dyDescent="0.25">
      <c r="A736" s="42"/>
      <c r="B736" s="25"/>
      <c r="C736" s="25"/>
      <c r="D736" s="26"/>
      <c r="E736" s="45">
        <v>19</v>
      </c>
      <c r="F736" s="29" t="e" cm="1">
        <f t="array" ref="F736">CHOOSE(GetCSVIndex(A2,90+7560)+1,"","Station","Block","","Delay")</f>
        <v>#VALUE!</v>
      </c>
      <c r="G736" s="29" t="str" cm="1">
        <f t="array" ref="G736">GetCSVIndex(A2,91+7560)</f>
        <v/>
      </c>
      <c r="H736" s="45" t="str" cm="1">
        <f t="array" ref="H736">GetCSVIndex(A2,269+7560)</f>
        <v/>
      </c>
      <c r="I736" s="29" t="str" cm="1">
        <f t="array" ref="I736">GetCSVIndex(A2,332+7560)</f>
        <v/>
      </c>
      <c r="J736" s="26"/>
      <c r="K736" s="45">
        <v>51</v>
      </c>
      <c r="L736" s="29" t="e" cm="1">
        <f t="array" ref="L736">CHOOSE(GetCSVIndex(A2,186+7560)+1,"","Station","Block","","Delay")</f>
        <v>#VALUE!</v>
      </c>
      <c r="M736" s="29" t="str" cm="1">
        <f t="array" ref="M736">GetCSVIndex(A2,187+7560)</f>
        <v/>
      </c>
      <c r="N736" s="27" t="str" cm="1">
        <f t="array" ref="N736">GetCSVIndex(A2,301+7560)</f>
        <v/>
      </c>
      <c r="O736" s="43" t="str" cm="1">
        <f t="array" ref="O736">GetCSVIndex(A2,364+7560)</f>
        <v/>
      </c>
    </row>
    <row r="737" spans="1:15" ht="21" customHeight="1" x14ac:dyDescent="0.25">
      <c r="A737" s="42"/>
      <c r="B737" s="25"/>
      <c r="C737" s="25"/>
      <c r="D737" s="26"/>
      <c r="E737" s="45">
        <v>20</v>
      </c>
      <c r="F737" s="29" t="e" cm="1">
        <f t="array" ref="F737">CHOOSE(GetCSVIndex(A2,93+7560)+1,"","Station","Block","","Delay")</f>
        <v>#VALUE!</v>
      </c>
      <c r="G737" s="29" t="str" cm="1">
        <f t="array" ref="G737">GetCSVIndex(A2,94+7560)</f>
        <v/>
      </c>
      <c r="H737" s="45" t="str" cm="1">
        <f t="array" ref="H737">GetCSVIndex(A2,270+7560)</f>
        <v/>
      </c>
      <c r="I737" s="29" t="str" cm="1">
        <f t="array" ref="I737">GetCSVIndex(A2,333+7560)</f>
        <v/>
      </c>
      <c r="J737" s="26"/>
      <c r="K737" s="45">
        <v>52</v>
      </c>
      <c r="L737" s="29" t="e" cm="1">
        <f t="array" ref="L737">CHOOSE(GetCSVIndex(A2,189+7560)+1,"","Station","Block","","Delay")</f>
        <v>#VALUE!</v>
      </c>
      <c r="M737" s="29" t="str" cm="1">
        <f t="array" ref="M737">GetCSVIndex(A2,190+7560)</f>
        <v/>
      </c>
      <c r="N737" s="27" t="str" cm="1">
        <f t="array" ref="N737">GetCSVIndex(A2,302+7560)</f>
        <v/>
      </c>
      <c r="O737" s="43" t="str" cm="1">
        <f t="array" ref="O737">GetCSVIndex(A2,365+7560)</f>
        <v/>
      </c>
    </row>
    <row r="738" spans="1:15" ht="21" customHeight="1" x14ac:dyDescent="0.25">
      <c r="A738" s="42"/>
      <c r="B738" s="25"/>
      <c r="C738" s="25"/>
      <c r="D738" s="26"/>
      <c r="E738" s="45">
        <v>21</v>
      </c>
      <c r="F738" s="29" t="e" cm="1">
        <f t="array" ref="F738">CHOOSE(GetCSVIndex(A2,96+7560)+1,"","Station","Block","","Delay")</f>
        <v>#VALUE!</v>
      </c>
      <c r="G738" s="29" t="str" cm="1">
        <f t="array" ref="G738">GetCSVIndex(A2,97+7560)</f>
        <v/>
      </c>
      <c r="H738" s="45" t="str" cm="1">
        <f t="array" ref="H738">GetCSVIndex(A2,271+7560)</f>
        <v/>
      </c>
      <c r="I738" s="29" t="str" cm="1">
        <f t="array" ref="I738">GetCSVIndex(A2,334+7560)</f>
        <v/>
      </c>
      <c r="J738" s="26"/>
      <c r="K738" s="45">
        <v>53</v>
      </c>
      <c r="L738" s="29" t="e" cm="1">
        <f t="array" ref="L738">CHOOSE(GetCSVIndex(A2,192+7560)+1,"","Station","Block","","Delay")</f>
        <v>#VALUE!</v>
      </c>
      <c r="M738" s="29" t="str" cm="1">
        <f t="array" ref="M738">GetCSVIndex(A2,193+7560)</f>
        <v/>
      </c>
      <c r="N738" s="27" t="str" cm="1">
        <f t="array" ref="N738">GetCSVIndex(A2,303+7560)</f>
        <v/>
      </c>
      <c r="O738" s="43" t="str" cm="1">
        <f t="array" ref="O738">GetCSVIndex(A2,366+7560)</f>
        <v/>
      </c>
    </row>
    <row r="739" spans="1:15" ht="21" customHeight="1" x14ac:dyDescent="0.25">
      <c r="A739" s="42"/>
      <c r="B739" s="25"/>
      <c r="C739" s="25"/>
      <c r="D739" s="26"/>
      <c r="E739" s="45">
        <v>22</v>
      </c>
      <c r="F739" s="29" t="e" cm="1">
        <f t="array" ref="F739">CHOOSE(GetCSVIndex(A2,99+7560)+1,"","Station","Block","","Delay")</f>
        <v>#VALUE!</v>
      </c>
      <c r="G739" s="29" t="str" cm="1">
        <f t="array" ref="G739">GetCSVIndex(A2,100+7560)</f>
        <v/>
      </c>
      <c r="H739" s="45" t="str" cm="1">
        <f t="array" ref="H739">GetCSVIndex(A2,272+7560)</f>
        <v/>
      </c>
      <c r="I739" s="29" t="str" cm="1">
        <f t="array" ref="I739">GetCSVIndex(A2,335+7560)</f>
        <v/>
      </c>
      <c r="J739" s="26"/>
      <c r="K739" s="45">
        <v>54</v>
      </c>
      <c r="L739" s="29" t="e" cm="1">
        <f t="array" ref="L739">CHOOSE(GetCSVIndex(A2,195+7560)+1,"","Station","Block","","Delay")</f>
        <v>#VALUE!</v>
      </c>
      <c r="M739" s="29" t="str" cm="1">
        <f t="array" ref="M739">GetCSVIndex(A2,196+7560)</f>
        <v/>
      </c>
      <c r="N739" s="27" t="str" cm="1">
        <f t="array" ref="N739">GetCSVIndex(A2,304+7560)</f>
        <v/>
      </c>
      <c r="O739" s="43" t="str" cm="1">
        <f t="array" ref="O739">GetCSVIndex(A2,367+7560)</f>
        <v/>
      </c>
    </row>
    <row r="740" spans="1:15" ht="21" customHeight="1" x14ac:dyDescent="0.25">
      <c r="A740" s="42"/>
      <c r="B740" s="25"/>
      <c r="C740" s="25"/>
      <c r="D740" s="26"/>
      <c r="E740" s="45">
        <v>23</v>
      </c>
      <c r="F740" s="29" t="e" cm="1">
        <f t="array" ref="F740">CHOOSE(GetCSVIndex(A2,102+7560)+1,"","Station","Block","","Delay")</f>
        <v>#VALUE!</v>
      </c>
      <c r="G740" s="29" t="str" cm="1">
        <f t="array" ref="G740">GetCSVIndex(A2,103+7560)</f>
        <v/>
      </c>
      <c r="H740" s="45" t="str" cm="1">
        <f t="array" ref="H740">GetCSVIndex(A2,273+7560)</f>
        <v/>
      </c>
      <c r="I740" s="29" t="str" cm="1">
        <f t="array" ref="I740">GetCSVIndex(A2,336+7560)</f>
        <v/>
      </c>
      <c r="J740" s="26"/>
      <c r="K740" s="45">
        <v>55</v>
      </c>
      <c r="L740" s="29" t="e" cm="1">
        <f t="array" ref="L740">CHOOSE(GetCSVIndex(A2,198+7560)+1,"","Station","Block","","Delay")</f>
        <v>#VALUE!</v>
      </c>
      <c r="M740" s="29" t="str" cm="1">
        <f t="array" ref="M740">GetCSVIndex(A2,199+7560)</f>
        <v/>
      </c>
      <c r="N740" s="27" t="str" cm="1">
        <f t="array" ref="N740">GetCSVIndex(A2,305+7560)</f>
        <v/>
      </c>
      <c r="O740" s="43" t="str" cm="1">
        <f t="array" ref="O740">GetCSVIndex(A2,368+7560)</f>
        <v/>
      </c>
    </row>
    <row r="741" spans="1:15" ht="21" customHeight="1" x14ac:dyDescent="0.25">
      <c r="A741" s="42"/>
      <c r="B741" s="25"/>
      <c r="C741" s="25"/>
      <c r="D741" s="26"/>
      <c r="E741" s="45">
        <v>24</v>
      </c>
      <c r="F741" s="29" t="e" cm="1">
        <f t="array" ref="F741">CHOOSE(GetCSVIndex(A2,105+7560)+1,"","Station","Block","","Delay")</f>
        <v>#VALUE!</v>
      </c>
      <c r="G741" s="29" t="str" cm="1">
        <f t="array" ref="G741">GetCSVIndex(A2,106+7560)</f>
        <v/>
      </c>
      <c r="H741" s="45" t="str" cm="1">
        <f t="array" ref="H741">GetCSVIndex(A2,274+7560)</f>
        <v/>
      </c>
      <c r="I741" s="29" t="str" cm="1">
        <f t="array" ref="I741">GetCSVIndex(A2,337+7560)</f>
        <v/>
      </c>
      <c r="J741" s="26"/>
      <c r="K741" s="45">
        <v>56</v>
      </c>
      <c r="L741" s="29" t="e" cm="1">
        <f t="array" ref="L741">CHOOSE(GetCSVIndex(A2,201+7560)+1,"","Station","Block","","Delay")</f>
        <v>#VALUE!</v>
      </c>
      <c r="M741" s="29" t="str" cm="1">
        <f t="array" ref="M741">GetCSVIndex(A2,202+7560)</f>
        <v/>
      </c>
      <c r="N741" s="27" t="str" cm="1">
        <f t="array" ref="N741">GetCSVIndex(A2,306+7560)</f>
        <v/>
      </c>
      <c r="O741" s="43" t="str" cm="1">
        <f t="array" ref="O741">GetCSVIndex(A2,369+7560)</f>
        <v/>
      </c>
    </row>
    <row r="742" spans="1:15" ht="21" customHeight="1" x14ac:dyDescent="0.25">
      <c r="A742" s="42"/>
      <c r="B742" s="25"/>
      <c r="C742" s="25"/>
      <c r="D742" s="26"/>
      <c r="E742" s="45">
        <v>25</v>
      </c>
      <c r="F742" s="29" t="e" cm="1">
        <f t="array" ref="F742">CHOOSE(GetCSVIndex(A2,108+7560)+1,"","Station","Block","","Delay")</f>
        <v>#VALUE!</v>
      </c>
      <c r="G742" s="29" t="str" cm="1">
        <f t="array" ref="G742">GetCSVIndex(A2,109+7560)</f>
        <v/>
      </c>
      <c r="H742" s="45" t="str" cm="1">
        <f t="array" ref="H742">GetCSVIndex(A2,275+7560)</f>
        <v/>
      </c>
      <c r="I742" s="29" t="str" cm="1">
        <f t="array" ref="I742">GetCSVIndex(A2,338+7560)</f>
        <v/>
      </c>
      <c r="J742" s="26"/>
      <c r="K742" s="45">
        <v>57</v>
      </c>
      <c r="L742" s="29" t="e" cm="1">
        <f t="array" ref="L742">CHOOSE(GetCSVIndex(A2,204+7560)+1,"","Station","Block","","Delay")</f>
        <v>#VALUE!</v>
      </c>
      <c r="M742" s="29" t="str" cm="1">
        <f t="array" ref="M742">GetCSVIndex(A2,205+7560)</f>
        <v/>
      </c>
      <c r="N742" s="27" t="str" cm="1">
        <f t="array" ref="N742">GetCSVIndex(A2,307+7560)</f>
        <v/>
      </c>
      <c r="O742" s="43" t="str" cm="1">
        <f t="array" ref="O742">GetCSVIndex(A2,370+7560)</f>
        <v/>
      </c>
    </row>
    <row r="743" spans="1:15" ht="21" customHeight="1" x14ac:dyDescent="0.25">
      <c r="A743" s="42"/>
      <c r="B743" s="25"/>
      <c r="C743" s="25"/>
      <c r="D743" s="26"/>
      <c r="E743" s="45">
        <v>26</v>
      </c>
      <c r="F743" s="29" t="e" cm="1">
        <f t="array" ref="F743">CHOOSE(GetCSVIndex(A2,111+7560)+1,"","Station","Block","","Delay")</f>
        <v>#VALUE!</v>
      </c>
      <c r="G743" s="29" t="str" cm="1">
        <f t="array" ref="G743">GetCSVIndex(A2,112+7560)</f>
        <v/>
      </c>
      <c r="H743" s="45" t="str" cm="1">
        <f t="array" ref="H743">GetCSVIndex(A2,276+7560)</f>
        <v/>
      </c>
      <c r="I743" s="29" t="str" cm="1">
        <f t="array" ref="I743">GetCSVIndex(A2,339+7560)</f>
        <v/>
      </c>
      <c r="J743" s="26"/>
      <c r="K743" s="45">
        <v>58</v>
      </c>
      <c r="L743" s="29" t="e" cm="1">
        <f t="array" ref="L743">CHOOSE(GetCSVIndex(A2,207+7560)+1,"","Station","Block","","Delay")</f>
        <v>#VALUE!</v>
      </c>
      <c r="M743" s="29" t="str" cm="1">
        <f t="array" ref="M743">GetCSVIndex(A2,208+7560)</f>
        <v/>
      </c>
      <c r="N743" s="27" t="str" cm="1">
        <f t="array" ref="N743">GetCSVIndex(A2,308+7560)</f>
        <v/>
      </c>
      <c r="O743" s="43" t="str" cm="1">
        <f t="array" ref="O743">GetCSVIndex(A2,371+7560)</f>
        <v/>
      </c>
    </row>
    <row r="744" spans="1:15" ht="21" customHeight="1" x14ac:dyDescent="0.25">
      <c r="A744" s="42"/>
      <c r="B744" s="25"/>
      <c r="C744" s="25"/>
      <c r="D744" s="26"/>
      <c r="E744" s="45">
        <v>27</v>
      </c>
      <c r="F744" s="29" t="e" cm="1">
        <f t="array" ref="F744">CHOOSE(GetCSVIndex(A2,114+7560)+1,"","Station","Block","","Delay")</f>
        <v>#VALUE!</v>
      </c>
      <c r="G744" s="29" t="str" cm="1">
        <f t="array" ref="G744">GetCSVIndex(A2,115+7560)</f>
        <v/>
      </c>
      <c r="H744" s="45" t="str" cm="1">
        <f t="array" ref="H744">GetCSVIndex(A2,277+7560)</f>
        <v/>
      </c>
      <c r="I744" s="29" t="str" cm="1">
        <f t="array" ref="I744">GetCSVIndex(A2,340+7560)</f>
        <v/>
      </c>
      <c r="J744" s="26"/>
      <c r="K744" s="45">
        <v>59</v>
      </c>
      <c r="L744" s="29" t="e" cm="1">
        <f t="array" ref="L744">CHOOSE(GetCSVIndex(A2,210+7560)+1,"","Station","Block","","Delay")</f>
        <v>#VALUE!</v>
      </c>
      <c r="M744" s="29" t="str" cm="1">
        <f t="array" ref="M744">GetCSVIndex(A2,211+7560)</f>
        <v/>
      </c>
      <c r="N744" s="27" t="str" cm="1">
        <f t="array" ref="N744">GetCSVIndex(A2,309+7560)</f>
        <v/>
      </c>
      <c r="O744" s="43" t="str" cm="1">
        <f t="array" ref="O744">GetCSVIndex(A2,372+7560)</f>
        <v/>
      </c>
    </row>
    <row r="745" spans="1:15" ht="21" customHeight="1" x14ac:dyDescent="0.25">
      <c r="A745" s="42"/>
      <c r="B745" s="25"/>
      <c r="C745" s="25"/>
      <c r="D745" s="26"/>
      <c r="E745" s="45">
        <v>28</v>
      </c>
      <c r="F745" s="29" t="e" cm="1">
        <f t="array" ref="F745">CHOOSE(GetCSVIndex(A2,117+7560)+1,"","Station","Block","","Delay")</f>
        <v>#VALUE!</v>
      </c>
      <c r="G745" s="29" t="str" cm="1">
        <f t="array" ref="G745">GetCSVIndex(A2,118+7560)</f>
        <v/>
      </c>
      <c r="H745" s="45" t="str" cm="1">
        <f t="array" ref="H745">GetCSVIndex(A2,278+7560)</f>
        <v/>
      </c>
      <c r="I745" s="29" t="str" cm="1">
        <f t="array" ref="I745">GetCSVIndex(A2,341+7560)</f>
        <v/>
      </c>
      <c r="J745" s="26"/>
      <c r="K745" s="45">
        <v>60</v>
      </c>
      <c r="L745" s="29" t="e" cm="1">
        <f t="array" ref="L745">CHOOSE(GetCSVIndex(A2,213+7560)+1,"","Station","Block","","Delay")</f>
        <v>#VALUE!</v>
      </c>
      <c r="M745" s="29" t="str" cm="1">
        <f t="array" ref="M745">GetCSVIndex(A2,214+7560)</f>
        <v/>
      </c>
      <c r="N745" s="27" t="str" cm="1">
        <f t="array" ref="N745">GetCSVIndex(A2,310+7560)</f>
        <v/>
      </c>
      <c r="O745" s="43" t="str" cm="1">
        <f t="array" ref="O745">GetCSVIndex(A2,373+7560)</f>
        <v/>
      </c>
    </row>
    <row r="746" spans="1:15" ht="21" customHeight="1" x14ac:dyDescent="0.25">
      <c r="A746" s="42"/>
      <c r="B746" s="25"/>
      <c r="C746" s="25"/>
      <c r="D746" s="26"/>
      <c r="E746" s="45">
        <v>29</v>
      </c>
      <c r="F746" s="29" t="e" cm="1">
        <f t="array" ref="F746">CHOOSE(GetCSVIndex(A2,120+7560)+1,"","Station","Block","","Delay")</f>
        <v>#VALUE!</v>
      </c>
      <c r="G746" s="29" t="str" cm="1">
        <f t="array" ref="G746">GetCSVIndex(A2,121+7560)</f>
        <v/>
      </c>
      <c r="H746" s="45" t="str" cm="1">
        <f t="array" ref="H746">GetCSVIndex(A2,279+7560)</f>
        <v/>
      </c>
      <c r="I746" s="29" t="str" cm="1">
        <f t="array" ref="I746">GetCSVIndex(A2,342+7560)</f>
        <v/>
      </c>
      <c r="J746" s="26"/>
      <c r="K746" s="45">
        <v>61</v>
      </c>
      <c r="L746" s="29" t="e" cm="1">
        <f t="array" ref="L746">CHOOSE(GetCSVIndex(A2,216+7560)+1,"","Station","Block","","Delay")</f>
        <v>#VALUE!</v>
      </c>
      <c r="M746" s="29" t="str" cm="1">
        <f t="array" ref="M746">GetCSVIndex(A2,217+7560)</f>
        <v/>
      </c>
      <c r="N746" s="27" t="str" cm="1">
        <f t="array" ref="N746">GetCSVIndex(A2,311+7560)</f>
        <v/>
      </c>
      <c r="O746" s="43" t="str" cm="1">
        <f t="array" ref="O746">GetCSVIndex(A2,374+7560)</f>
        <v/>
      </c>
    </row>
    <row r="747" spans="1:15" ht="21" customHeight="1" x14ac:dyDescent="0.25">
      <c r="A747" s="42"/>
      <c r="B747" s="25"/>
      <c r="C747" s="25"/>
      <c r="D747" s="26"/>
      <c r="E747" s="45">
        <v>30</v>
      </c>
      <c r="F747" s="29" t="e" cm="1">
        <f t="array" ref="F747">CHOOSE(GetCSVIndex(A2,123+7560)+1,"","Station","Block","","Delay")</f>
        <v>#VALUE!</v>
      </c>
      <c r="G747" s="29" t="str" cm="1">
        <f t="array" ref="G747">GetCSVIndex(A2,124+7560)</f>
        <v/>
      </c>
      <c r="H747" s="45" t="str" cm="1">
        <f t="array" ref="H747">GetCSVIndex(A2,280+7560)</f>
        <v/>
      </c>
      <c r="I747" s="29" t="str" cm="1">
        <f t="array" ref="I747">GetCSVIndex(A2,343+7560)</f>
        <v/>
      </c>
      <c r="J747" s="26"/>
      <c r="K747" s="45">
        <v>62</v>
      </c>
      <c r="L747" s="29" t="e" cm="1">
        <f t="array" ref="L747">CHOOSE(GetCSVIndex(A2,219+7560)+1,"","Station","Block","","Delay")</f>
        <v>#VALUE!</v>
      </c>
      <c r="M747" s="29" t="str" cm="1">
        <f t="array" ref="M747">GetCSVIndex(A2,220+7560)</f>
        <v/>
      </c>
      <c r="N747" s="27" t="str" cm="1">
        <f t="array" ref="N747">GetCSVIndex(A2,312+7560)</f>
        <v/>
      </c>
      <c r="O747" s="43" t="str" cm="1">
        <f t="array" ref="O747">GetCSVIndex(A2,375+7560)</f>
        <v/>
      </c>
    </row>
    <row r="748" spans="1:15" ht="21" customHeight="1" x14ac:dyDescent="0.25">
      <c r="A748" s="42"/>
      <c r="B748" s="25"/>
      <c r="C748" s="25"/>
      <c r="D748" s="26"/>
      <c r="E748" s="45">
        <v>31</v>
      </c>
      <c r="F748" s="29" t="e" cm="1">
        <f t="array" ref="F748">CHOOSE(GetCSVIndex(A2,126+7560)+1,"","Station","Block","","Delay")</f>
        <v>#VALUE!</v>
      </c>
      <c r="G748" s="29" t="str" cm="1">
        <f t="array" ref="G748">GetCSVIndex(A2,127+7560)</f>
        <v/>
      </c>
      <c r="H748" s="45" t="str" cm="1">
        <f t="array" ref="H748">GetCSVIndex(A2,281+7560)</f>
        <v/>
      </c>
      <c r="I748" s="29" t="str" cm="1">
        <f t="array" ref="I748">GetCSVIndex(A2,344+7560)</f>
        <v/>
      </c>
      <c r="J748" s="26"/>
      <c r="K748" s="45">
        <v>63</v>
      </c>
      <c r="L748" s="29" t="e" cm="1">
        <f t="array" ref="L748">CHOOSE(GetCSVIndex(A2,222+7560)+1,"","Station","Block","","Delay")</f>
        <v>#VALUE!</v>
      </c>
      <c r="M748" s="29" t="str" cm="1">
        <f t="array" ref="M748">GetCSVIndex(A2,223+7560)</f>
        <v/>
      </c>
      <c r="N748" s="27" t="str" cm="1">
        <f t="array" ref="N748">GetCSVIndex(A2,313+7560)</f>
        <v/>
      </c>
      <c r="O748" s="43" t="str" cm="1">
        <f t="array" ref="O748">GetCSVIndex(A2,376+7560)</f>
        <v/>
      </c>
    </row>
    <row r="749" spans="1:15" ht="21" customHeight="1" x14ac:dyDescent="0.25">
      <c r="A749" s="37"/>
      <c r="B749" s="28"/>
      <c r="C749" s="29"/>
      <c r="D749" s="29"/>
      <c r="E749" s="45">
        <v>32</v>
      </c>
      <c r="F749" s="29" t="e" cm="1">
        <f t="array" ref="F749">CHOOSE(GetCSVIndex(A2,129+7560)+1,"","Station","Block","","Delay")</f>
        <v>#VALUE!</v>
      </c>
      <c r="G749" s="29" t="str" cm="1">
        <f t="array" ref="G749">GetCSVIndex(A2,130+7560)</f>
        <v/>
      </c>
      <c r="H749" s="45" t="str" cm="1">
        <f t="array" ref="H749">GetCSVIndex(A2,282+7560)</f>
        <v/>
      </c>
      <c r="I749" s="29" t="str" cm="1">
        <f t="array" ref="I749">GetCSVIndex(A2,345+7560)</f>
        <v/>
      </c>
      <c r="J749" s="29"/>
      <c r="K749" s="45">
        <v>64</v>
      </c>
      <c r="L749" s="29" t="e" cm="1">
        <f t="array" ref="L749">CHOOSE(GetCSVIndex(A2,225+7560)+1,"","Station","Block","","Delay")</f>
        <v>#VALUE!</v>
      </c>
      <c r="M749" s="29" t="str" cm="1">
        <f t="array" ref="M749">GetCSVIndex(A2,226+7560)</f>
        <v/>
      </c>
      <c r="N749" s="27" t="str" cm="1">
        <f t="array" ref="N749">GetCSVIndex(A2,314+7560)</f>
        <v/>
      </c>
      <c r="O749" s="43" t="str" cm="1">
        <f t="array" ref="O749">GetCSVIndex(A2,377+7560)</f>
        <v/>
      </c>
    </row>
    <row r="750" spans="1:15" ht="23.25" customHeight="1" x14ac:dyDescent="0.25">
      <c r="A750" s="51" t="str" cm="1">
        <f t="array" ref="A750">CONCATENATE("Schedule  Program Number : ", GetCSVIndex(A2,5+7938))</f>
        <v xml:space="preserve">Schedule  Program Number : </v>
      </c>
      <c r="B750" s="52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3"/>
    </row>
    <row r="751" spans="1:15" ht="21" customHeight="1" x14ac:dyDescent="0.25">
      <c r="A751" s="20" t="s">
        <v>44</v>
      </c>
      <c r="B751" s="22" t="str" cm="1">
        <f t="array" ref="B751">GetCSVIndex(A2,5+7938)</f>
        <v/>
      </c>
      <c r="C751" s="18"/>
      <c r="D751" s="18"/>
      <c r="E751" s="18"/>
      <c r="F751" s="18"/>
      <c r="G751" s="18" t="s">
        <v>19</v>
      </c>
      <c r="H751" s="18" t="e" cm="1">
        <f t="array" ref="H751">CHOOSE(GetCSVIndex(A2,7+7938)+1, "Days of Week", "Odd/Even", "Interval","Manual")</f>
        <v>#VALUE!</v>
      </c>
      <c r="I751" s="18"/>
      <c r="J751" s="15"/>
      <c r="K751" s="15"/>
      <c r="L751" s="15"/>
      <c r="M751" s="15"/>
      <c r="N751" s="15"/>
      <c r="O751" s="16"/>
    </row>
    <row r="752" spans="1:15" ht="18" customHeight="1" x14ac:dyDescent="0.25">
      <c r="A752" s="21" t="s">
        <v>20</v>
      </c>
      <c r="B752" s="19" t="e" cm="1">
        <f t="array" ref="B752">CHOOSE(GetCSVIndex(A2,24+7938)+1, "Program", "Global", "Monthly","Solar Sync")</f>
        <v>#VALUE!</v>
      </c>
      <c r="C752" s="19"/>
      <c r="D752" s="19"/>
      <c r="E752" s="19"/>
      <c r="F752" s="19" t="s">
        <v>21</v>
      </c>
      <c r="G752" s="19" t="e" cm="1">
        <f t="array" ref="G752">IF(CHOOSE(GetCSVIndex(A2,7+7938)+1,IF(_xlfn.BITAND(GetCSVIndex(A2,8+7938), 2^0)=0, 0, 1),IF(_xlfn.BITAND(GetCSVIndex(A2,9+7938), 2^0)=0, 0, 1),IF(_xlfn.BITAND(GetCSVIndex(A2,10+7938), 2^0)=0, 0, 1)) =1,"Mon","")</f>
        <v>#VALUE!</v>
      </c>
      <c r="H752" s="19" t="e" cm="1">
        <f t="array" ref="H752">CONCATENATE(IF(CHOOSE(GetCSVIndex(A2,7+7938)+1,IF(_xlfn.BITAND(GetCSVIndex(A2,8+7938), 2^1)=0, 0, 1),IF(_xlfn.BITAND(GetCSVIndex(A2,9+7938), 2^1)=0, 0, 1),IF(_xlfn.BITAND(GetCSVIndex(A2,10+7938), 2^1)=0, 0, 1)) =1,"Tue       ","       "),IF(CHOOSE(GetCSVIndex(A2,7+7938)+1,IF(_xlfn.BITAND(GetCSVIndex(A2,8+7938), 2^2)=0, 0, 1),IF(_xlfn.BITAND(GetCSVIndex(A2,9+7938), 2^2)=0, 0, 1),IF(_xlfn.BITAND(GetCSVIndex(A2,10+7938), 2^2)=0, 0, 1)) =1,"Wed",""),IF(CHOOSE(GetCSVIndex(A2,7+7938)+1,IF(_xlfn.BITAND(GetCSVIndex(A2,8+7938), 2^3)=0, 0, 1),IF(_xlfn.BITAND(GetCSVIndex(A2,9+7938), 2^3)=0, 0, 1),IF(_xlfn.BITAND(GetCSVIndex(A2,10+7938), 2^3)=0, 0, 1)) =1,"       Thu","       "))</f>
        <v>#VALUE!</v>
      </c>
      <c r="I752" s="32" t="e" cm="1">
        <f t="array" ref="I752">CONCATENATE(IF(CHOOSE(GetCSVIndex(A2,7+7938)+1,IF(_xlfn.BITAND(GetCSVIndex(A2,8+7938), 2^4)=0, 0, 1),IF(_xlfn.BITAND(GetCSVIndex(A2,9+7938), 2^4)=0, 0, 1),IF(_xlfn.BITAND(GetCSVIndex(A2,10+7938), 2^4)=0, 0, 1)) =1,"Fri       ","       "),IF(CHOOSE(GetCSVIndex(A2,7+7938)+1,IF(_xlfn.BITAND(GetCSVIndex(A2,8+7938), 2^5)=0, 0, 1),IF(_xlfn.BITAND(GetCSVIndex(A2,9+7938), 2^5)=0, 0, 1),IF(_xlfn.BITAND(GetCSVIndex(A2,10+7938), 2^5)=0, 0, 1)) =1,"Sat",""),IF(CHOOSE(GetCSVIndex(A2,7+7938)+1,IF(_xlfn.BITAND(GetCSVIndex(A2,8+7938), 2^6)=0, 0, 1),IF(_xlfn.BITAND(GetCSVIndex(A2,9+7938), 2^6)=0, 0, 1),IF(_xlfn.BITAND(GetCSVIndex(A2,10+7938), 2^6)=0, 0, 1)) =1,"       Sun","       "))</f>
        <v>#VALUE!</v>
      </c>
      <c r="J752" s="19"/>
      <c r="K752" s="19"/>
      <c r="L752" s="32" t="s">
        <v>22</v>
      </c>
      <c r="M752" s="19"/>
      <c r="N752" s="19" t="str" cm="1">
        <f t="array" ref="N752">IF(GetCSVIndex(A2,26+7938)="1","Enable","Disable")</f>
        <v>Disable</v>
      </c>
      <c r="O752" s="24"/>
    </row>
    <row r="753" spans="1:15" ht="18" customHeight="1" x14ac:dyDescent="0.25">
      <c r="A753" s="21" t="str" cm="1">
        <f t="array" ref="A753">CONCATENATE("Program ", GetCSVIndex(A2,5+7938))</f>
        <v xml:space="preserve">Program </v>
      </c>
      <c r="B753" s="23" t="str" cm="1">
        <f t="array" ref="B753">CONCATENATE(GetCSVIndex(A2,25+7938)," %")</f>
        <v xml:space="preserve"> %</v>
      </c>
      <c r="C753" s="19"/>
      <c r="D753" s="19"/>
      <c r="E753" s="19"/>
      <c r="F753" s="19" t="str" cm="1">
        <f t="array" ref="F753">IF(GetCSVIndex(A2,7)="2","Water Every"," ")</f>
        <v xml:space="preserve"> </v>
      </c>
      <c r="G753" s="47" t="str" cm="1">
        <f t="array" ref="G753">IF(GetCSVIndex(A2,7+7938)="2",GetCSVIndex(A2,11+7938)," ")</f>
        <v xml:space="preserve"> </v>
      </c>
      <c r="H753" s="19" t="str" cm="1">
        <f t="array" ref="H753">IF(GetCSVIndex(A2,7+7938)="2","Days"," ")</f>
        <v xml:space="preserve"> </v>
      </c>
      <c r="I753" s="32" t="str" cm="1">
        <f t="array" ref="I753">IF(GetCSVIndex(A2,7+7938)="2","Water After"," ")</f>
        <v xml:space="preserve"> </v>
      </c>
      <c r="J753" s="19"/>
      <c r="K753" s="19" t="str" cm="1">
        <f t="array" ref="K753">IF(GetCSVIndex(A2,7+7938)="2",GetCSVIndex(A2,12+7938)," ")</f>
        <v xml:space="preserve"> </v>
      </c>
      <c r="L753" s="47" t="str" cm="1">
        <f t="array" ref="L753">IF(GetCSVIndex(A2,7+7938)="2","Days"," ")</f>
        <v xml:space="preserve"> </v>
      </c>
      <c r="M753" s="32"/>
      <c r="N753" s="32"/>
      <c r="O753" s="24"/>
    </row>
    <row r="754" spans="1:15" ht="21" customHeight="1" x14ac:dyDescent="0.25">
      <c r="A754" s="20" t="s">
        <v>23</v>
      </c>
      <c r="B754" s="18" t="s">
        <v>24</v>
      </c>
      <c r="C754" s="18" t="str" cm="1">
        <f t="array" ref="C754">CHOOSE(GetCSVIndex(A2,13)+1, "Auto", "Start to End","Manual")</f>
        <v>Start to End</v>
      </c>
      <c r="D754" s="31"/>
      <c r="E754" s="17" t="s">
        <v>38</v>
      </c>
      <c r="F754" s="18" t="s">
        <v>39</v>
      </c>
      <c r="G754" s="18" t="s">
        <v>40</v>
      </c>
      <c r="H754" s="18" t="s">
        <v>41</v>
      </c>
      <c r="I754" s="18" t="s">
        <v>43</v>
      </c>
      <c r="J754" s="31"/>
      <c r="K754" s="17" t="s">
        <v>38</v>
      </c>
      <c r="L754" s="18" t="s">
        <v>39</v>
      </c>
      <c r="M754" s="18" t="s">
        <v>40</v>
      </c>
      <c r="N754" s="22" t="s">
        <v>41</v>
      </c>
      <c r="O754" s="44" t="s">
        <v>42</v>
      </c>
    </row>
    <row r="755" spans="1:15" ht="21" customHeight="1" x14ac:dyDescent="0.25">
      <c r="A755" s="36" t="s">
        <v>25</v>
      </c>
      <c r="B755" s="46" t="str" cm="1">
        <f t="array" ref="B755">IF(GetCSVIndex(A2,6+7938)="1","Over","Stack")</f>
        <v>Stack</v>
      </c>
      <c r="C755" s="26" t="str" cm="1">
        <f t="array" ref="C755">GetCSVIndex(A2,29+7938)</f>
        <v/>
      </c>
      <c r="D755" s="25"/>
      <c r="E755" s="45">
        <v>1</v>
      </c>
      <c r="F755" s="29" t="e" cm="1">
        <f t="array" ref="F755">CHOOSE(GetCSVIndex(A2,36+7938)+1,"","Station","Block","","Delay")</f>
        <v>#VALUE!</v>
      </c>
      <c r="G755" s="29" t="str" cm="1">
        <f t="array" ref="G755">GetCSVIndex(A2,37+7938)</f>
        <v/>
      </c>
      <c r="H755" s="45" t="str" cm="1">
        <f t="array" ref="H755">GetCSVIndex(A2,3+7938)</f>
        <v/>
      </c>
      <c r="I755" s="29" t="str" cm="1">
        <f t="array" ref="I755">GetCSVIndex(A2,1+7938)</f>
        <v/>
      </c>
      <c r="J755" s="25"/>
      <c r="K755" s="45">
        <v>33</v>
      </c>
      <c r="L755" s="29" t="e" cm="1">
        <f t="array" ref="L755">CHOOSE(GetCSVIndex(A2,132+7938)+1,"","Station","Block","","Delay")</f>
        <v>#VALUE!</v>
      </c>
      <c r="M755" s="29" t="str" cm="1">
        <f t="array" ref="M755">GetCSVIndex(A2,133+7938)</f>
        <v/>
      </c>
      <c r="N755" s="27" t="str" cm="1">
        <f t="array" ref="N755">GetCSVIndex(A2,283+7938)</f>
        <v/>
      </c>
      <c r="O755" s="43" t="str" cm="1">
        <f t="array" ref="O755">GetCSVIndex(A2,346+7938)</f>
        <v/>
      </c>
    </row>
    <row r="756" spans="1:15" ht="21" customHeight="1" x14ac:dyDescent="0.25">
      <c r="A756" s="36" t="s">
        <v>26</v>
      </c>
      <c r="B756" s="25" t="str" cm="1">
        <f t="array" ref="B756">IF(GetCSVIndex(A2,2+7938)="1092:15","Not Set",CONCATENATE("From     ",GetCSVIndex(A2,2+7938)))</f>
        <v xml:space="preserve">From     </v>
      </c>
      <c r="C756" s="26" t="str" cm="1">
        <f t="array" ref="C756">IF(GetCSVIndex(C4,1+40)="1092:15","Not Set",CONCATENATE("To     ",GetCSVIndex(C4,1+40)))</f>
        <v xml:space="preserve">To     </v>
      </c>
      <c r="D756" s="25"/>
      <c r="E756" s="45">
        <v>2</v>
      </c>
      <c r="F756" s="29" t="e" cm="1">
        <f t="array" ref="F756">CHOOSE(GetCSVIndex(A2,39+7938)+1,"","Station","Block","","Delay")</f>
        <v>#VALUE!</v>
      </c>
      <c r="G756" s="29" t="str" cm="1">
        <f t="array" ref="G756">GetCSVIndex(A2,40+7938)</f>
        <v/>
      </c>
      <c r="H756" s="45" t="str" cm="1">
        <f t="array" ref="H756">GetCSVIndex(A2,252+7938)</f>
        <v/>
      </c>
      <c r="I756" s="29" t="str" cm="1">
        <f t="array" ref="I756">GetCSVIndex(A2,315+7938)</f>
        <v/>
      </c>
      <c r="J756" s="25"/>
      <c r="K756" s="45">
        <v>34</v>
      </c>
      <c r="L756" s="29" t="e" cm="1">
        <f t="array" ref="L756">CHOOSE(GetCSVIndex(A2,135+7938)+1,"","Station","Block","","Delay")</f>
        <v>#VALUE!</v>
      </c>
      <c r="M756" s="29" t="str" cm="1">
        <f t="array" ref="M756">GetCSVIndex(A2,136+7938)</f>
        <v/>
      </c>
      <c r="N756" s="27" t="str" cm="1">
        <f t="array" ref="N756">GetCSVIndex(A2,284+7938)</f>
        <v/>
      </c>
      <c r="O756" s="43" t="str" cm="1">
        <f t="array" ref="O756">GetCSVIndex(A2,347+7938)</f>
        <v/>
      </c>
    </row>
    <row r="757" spans="1:15" ht="21" customHeight="1" x14ac:dyDescent="0.25">
      <c r="A757" s="36" t="s">
        <v>27</v>
      </c>
      <c r="B757" s="25"/>
      <c r="C757" s="26" t="str" cm="1">
        <f t="array" ref="C757">CONCATENATE(GetCSVIndex(A2,249+7938),":", GetCSVIndex(A2,250+7938),":", GetCSVIndex(A2,251+7938))</f>
        <v>::</v>
      </c>
      <c r="D757" s="26"/>
      <c r="E757" s="45">
        <v>3</v>
      </c>
      <c r="F757" s="29" t="e" cm="1">
        <f t="array" ref="F757">CHOOSE(GetCSVIndex(A2,42+7938)+1,"","Station","Block","","Delay")</f>
        <v>#VALUE!</v>
      </c>
      <c r="G757" s="29" t="str" cm="1">
        <f t="array" ref="G757">GetCSVIndex(A2,43+7938)</f>
        <v/>
      </c>
      <c r="H757" s="45" t="str" cm="1">
        <f t="array" ref="H757">GetCSVIndex(A2,253+7938)</f>
        <v/>
      </c>
      <c r="I757" s="29" t="str" cm="1">
        <f t="array" ref="I757">GetCSVIndex(A2,316+7938)</f>
        <v/>
      </c>
      <c r="J757" s="25"/>
      <c r="K757" s="45">
        <v>35</v>
      </c>
      <c r="L757" s="29" t="e" cm="1">
        <f t="array" ref="L757">CHOOSE(GetCSVIndex(A2,138+7938)+1,"","Station","Block","","Delay")</f>
        <v>#VALUE!</v>
      </c>
      <c r="M757" s="29" t="str" cm="1">
        <f t="array" ref="M757">GetCSVIndex(A2,139+7938)</f>
        <v/>
      </c>
      <c r="N757" s="27" t="str" cm="1">
        <f t="array" ref="N757">GetCSVIndex(A2,285+7938)</f>
        <v/>
      </c>
      <c r="O757" s="43" t="str" cm="1">
        <f t="array" ref="O757">GetCSVIndex(A2,348+7938)</f>
        <v/>
      </c>
    </row>
    <row r="758" spans="1:15" ht="21" customHeight="1" x14ac:dyDescent="0.25">
      <c r="A758" s="36"/>
      <c r="B758" s="25"/>
      <c r="C758" s="25"/>
      <c r="D758" s="25"/>
      <c r="E758" s="45">
        <v>4</v>
      </c>
      <c r="F758" s="29" t="e" cm="1">
        <f t="array" ref="F758">CHOOSE(GetCSVIndex(A2,45+7938)+1,"","Station","Block","","Delay")</f>
        <v>#VALUE!</v>
      </c>
      <c r="G758" s="29" t="str" cm="1">
        <f t="array" ref="G758">GetCSVIndex(A2,46+7938)</f>
        <v/>
      </c>
      <c r="H758" s="45" t="str" cm="1">
        <f t="array" ref="H758">GetCSVIndex(A2,254+7938)</f>
        <v/>
      </c>
      <c r="I758" s="29" t="str" cm="1">
        <f t="array" ref="I758">GetCSVIndex(A2,317+7938)</f>
        <v/>
      </c>
      <c r="J758" s="25"/>
      <c r="K758" s="45">
        <v>36</v>
      </c>
      <c r="L758" s="29" t="e" cm="1">
        <f t="array" ref="L758">CHOOSE(GetCSVIndex(A2,141+7938)+1,"","Station","Block","","Delay")</f>
        <v>#VALUE!</v>
      </c>
      <c r="M758" s="29" t="str" cm="1">
        <f t="array" ref="M758">GetCSVIndex(A2,142+7938)</f>
        <v/>
      </c>
      <c r="N758" s="27" t="str" cm="1">
        <f t="array" ref="N758">GetCSVIndex(A2,286+7938)</f>
        <v/>
      </c>
      <c r="O758" s="43" t="str" cm="1">
        <f t="array" ref="O758">GetCSVIndex(A2,349+7938)</f>
        <v/>
      </c>
    </row>
    <row r="759" spans="1:15" ht="21" customHeight="1" x14ac:dyDescent="0.25">
      <c r="A759" s="37" t="s">
        <v>28</v>
      </c>
      <c r="B759" s="28"/>
      <c r="C759" s="29" t="str" cm="1">
        <f t="array" ref="C759">IF(GetCSVIndex(A2,14+7938)&lt;&gt;"65535",CONCATENATE(GetCSVIndex(A2,229+7938),":", GetCSVIndex(A2,239+7938)),"OFF")</f>
        <v>:</v>
      </c>
      <c r="D759" s="25"/>
      <c r="E759" s="45">
        <v>5</v>
      </c>
      <c r="F759" s="29" t="e" cm="1">
        <f t="array" ref="F759">CHOOSE(GetCSVIndex(A2,48+7938)+1,"","Station","Block","","Delay")</f>
        <v>#VALUE!</v>
      </c>
      <c r="G759" s="29" t="str" cm="1">
        <f t="array" ref="G759">GetCSVIndex(A2,49+7938)</f>
        <v/>
      </c>
      <c r="H759" s="45" t="str" cm="1">
        <f t="array" ref="H759">GetCSVIndex(A2,255+7938)</f>
        <v/>
      </c>
      <c r="I759" s="29" t="str" cm="1">
        <f t="array" ref="I759">GetCSVIndex(A2,318+7938)</f>
        <v/>
      </c>
      <c r="J759" s="25"/>
      <c r="K759" s="45">
        <v>37</v>
      </c>
      <c r="L759" s="29" t="e" cm="1">
        <f t="array" ref="L759">CHOOSE(GetCSVIndex(A2,144+7938)+1,"","Station","Block","","Delay")</f>
        <v>#VALUE!</v>
      </c>
      <c r="M759" s="29" t="str" cm="1">
        <f t="array" ref="M759">GetCSVIndex(A2,145+7938)</f>
        <v/>
      </c>
      <c r="N759" s="27" t="str" cm="1">
        <f t="array" ref="N759">GetCSVIndex(A2,287+7938)</f>
        <v/>
      </c>
      <c r="O759" s="43" t="str" cm="1">
        <f t="array" ref="O759">GetCSVIndex(A2,350+7938)</f>
        <v/>
      </c>
    </row>
    <row r="760" spans="1:15" ht="21" customHeight="1" x14ac:dyDescent="0.25">
      <c r="A760" s="38" t="s">
        <v>29</v>
      </c>
      <c r="B760" s="30"/>
      <c r="C760" s="29" t="str" cm="1">
        <f t="array" ref="C760">IF(GetCSVIndex(A2,15+7938)&lt;&gt;"65535",CONCATENATE(GetCSVIndex(A2,231+7938),":", GetCSVIndex(A2,241+7938)),"OFF")</f>
        <v>:</v>
      </c>
      <c r="D760" s="25"/>
      <c r="E760" s="45">
        <v>6</v>
      </c>
      <c r="F760" s="29" t="e" cm="1">
        <f t="array" ref="F760">CHOOSE(GetCSVIndex(A2,51+7938)+1,"","Station","Block","","Delay")</f>
        <v>#VALUE!</v>
      </c>
      <c r="G760" s="29" t="str" cm="1">
        <f t="array" ref="G760">GetCSVIndex(A2,52+7938)</f>
        <v/>
      </c>
      <c r="H760" s="45" t="str" cm="1">
        <f t="array" ref="H760">GetCSVIndex(A2,256+7938)</f>
        <v/>
      </c>
      <c r="I760" s="29" t="str" cm="1">
        <f t="array" ref="I760">GetCSVIndex(A2,319+7938)</f>
        <v/>
      </c>
      <c r="J760" s="25"/>
      <c r="K760" s="45">
        <v>38</v>
      </c>
      <c r="L760" s="29" t="e" cm="1">
        <f t="array" ref="L760">CHOOSE(GetCSVIndex(A2,147+7938)+1,"","Station","Block","","Delay")</f>
        <v>#VALUE!</v>
      </c>
      <c r="M760" s="29" t="str" cm="1">
        <f t="array" ref="M760">GetCSVIndex(A2,148+7938)</f>
        <v/>
      </c>
      <c r="N760" s="27" t="str" cm="1">
        <f t="array" ref="N760">GetCSVIndex(A2,288+7938)</f>
        <v/>
      </c>
      <c r="O760" s="43" t="str" cm="1">
        <f t="array" ref="O760">GetCSVIndex(A2,351+7938)</f>
        <v/>
      </c>
    </row>
    <row r="761" spans="1:15" ht="21" customHeight="1" x14ac:dyDescent="0.25">
      <c r="A761" s="38" t="s">
        <v>30</v>
      </c>
      <c r="B761" s="30"/>
      <c r="C761" s="29" t="str" cm="1">
        <f t="array" ref="C761">IF(GetCSVIndex(A2,16+7938)&lt;&gt;"65535",CONCATENATE(GetCSVIndex(A2,232+7938),":", GetCSVIndex(A2,242+7938)),"OFF")</f>
        <v>:</v>
      </c>
      <c r="D761" s="25"/>
      <c r="E761" s="45">
        <v>7</v>
      </c>
      <c r="F761" s="29" t="e" cm="1">
        <f t="array" ref="F761">CHOOSE(GetCSVIndex(A2,54+7938)+1,"","Station","Block","","Delay")</f>
        <v>#VALUE!</v>
      </c>
      <c r="G761" s="29" t="str" cm="1">
        <f t="array" ref="G761">GetCSVIndex(A2,55+7938)</f>
        <v/>
      </c>
      <c r="H761" s="45" t="str" cm="1">
        <f t="array" ref="H761">GetCSVIndex(A2,257+7938)</f>
        <v/>
      </c>
      <c r="I761" s="29" t="str" cm="1">
        <f t="array" ref="I761">GetCSVIndex(A2,320+7938)</f>
        <v/>
      </c>
      <c r="J761" s="25"/>
      <c r="K761" s="45">
        <v>39</v>
      </c>
      <c r="L761" s="29" t="e" cm="1">
        <f t="array" ref="L761">CHOOSE(GetCSVIndex(A2,150+7938)+1,"","Station","Block","","Delay")</f>
        <v>#VALUE!</v>
      </c>
      <c r="M761" s="29" t="str" cm="1">
        <f t="array" ref="M761">GetCSVIndex(A2,151+7938)</f>
        <v/>
      </c>
      <c r="N761" s="27" t="str" cm="1">
        <f t="array" ref="N761">GetCSVIndex(A2,289+7938)</f>
        <v/>
      </c>
      <c r="O761" s="43" t="str" cm="1">
        <f t="array" ref="O761">GetCSVIndex(A2,352+7938)</f>
        <v/>
      </c>
    </row>
    <row r="762" spans="1:15" ht="21" customHeight="1" x14ac:dyDescent="0.25">
      <c r="A762" s="38" t="s">
        <v>31</v>
      </c>
      <c r="B762" s="30"/>
      <c r="C762" s="29" t="str" cm="1">
        <f t="array" ref="C762">IF(GetCSVIndex(A2,17+7938)&lt;&gt;"65535",CONCATENATE(GetCSVIndex(A2,233+7938),":", GetCSVIndex(A2,243+7938)),"OFF")</f>
        <v>:</v>
      </c>
      <c r="D762" s="25"/>
      <c r="E762" s="45">
        <v>8</v>
      </c>
      <c r="F762" s="29" t="e" cm="1">
        <f t="array" ref="F762">CHOOSE(GetCSVIndex(A2,57+7938)+1,"","Station","Block","","Delay")</f>
        <v>#VALUE!</v>
      </c>
      <c r="G762" s="29" t="str" cm="1">
        <f t="array" ref="G762">GetCSVIndex(A2,58+7938)</f>
        <v/>
      </c>
      <c r="H762" s="45" t="str" cm="1">
        <f t="array" ref="H762">GetCSVIndex(A2,258+7938)</f>
        <v/>
      </c>
      <c r="I762" s="29" t="str" cm="1">
        <f t="array" ref="I762">GetCSVIndex(A2,321+7938)</f>
        <v/>
      </c>
      <c r="J762" s="25"/>
      <c r="K762" s="45">
        <v>40</v>
      </c>
      <c r="L762" s="29" t="e" cm="1">
        <f t="array" ref="L762">CHOOSE(GetCSVIndex(A2,153+7938)+1,"","Station","Block","","Delay")</f>
        <v>#VALUE!</v>
      </c>
      <c r="M762" s="29" t="str" cm="1">
        <f t="array" ref="M762">GetCSVIndex(A2,154+7938)</f>
        <v/>
      </c>
      <c r="N762" s="27" t="str" cm="1">
        <f t="array" ref="N762">GetCSVIndex(A2,290+7938)</f>
        <v/>
      </c>
      <c r="O762" s="43" t="str" cm="1">
        <f t="array" ref="O762">GetCSVIndex(A2,353+7938)</f>
        <v/>
      </c>
    </row>
    <row r="763" spans="1:15" ht="21" customHeight="1" x14ac:dyDescent="0.25">
      <c r="A763" s="38" t="s">
        <v>32</v>
      </c>
      <c r="B763" s="30"/>
      <c r="C763" s="29" t="str" cm="1">
        <f t="array" ref="C763">IF(GetCSVIndex(A2,18+7938)&lt;&gt;"65535",CONCATENATE(GetCSVIndex(A2,234+7938),":", GetCSVIndex(A2,244+7938)),"OFF")</f>
        <v>:</v>
      </c>
      <c r="D763" s="25"/>
      <c r="E763" s="45">
        <v>9</v>
      </c>
      <c r="F763" s="29" t="e" cm="1">
        <f t="array" ref="F763">CHOOSE(GetCSVIndex(A2,60+7938)+1,"","Station","Block","","Delay")</f>
        <v>#VALUE!</v>
      </c>
      <c r="G763" s="29" t="str" cm="1">
        <f t="array" ref="G763">GetCSVIndex(A2,61+7938)</f>
        <v/>
      </c>
      <c r="H763" s="45" t="str" cm="1">
        <f t="array" ref="H763">GetCSVIndex(A2,259+7938)</f>
        <v/>
      </c>
      <c r="I763" s="29" t="str" cm="1">
        <f t="array" ref="I763">GetCSVIndex(A2,322+7938)</f>
        <v/>
      </c>
      <c r="J763" s="25"/>
      <c r="K763" s="45">
        <v>41</v>
      </c>
      <c r="L763" s="29" t="e" cm="1">
        <f t="array" ref="L763">CHOOSE(GetCSVIndex(A2,156+7938)+1,"","Station","Block","","Delay")</f>
        <v>#VALUE!</v>
      </c>
      <c r="M763" s="29" t="str" cm="1">
        <f t="array" ref="M763">GetCSVIndex(A2,157+7938)</f>
        <v/>
      </c>
      <c r="N763" s="27" t="str" cm="1">
        <f t="array" ref="N763">GetCSVIndex(A2,291+7938)</f>
        <v/>
      </c>
      <c r="O763" s="43" t="str" cm="1">
        <f t="array" ref="O763">GetCSVIndex(A2,354+7938)</f>
        <v/>
      </c>
    </row>
    <row r="764" spans="1:15" ht="21" customHeight="1" x14ac:dyDescent="0.25">
      <c r="A764" s="38" t="s">
        <v>33</v>
      </c>
      <c r="B764" s="30"/>
      <c r="C764" s="29" t="str" cm="1">
        <f t="array" ref="C764">IF(GetCSVIndex(A2,19+7938)&lt;&gt;"65535",CONCATENATE(GetCSVIndex(A2,235+7938),":", GetCSVIndex(A2,245+7938)),"OFF")</f>
        <v>:</v>
      </c>
      <c r="D764" s="25"/>
      <c r="E764" s="45">
        <v>10</v>
      </c>
      <c r="F764" s="29" t="e" cm="1">
        <f t="array" ref="F764">CHOOSE(GetCSVIndex(A2,63+7938)+1,"","Station","Block","","Delay")</f>
        <v>#VALUE!</v>
      </c>
      <c r="G764" s="29" t="str" cm="1">
        <f t="array" ref="G764">GetCSVIndex(A2,64+7938)</f>
        <v/>
      </c>
      <c r="H764" s="45" t="str" cm="1">
        <f t="array" ref="H764">GetCSVIndex(A2,260+7938)</f>
        <v/>
      </c>
      <c r="I764" s="29" t="str" cm="1">
        <f t="array" ref="I764">GetCSVIndex(A2,323+7938)</f>
        <v/>
      </c>
      <c r="J764" s="25"/>
      <c r="K764" s="45">
        <v>42</v>
      </c>
      <c r="L764" s="29" t="e" cm="1">
        <f t="array" ref="L764">CHOOSE(GetCSVIndex(A2,159+7938)+1,"","Station","Block","","Delay")</f>
        <v>#VALUE!</v>
      </c>
      <c r="M764" s="29" t="str" cm="1">
        <f t="array" ref="M764">GetCSVIndex(A2,160+7938)</f>
        <v/>
      </c>
      <c r="N764" s="27" t="str" cm="1">
        <f t="array" ref="N764">GetCSVIndex(A2,292+7938)</f>
        <v/>
      </c>
      <c r="O764" s="43" t="str" cm="1">
        <f t="array" ref="O764">GetCSVIndex(A2,355+7938)</f>
        <v/>
      </c>
    </row>
    <row r="765" spans="1:15" ht="21" customHeight="1" x14ac:dyDescent="0.25">
      <c r="A765" s="38" t="s">
        <v>34</v>
      </c>
      <c r="B765" s="30"/>
      <c r="C765" s="29" t="str" cm="1">
        <f t="array" ref="C765">IF(GetCSVIndex(A2,20+7938)&lt;&gt;"65535",CONCATENATE(GetCSVIndex(A2,236+7938),":", GetCSVIndex(A2,246+7938)),"OFF")</f>
        <v>:</v>
      </c>
      <c r="D765" s="25"/>
      <c r="E765" s="45">
        <v>11</v>
      </c>
      <c r="F765" s="29" t="e" cm="1">
        <f t="array" ref="F765">CHOOSE(GetCSVIndex(A2,66+7938)+1,"","Station","Block","","Delay")</f>
        <v>#VALUE!</v>
      </c>
      <c r="G765" s="29" t="str" cm="1">
        <f t="array" ref="G765">GetCSVIndex(A2,67+7938)</f>
        <v/>
      </c>
      <c r="H765" s="45" t="str" cm="1">
        <f t="array" ref="H765">GetCSVIndex(A2,261+7938)</f>
        <v/>
      </c>
      <c r="I765" s="29" t="str" cm="1">
        <f t="array" ref="I765">GetCSVIndex(A2,324+7938)</f>
        <v/>
      </c>
      <c r="J765" s="25"/>
      <c r="K765" s="45">
        <v>43</v>
      </c>
      <c r="L765" s="29" t="e" cm="1">
        <f t="array" ref="L765">CHOOSE(GetCSVIndex(A2,162+7938)+1,"","Station","Block","","Delay")</f>
        <v>#VALUE!</v>
      </c>
      <c r="M765" s="29" t="str" cm="1">
        <f t="array" ref="M765">GetCSVIndex(A2,163+7938)</f>
        <v/>
      </c>
      <c r="N765" s="27" t="str" cm="1">
        <f t="array" ref="N765">GetCSVIndex(A2,293+7938)</f>
        <v/>
      </c>
      <c r="O765" s="43" t="str" cm="1">
        <f t="array" ref="O765">GetCSVIndex(A2,356+7938)</f>
        <v/>
      </c>
    </row>
    <row r="766" spans="1:15" ht="21" customHeight="1" x14ac:dyDescent="0.25">
      <c r="A766" s="38" t="s">
        <v>35</v>
      </c>
      <c r="B766" s="30"/>
      <c r="C766" s="29" t="str" cm="1">
        <f t="array" ref="C766">IF(GetCSVIndex(A2,21+7938)&lt;&gt;"65535",CONCATENATE(GetCSVIndex(A2,237+7938),":", GetCSVIndex(A2,247+7938)),"OFF")</f>
        <v>:</v>
      </c>
      <c r="D766" s="25"/>
      <c r="E766" s="45">
        <v>12</v>
      </c>
      <c r="F766" s="29" t="e" cm="1">
        <f t="array" ref="F766">CHOOSE(GetCSVIndex(A2,69+7938)+1,"","Station","Block","","Delay")</f>
        <v>#VALUE!</v>
      </c>
      <c r="G766" s="29" t="str" cm="1">
        <f t="array" ref="G766">GetCSVIndex(A2,70+7938)</f>
        <v/>
      </c>
      <c r="H766" s="45" t="str" cm="1">
        <f t="array" ref="H766">GetCSVIndex(A2,262+7938)</f>
        <v/>
      </c>
      <c r="I766" s="29" t="str" cm="1">
        <f t="array" ref="I766">GetCSVIndex(A2,325+7938)</f>
        <v/>
      </c>
      <c r="J766" s="25"/>
      <c r="K766" s="45">
        <v>44</v>
      </c>
      <c r="L766" s="29" t="e" cm="1">
        <f t="array" ref="L766">CHOOSE(GetCSVIndex(A2,165+7938)+1,"","Station","Block","","Delay")</f>
        <v>#VALUE!</v>
      </c>
      <c r="M766" s="29" t="str" cm="1">
        <f t="array" ref="M766">GetCSVIndex(A2,166+7938)</f>
        <v/>
      </c>
      <c r="N766" s="27" t="str" cm="1">
        <f t="array" ref="N766">GetCSVIndex(A2,294+7938)</f>
        <v/>
      </c>
      <c r="O766" s="43" t="str" cm="1">
        <f t="array" ref="O766">GetCSVIndex(A2,357+7938)</f>
        <v/>
      </c>
    </row>
    <row r="767" spans="1:15" ht="21" customHeight="1" x14ac:dyDescent="0.25">
      <c r="A767" s="38" t="s">
        <v>36</v>
      </c>
      <c r="B767" s="30"/>
      <c r="C767" s="29" t="str" cm="1">
        <f t="array" ref="C767">IF(GetCSVIndex(A2,22+7938)&lt;&gt;"65535",CONCATENATE(GetCSVIndex(A2,238+7938),":", GetCSVIndex(A2,248+7938)),"OFF")</f>
        <v>:</v>
      </c>
      <c r="D767" s="25"/>
      <c r="E767" s="45">
        <v>13</v>
      </c>
      <c r="F767" s="29" t="e" cm="1">
        <f t="array" ref="F767">CHOOSE(GetCSVIndex(A2,72+7938)+1,"","Station","Block","","Delay")</f>
        <v>#VALUE!</v>
      </c>
      <c r="G767" s="29" t="str" cm="1">
        <f t="array" ref="G767">GetCSVIndex(A2,73+7938)</f>
        <v/>
      </c>
      <c r="H767" s="45" t="str" cm="1">
        <f t="array" ref="H767">GetCSVIndex(A2,263+7938)</f>
        <v/>
      </c>
      <c r="I767" s="29" t="str" cm="1">
        <f t="array" ref="I767">GetCSVIndex(A2,326+7938)</f>
        <v/>
      </c>
      <c r="J767" s="25"/>
      <c r="K767" s="45">
        <v>45</v>
      </c>
      <c r="L767" s="29" t="e" cm="1">
        <f t="array" ref="L767">CHOOSE(GetCSVIndex(A2,168+7938)+1,"","Station","Block","","Delay")</f>
        <v>#VALUE!</v>
      </c>
      <c r="M767" s="29" t="str" cm="1">
        <f t="array" ref="M767">GetCSVIndex(A2,169+7938)</f>
        <v/>
      </c>
      <c r="N767" s="27" t="str" cm="1">
        <f t="array" ref="N767">GetCSVIndex(A2,295+7938)</f>
        <v/>
      </c>
      <c r="O767" s="43" t="str" cm="1">
        <f t="array" ref="O767">GetCSVIndex(A2,358+7938)</f>
        <v/>
      </c>
    </row>
    <row r="768" spans="1:15" ht="21" customHeight="1" x14ac:dyDescent="0.25">
      <c r="A768" s="36" t="s">
        <v>37</v>
      </c>
      <c r="B768" s="25"/>
      <c r="C768" s="29" t="str" cm="1">
        <f t="array" ref="C768">IF(GetCSVIndex(A2,23+7938)&lt;&gt;"65535",CONCATENATE(GetCSVIndex(A2,230+7938),":", GetCSVIndex(A2,240+7938)),"OFF")</f>
        <v>:</v>
      </c>
      <c r="D768" s="25"/>
      <c r="E768" s="45">
        <v>14</v>
      </c>
      <c r="F768" s="29" t="e" cm="1">
        <f t="array" ref="F768">CHOOSE(GetCSVIndex(A2,75+7938)+1,"","Station","Block","","Delay")</f>
        <v>#VALUE!</v>
      </c>
      <c r="G768" s="29" t="str" cm="1">
        <f t="array" ref="G768">GetCSVIndex(A2,76+7938)</f>
        <v/>
      </c>
      <c r="H768" s="45" t="str" cm="1">
        <f t="array" ref="H768">GetCSVIndex(A2,264+7938)</f>
        <v/>
      </c>
      <c r="I768" s="29" t="str" cm="1">
        <f t="array" ref="I768">GetCSVIndex(A2,327+7938)</f>
        <v/>
      </c>
      <c r="J768" s="25"/>
      <c r="K768" s="45">
        <v>46</v>
      </c>
      <c r="L768" s="29" t="e" cm="1">
        <f t="array" ref="L768">CHOOSE(GetCSVIndex(A2,171+7938)+1,"","Station","Block","","Delay")</f>
        <v>#VALUE!</v>
      </c>
      <c r="M768" s="29" t="str" cm="1">
        <f t="array" ref="M768">GetCSVIndex(A2,172+7938)</f>
        <v/>
      </c>
      <c r="N768" s="27" t="str" cm="1">
        <f t="array" ref="N768">GetCSVIndex(A2,296+7938)</f>
        <v/>
      </c>
      <c r="O768" s="43" t="str" cm="1">
        <f t="array" ref="O768">GetCSVIndex(A2,359+7938)</f>
        <v/>
      </c>
    </row>
    <row r="769" spans="1:15" ht="21" customHeight="1" x14ac:dyDescent="0.25">
      <c r="A769" s="39"/>
      <c r="B769" s="40"/>
      <c r="C769" s="41"/>
      <c r="D769" s="26"/>
      <c r="E769" s="45">
        <v>15</v>
      </c>
      <c r="F769" s="29" t="e" cm="1">
        <f t="array" ref="F769">CHOOSE(GetCSVIndex(A2,78+7938)+1,"","Station","Block","","Delay")</f>
        <v>#VALUE!</v>
      </c>
      <c r="G769" s="29" t="str" cm="1">
        <f t="array" ref="G769">GetCSVIndex(A2,79+7938)</f>
        <v/>
      </c>
      <c r="H769" s="45" t="str" cm="1">
        <f t="array" ref="H769">GetCSVIndex(A2,265+7938)</f>
        <v/>
      </c>
      <c r="I769" s="29" t="str" cm="1">
        <f t="array" ref="I769">GetCSVIndex(A2,328+7938)</f>
        <v/>
      </c>
      <c r="J769" s="26"/>
      <c r="K769" s="45">
        <v>47</v>
      </c>
      <c r="L769" s="29" t="e" cm="1">
        <f t="array" ref="L769">CHOOSE(GetCSVIndex(A2,174+7938)+1,"","Station","Block","","Delay")</f>
        <v>#VALUE!</v>
      </c>
      <c r="M769" s="29" t="str" cm="1">
        <f t="array" ref="M769">GetCSVIndex(A2,175+7938)</f>
        <v/>
      </c>
      <c r="N769" s="27" t="str" cm="1">
        <f t="array" ref="N769">GetCSVIndex(A2,297+7938)</f>
        <v/>
      </c>
      <c r="O769" s="43" t="str" cm="1">
        <f t="array" ref="O769">GetCSVIndex(A2,360+7938)</f>
        <v/>
      </c>
    </row>
    <row r="770" spans="1:15" ht="21" customHeight="1" x14ac:dyDescent="0.25">
      <c r="A770" s="42"/>
      <c r="B770" s="25"/>
      <c r="C770" s="25"/>
      <c r="D770" s="26"/>
      <c r="E770" s="45">
        <v>16</v>
      </c>
      <c r="F770" s="29" t="e" cm="1">
        <f t="array" ref="F770">CHOOSE(GetCSVIndex(A2,81+7938)+1,"","Station","Block","","Delay")</f>
        <v>#VALUE!</v>
      </c>
      <c r="G770" s="29" t="str" cm="1">
        <f t="array" ref="G770">GetCSVIndex(A2,82+7938)</f>
        <v/>
      </c>
      <c r="H770" s="45" t="str" cm="1">
        <f t="array" ref="H770">GetCSVIndex(A2,266+7938)</f>
        <v/>
      </c>
      <c r="I770" s="29" t="str" cm="1">
        <f t="array" ref="I770">GetCSVIndex(A2,329+7938)</f>
        <v/>
      </c>
      <c r="J770" s="25"/>
      <c r="K770" s="45">
        <v>48</v>
      </c>
      <c r="L770" s="29" t="e" cm="1">
        <f t="array" ref="L770">CHOOSE(GetCSVIndex(A2,177+7938)+1,"","Station","Block","","Delay")</f>
        <v>#VALUE!</v>
      </c>
      <c r="M770" s="29" t="str" cm="1">
        <f t="array" ref="M770">GetCSVIndex(A2,178+7938)</f>
        <v/>
      </c>
      <c r="N770" s="27" t="str" cm="1">
        <f t="array" ref="N770">GetCSVIndex(A2,298+7938)</f>
        <v/>
      </c>
      <c r="O770" s="43" t="str" cm="1">
        <f t="array" ref="O770">GetCSVIndex(A2,361+7938)</f>
        <v/>
      </c>
    </row>
    <row r="771" spans="1:15" ht="21" customHeight="1" x14ac:dyDescent="0.25">
      <c r="A771" s="42"/>
      <c r="B771" s="25"/>
      <c r="C771" s="25"/>
      <c r="D771" s="26"/>
      <c r="E771" s="45">
        <v>17</v>
      </c>
      <c r="F771" s="29" t="e" cm="1">
        <f t="array" ref="F771">CHOOSE(GetCSVIndex(A2,84+7938)+1,"","Station","Block","","Delay")</f>
        <v>#VALUE!</v>
      </c>
      <c r="G771" s="29" t="str" cm="1">
        <f t="array" ref="G771">GetCSVIndex(A2,85+7938)</f>
        <v/>
      </c>
      <c r="H771" s="45" t="str" cm="1">
        <f t="array" ref="H771">GetCSVIndex(A2,267+7938)</f>
        <v/>
      </c>
      <c r="I771" s="29" t="str" cm="1">
        <f t="array" ref="I771">GetCSVIndex(A2,330+7938)</f>
        <v/>
      </c>
      <c r="J771" s="26"/>
      <c r="K771" s="45">
        <v>49</v>
      </c>
      <c r="L771" s="29" t="e" cm="1">
        <f t="array" ref="L771">CHOOSE(GetCSVIndex(A2,180+7938)+1,"","Station","Block","","Delay")</f>
        <v>#VALUE!</v>
      </c>
      <c r="M771" s="29" t="str" cm="1">
        <f t="array" ref="M771">GetCSVIndex(A2,181+7938)</f>
        <v/>
      </c>
      <c r="N771" s="27" t="str" cm="1">
        <f t="array" ref="N771">GetCSVIndex(A2,299+7938)</f>
        <v/>
      </c>
      <c r="O771" s="43" t="str" cm="1">
        <f t="array" ref="O771">GetCSVIndex(A2,362+7938)</f>
        <v/>
      </c>
    </row>
    <row r="772" spans="1:15" ht="21" customHeight="1" x14ac:dyDescent="0.25">
      <c r="A772" s="42"/>
      <c r="B772" s="25"/>
      <c r="C772" s="25"/>
      <c r="D772" s="26"/>
      <c r="E772" s="45">
        <v>18</v>
      </c>
      <c r="F772" s="29" t="e" cm="1">
        <f t="array" ref="F772">CHOOSE(GetCSVIndex(A2,87+7938)+1,"","Station","Block","","Delay")</f>
        <v>#VALUE!</v>
      </c>
      <c r="G772" s="29" t="str" cm="1">
        <f t="array" ref="G772">GetCSVIndex(A2,88+7938)</f>
        <v/>
      </c>
      <c r="H772" s="45" t="str" cm="1">
        <f t="array" ref="H772">GetCSVIndex(A2,268+7938)</f>
        <v/>
      </c>
      <c r="I772" s="29" t="str" cm="1">
        <f t="array" ref="I772">GetCSVIndex(A2,331+7938)</f>
        <v/>
      </c>
      <c r="J772" s="26"/>
      <c r="K772" s="45">
        <v>50</v>
      </c>
      <c r="L772" s="29" t="e" cm="1">
        <f t="array" ref="L772">CHOOSE(GetCSVIndex(A2,183+7938)+1,"","Station","Block","","Delay")</f>
        <v>#VALUE!</v>
      </c>
      <c r="M772" s="29" t="str" cm="1">
        <f t="array" ref="M772">GetCSVIndex(A2,184+7938)</f>
        <v/>
      </c>
      <c r="N772" s="27" t="str" cm="1">
        <f t="array" ref="N772">GetCSVIndex(A2,300+7938)</f>
        <v/>
      </c>
      <c r="O772" s="43" t="str" cm="1">
        <f t="array" ref="O772">GetCSVIndex(A2,363+7938)</f>
        <v/>
      </c>
    </row>
    <row r="773" spans="1:15" ht="21" customHeight="1" x14ac:dyDescent="0.25">
      <c r="A773" s="42"/>
      <c r="B773" s="25"/>
      <c r="C773" s="25"/>
      <c r="D773" s="26"/>
      <c r="E773" s="45">
        <v>19</v>
      </c>
      <c r="F773" s="29" t="e" cm="1">
        <f t="array" ref="F773">CHOOSE(GetCSVIndex(A2,90+7938)+1,"","Station","Block","","Delay")</f>
        <v>#VALUE!</v>
      </c>
      <c r="G773" s="29" t="str" cm="1">
        <f t="array" ref="G773">GetCSVIndex(A2,91+7938)</f>
        <v/>
      </c>
      <c r="H773" s="45" t="str" cm="1">
        <f t="array" ref="H773">GetCSVIndex(A2,269+7938)</f>
        <v/>
      </c>
      <c r="I773" s="29" t="str" cm="1">
        <f t="array" ref="I773">GetCSVIndex(A2,332+7938)</f>
        <v/>
      </c>
      <c r="J773" s="26"/>
      <c r="K773" s="45">
        <v>51</v>
      </c>
      <c r="L773" s="29" t="e" cm="1">
        <f t="array" ref="L773">CHOOSE(GetCSVIndex(A2,186+7938)+1,"","Station","Block","","Delay")</f>
        <v>#VALUE!</v>
      </c>
      <c r="M773" s="29" t="str" cm="1">
        <f t="array" ref="M773">GetCSVIndex(A2,187+7938)</f>
        <v/>
      </c>
      <c r="N773" s="27" t="str" cm="1">
        <f t="array" ref="N773">GetCSVIndex(A2,301+7938)</f>
        <v/>
      </c>
      <c r="O773" s="43" t="str" cm="1">
        <f t="array" ref="O773">GetCSVIndex(A2,364+7938)</f>
        <v/>
      </c>
    </row>
    <row r="774" spans="1:15" ht="21" customHeight="1" x14ac:dyDescent="0.25">
      <c r="A774" s="42"/>
      <c r="B774" s="25"/>
      <c r="C774" s="25"/>
      <c r="D774" s="26"/>
      <c r="E774" s="45">
        <v>20</v>
      </c>
      <c r="F774" s="29" t="e" cm="1">
        <f t="array" ref="F774">CHOOSE(GetCSVIndex(A2,93+7938)+1,"","Station","Block","","Delay")</f>
        <v>#VALUE!</v>
      </c>
      <c r="G774" s="29" t="str" cm="1">
        <f t="array" ref="G774">GetCSVIndex(A2,94+7938)</f>
        <v/>
      </c>
      <c r="H774" s="45" t="str" cm="1">
        <f t="array" ref="H774">GetCSVIndex(A2,270+7938)</f>
        <v/>
      </c>
      <c r="I774" s="29" t="str" cm="1">
        <f t="array" ref="I774">GetCSVIndex(A2,333+7938)</f>
        <v/>
      </c>
      <c r="J774" s="26"/>
      <c r="K774" s="45">
        <v>52</v>
      </c>
      <c r="L774" s="29" t="e" cm="1">
        <f t="array" ref="L774">CHOOSE(GetCSVIndex(A2,189+7938)+1,"","Station","Block","","Delay")</f>
        <v>#VALUE!</v>
      </c>
      <c r="M774" s="29" t="str" cm="1">
        <f t="array" ref="M774">GetCSVIndex(A2,190+7938)</f>
        <v/>
      </c>
      <c r="N774" s="27" t="str" cm="1">
        <f t="array" ref="N774">GetCSVIndex(A2,302+7938)</f>
        <v/>
      </c>
      <c r="O774" s="43" t="str" cm="1">
        <f t="array" ref="O774">GetCSVIndex(A2,365+7938)</f>
        <v/>
      </c>
    </row>
    <row r="775" spans="1:15" ht="21" customHeight="1" x14ac:dyDescent="0.25">
      <c r="A775" s="42"/>
      <c r="B775" s="25"/>
      <c r="C775" s="25"/>
      <c r="D775" s="26"/>
      <c r="E775" s="45">
        <v>21</v>
      </c>
      <c r="F775" s="29" t="e" cm="1">
        <f t="array" ref="F775">CHOOSE(GetCSVIndex(A2,96+7938)+1,"","Station","Block","","Delay")</f>
        <v>#VALUE!</v>
      </c>
      <c r="G775" s="29" t="str" cm="1">
        <f t="array" ref="G775">GetCSVIndex(A2,97+7938)</f>
        <v/>
      </c>
      <c r="H775" s="45" t="str" cm="1">
        <f t="array" ref="H775">GetCSVIndex(A2,271+7938)</f>
        <v/>
      </c>
      <c r="I775" s="29" t="str" cm="1">
        <f t="array" ref="I775">GetCSVIndex(A2,334+7938)</f>
        <v/>
      </c>
      <c r="J775" s="26"/>
      <c r="K775" s="45">
        <v>53</v>
      </c>
      <c r="L775" s="29" t="e" cm="1">
        <f t="array" ref="L775">CHOOSE(GetCSVIndex(A2,192+7938)+1,"","Station","Block","","Delay")</f>
        <v>#VALUE!</v>
      </c>
      <c r="M775" s="29" t="str" cm="1">
        <f t="array" ref="M775">GetCSVIndex(A2,193+7938)</f>
        <v/>
      </c>
      <c r="N775" s="27" t="str" cm="1">
        <f t="array" ref="N775">GetCSVIndex(A2,303+7938)</f>
        <v/>
      </c>
      <c r="O775" s="43" t="str" cm="1">
        <f t="array" ref="O775">GetCSVIndex(A2,366+7938)</f>
        <v/>
      </c>
    </row>
    <row r="776" spans="1:15" ht="21" customHeight="1" x14ac:dyDescent="0.25">
      <c r="A776" s="42"/>
      <c r="B776" s="25"/>
      <c r="C776" s="25"/>
      <c r="D776" s="26"/>
      <c r="E776" s="45">
        <v>22</v>
      </c>
      <c r="F776" s="29" t="e" cm="1">
        <f t="array" ref="F776">CHOOSE(GetCSVIndex(A2,99+7938)+1,"","Station","Block","","Delay")</f>
        <v>#VALUE!</v>
      </c>
      <c r="G776" s="29" t="str" cm="1">
        <f t="array" ref="G776">GetCSVIndex(A2,100+7938)</f>
        <v/>
      </c>
      <c r="H776" s="45" t="str" cm="1">
        <f t="array" ref="H776">GetCSVIndex(A2,272+7938)</f>
        <v/>
      </c>
      <c r="I776" s="29" t="str" cm="1">
        <f t="array" ref="I776">GetCSVIndex(A2,335+7938)</f>
        <v/>
      </c>
      <c r="J776" s="26"/>
      <c r="K776" s="45">
        <v>54</v>
      </c>
      <c r="L776" s="29" t="e" cm="1">
        <f t="array" ref="L776">CHOOSE(GetCSVIndex(A2,195+7938)+1,"","Station","Block","","Delay")</f>
        <v>#VALUE!</v>
      </c>
      <c r="M776" s="29" t="str" cm="1">
        <f t="array" ref="M776">GetCSVIndex(A2,196+7938)</f>
        <v/>
      </c>
      <c r="N776" s="27" t="str" cm="1">
        <f t="array" ref="N776">GetCSVIndex(A2,304+7938)</f>
        <v/>
      </c>
      <c r="O776" s="43" t="str" cm="1">
        <f t="array" ref="O776">GetCSVIndex(A2,367+7938)</f>
        <v/>
      </c>
    </row>
    <row r="777" spans="1:15" ht="21" customHeight="1" x14ac:dyDescent="0.25">
      <c r="A777" s="42"/>
      <c r="B777" s="25"/>
      <c r="C777" s="25"/>
      <c r="D777" s="26"/>
      <c r="E777" s="45">
        <v>23</v>
      </c>
      <c r="F777" s="29" t="e" cm="1">
        <f t="array" ref="F777">CHOOSE(GetCSVIndex(A2,102+7938)+1,"","Station","Block","","Delay")</f>
        <v>#VALUE!</v>
      </c>
      <c r="G777" s="29" t="str" cm="1">
        <f t="array" ref="G777">GetCSVIndex(A2,103+7938)</f>
        <v/>
      </c>
      <c r="H777" s="45" t="str" cm="1">
        <f t="array" ref="H777">GetCSVIndex(A2,273+7938)</f>
        <v/>
      </c>
      <c r="I777" s="29" t="str" cm="1">
        <f t="array" ref="I777">GetCSVIndex(A2,336+7938)</f>
        <v/>
      </c>
      <c r="J777" s="26"/>
      <c r="K777" s="45">
        <v>55</v>
      </c>
      <c r="L777" s="29" t="e" cm="1">
        <f t="array" ref="L777">CHOOSE(GetCSVIndex(A2,198+7938)+1,"","Station","Block","","Delay")</f>
        <v>#VALUE!</v>
      </c>
      <c r="M777" s="29" t="str" cm="1">
        <f t="array" ref="M777">GetCSVIndex(A2,199+7938)</f>
        <v/>
      </c>
      <c r="N777" s="27" t="str" cm="1">
        <f t="array" ref="N777">GetCSVIndex(A2,305+7938)</f>
        <v/>
      </c>
      <c r="O777" s="43" t="str" cm="1">
        <f t="array" ref="O777">GetCSVIndex(A2,368+7938)</f>
        <v/>
      </c>
    </row>
    <row r="778" spans="1:15" ht="21" customHeight="1" x14ac:dyDescent="0.25">
      <c r="A778" s="42"/>
      <c r="B778" s="25"/>
      <c r="C778" s="25"/>
      <c r="D778" s="26"/>
      <c r="E778" s="45">
        <v>24</v>
      </c>
      <c r="F778" s="29" t="e" cm="1">
        <f t="array" ref="F778">CHOOSE(GetCSVIndex(A2,105+7938)+1,"","Station","Block","","Delay")</f>
        <v>#VALUE!</v>
      </c>
      <c r="G778" s="29" t="str" cm="1">
        <f t="array" ref="G778">GetCSVIndex(A2,106+7938)</f>
        <v/>
      </c>
      <c r="H778" s="45" t="str" cm="1">
        <f t="array" ref="H778">GetCSVIndex(A2,274+7938)</f>
        <v/>
      </c>
      <c r="I778" s="29" t="str" cm="1">
        <f t="array" ref="I778">GetCSVIndex(A2,337+7938)</f>
        <v/>
      </c>
      <c r="J778" s="26"/>
      <c r="K778" s="45">
        <v>56</v>
      </c>
      <c r="L778" s="29" t="e" cm="1">
        <f t="array" ref="L778">CHOOSE(GetCSVIndex(A2,201+7938)+1,"","Station","Block","","Delay")</f>
        <v>#VALUE!</v>
      </c>
      <c r="M778" s="29" t="str" cm="1">
        <f t="array" ref="M778">GetCSVIndex(A2,202+7938)</f>
        <v/>
      </c>
      <c r="N778" s="27" t="str" cm="1">
        <f t="array" ref="N778">GetCSVIndex(A2,306+7938)</f>
        <v/>
      </c>
      <c r="O778" s="43" t="str" cm="1">
        <f t="array" ref="O778">GetCSVIndex(A2,369+7938)</f>
        <v/>
      </c>
    </row>
    <row r="779" spans="1:15" ht="21" customHeight="1" x14ac:dyDescent="0.25">
      <c r="A779" s="42"/>
      <c r="B779" s="25"/>
      <c r="C779" s="25"/>
      <c r="D779" s="26"/>
      <c r="E779" s="45">
        <v>25</v>
      </c>
      <c r="F779" s="29" t="e" cm="1">
        <f t="array" ref="F779">CHOOSE(GetCSVIndex(A2,108+7938)+1,"","Station","Block","","Delay")</f>
        <v>#VALUE!</v>
      </c>
      <c r="G779" s="29" t="str" cm="1">
        <f t="array" ref="G779">GetCSVIndex(A2,109+7938)</f>
        <v/>
      </c>
      <c r="H779" s="45" t="str" cm="1">
        <f t="array" ref="H779">GetCSVIndex(A2,275+7938)</f>
        <v/>
      </c>
      <c r="I779" s="29" t="str" cm="1">
        <f t="array" ref="I779">GetCSVIndex(A2,338+7938)</f>
        <v/>
      </c>
      <c r="J779" s="26"/>
      <c r="K779" s="45">
        <v>57</v>
      </c>
      <c r="L779" s="29" t="e" cm="1">
        <f t="array" ref="L779">CHOOSE(GetCSVIndex(A2,204+7938)+1,"","Station","Block","","Delay")</f>
        <v>#VALUE!</v>
      </c>
      <c r="M779" s="29" t="str" cm="1">
        <f t="array" ref="M779">GetCSVIndex(A2,205+7938)</f>
        <v/>
      </c>
      <c r="N779" s="27" t="str" cm="1">
        <f t="array" ref="N779">GetCSVIndex(A2,307+7938)</f>
        <v/>
      </c>
      <c r="O779" s="43" t="str" cm="1">
        <f t="array" ref="O779">GetCSVIndex(A2,370+7938)</f>
        <v/>
      </c>
    </row>
    <row r="780" spans="1:15" ht="21" customHeight="1" x14ac:dyDescent="0.25">
      <c r="A780" s="42"/>
      <c r="B780" s="25"/>
      <c r="C780" s="25"/>
      <c r="D780" s="26"/>
      <c r="E780" s="45">
        <v>26</v>
      </c>
      <c r="F780" s="29" t="e" cm="1">
        <f t="array" ref="F780">CHOOSE(GetCSVIndex(A2,111+7938)+1,"","Station","Block","","Delay")</f>
        <v>#VALUE!</v>
      </c>
      <c r="G780" s="29" t="str" cm="1">
        <f t="array" ref="G780">GetCSVIndex(A2,112+7938)</f>
        <v/>
      </c>
      <c r="H780" s="45" t="str" cm="1">
        <f t="array" ref="H780">GetCSVIndex(A2,276+7938)</f>
        <v/>
      </c>
      <c r="I780" s="29" t="str" cm="1">
        <f t="array" ref="I780">GetCSVIndex(A2,339+7938)</f>
        <v/>
      </c>
      <c r="J780" s="26"/>
      <c r="K780" s="45">
        <v>58</v>
      </c>
      <c r="L780" s="29" t="e" cm="1">
        <f t="array" ref="L780">CHOOSE(GetCSVIndex(A2,207+7938)+1,"","Station","Block","","Delay")</f>
        <v>#VALUE!</v>
      </c>
      <c r="M780" s="29" t="str" cm="1">
        <f t="array" ref="M780">GetCSVIndex(A2,208+7938)</f>
        <v/>
      </c>
      <c r="N780" s="27" t="str" cm="1">
        <f t="array" ref="N780">GetCSVIndex(A2,308+7938)</f>
        <v/>
      </c>
      <c r="O780" s="43" t="str" cm="1">
        <f t="array" ref="O780">GetCSVIndex(A2,371+7938)</f>
        <v/>
      </c>
    </row>
    <row r="781" spans="1:15" ht="21" customHeight="1" x14ac:dyDescent="0.25">
      <c r="A781" s="42"/>
      <c r="B781" s="25"/>
      <c r="C781" s="25"/>
      <c r="D781" s="26"/>
      <c r="E781" s="45">
        <v>27</v>
      </c>
      <c r="F781" s="29" t="e" cm="1">
        <f t="array" ref="F781">CHOOSE(GetCSVIndex(A2,114+7938)+1,"","Station","Block","","Delay")</f>
        <v>#VALUE!</v>
      </c>
      <c r="G781" s="29" t="str" cm="1">
        <f t="array" ref="G781">GetCSVIndex(A2,115+7938)</f>
        <v/>
      </c>
      <c r="H781" s="45" t="str" cm="1">
        <f t="array" ref="H781">GetCSVIndex(A2,277+7938)</f>
        <v/>
      </c>
      <c r="I781" s="29" t="str" cm="1">
        <f t="array" ref="I781">GetCSVIndex(A2,340+7938)</f>
        <v/>
      </c>
      <c r="J781" s="26"/>
      <c r="K781" s="45">
        <v>59</v>
      </c>
      <c r="L781" s="29" t="e" cm="1">
        <f t="array" ref="L781">CHOOSE(GetCSVIndex(A2,210+7938)+1,"","Station","Block","","Delay")</f>
        <v>#VALUE!</v>
      </c>
      <c r="M781" s="29" t="str" cm="1">
        <f t="array" ref="M781">GetCSVIndex(A2,211+7938)</f>
        <v/>
      </c>
      <c r="N781" s="27" t="str" cm="1">
        <f t="array" ref="N781">GetCSVIndex(A2,309+7938)</f>
        <v/>
      </c>
      <c r="O781" s="43" t="str" cm="1">
        <f t="array" ref="O781">GetCSVIndex(A2,372+7938)</f>
        <v/>
      </c>
    </row>
    <row r="782" spans="1:15" ht="21" customHeight="1" x14ac:dyDescent="0.25">
      <c r="A782" s="42"/>
      <c r="B782" s="25"/>
      <c r="C782" s="25"/>
      <c r="D782" s="26"/>
      <c r="E782" s="45">
        <v>28</v>
      </c>
      <c r="F782" s="29" t="e" cm="1">
        <f t="array" ref="F782">CHOOSE(GetCSVIndex(A2,117+7938)+1,"","Station","Block","","Delay")</f>
        <v>#VALUE!</v>
      </c>
      <c r="G782" s="29" t="str" cm="1">
        <f t="array" ref="G782">GetCSVIndex(A2,118+7938)</f>
        <v/>
      </c>
      <c r="H782" s="45" t="str" cm="1">
        <f t="array" ref="H782">GetCSVIndex(A2,278+7938)</f>
        <v/>
      </c>
      <c r="I782" s="29" t="str" cm="1">
        <f t="array" ref="I782">GetCSVIndex(A2,341+7938)</f>
        <v/>
      </c>
      <c r="J782" s="26"/>
      <c r="K782" s="45">
        <v>60</v>
      </c>
      <c r="L782" s="29" t="e" cm="1">
        <f t="array" ref="L782">CHOOSE(GetCSVIndex(A2,213+7938)+1,"","Station","Block","","Delay")</f>
        <v>#VALUE!</v>
      </c>
      <c r="M782" s="29" t="str" cm="1">
        <f t="array" ref="M782">GetCSVIndex(A2,214+7938)</f>
        <v/>
      </c>
      <c r="N782" s="27" t="str" cm="1">
        <f t="array" ref="N782">GetCSVIndex(A2,310+7938)</f>
        <v/>
      </c>
      <c r="O782" s="43" t="str" cm="1">
        <f t="array" ref="O782">GetCSVIndex(A2,373+7938)</f>
        <v/>
      </c>
    </row>
    <row r="783" spans="1:15" ht="21" customHeight="1" x14ac:dyDescent="0.25">
      <c r="A783" s="42"/>
      <c r="B783" s="25"/>
      <c r="C783" s="25"/>
      <c r="D783" s="26"/>
      <c r="E783" s="45">
        <v>29</v>
      </c>
      <c r="F783" s="29" t="e" cm="1">
        <f t="array" ref="F783">CHOOSE(GetCSVIndex(A2,120+7938)+1,"","Station","Block","","Delay")</f>
        <v>#VALUE!</v>
      </c>
      <c r="G783" s="29" t="str" cm="1">
        <f t="array" ref="G783">GetCSVIndex(A2,121+7938)</f>
        <v/>
      </c>
      <c r="H783" s="45" t="str" cm="1">
        <f t="array" ref="H783">GetCSVIndex(A2,279+7938)</f>
        <v/>
      </c>
      <c r="I783" s="29" t="str" cm="1">
        <f t="array" ref="I783">GetCSVIndex(A2,342+7938)</f>
        <v/>
      </c>
      <c r="J783" s="26"/>
      <c r="K783" s="45">
        <v>61</v>
      </c>
      <c r="L783" s="29" t="e" cm="1">
        <f t="array" ref="L783">CHOOSE(GetCSVIndex(A2,216+7938)+1,"","Station","Block","","Delay")</f>
        <v>#VALUE!</v>
      </c>
      <c r="M783" s="29" t="str" cm="1">
        <f t="array" ref="M783">GetCSVIndex(A2,217+7938)</f>
        <v/>
      </c>
      <c r="N783" s="27" t="str" cm="1">
        <f t="array" ref="N783">GetCSVIndex(A2,311+7938)</f>
        <v/>
      </c>
      <c r="O783" s="43" t="str" cm="1">
        <f t="array" ref="O783">GetCSVIndex(A2,374+7938)</f>
        <v/>
      </c>
    </row>
    <row r="784" spans="1:15" ht="21" customHeight="1" x14ac:dyDescent="0.25">
      <c r="A784" s="42"/>
      <c r="B784" s="25"/>
      <c r="C784" s="25"/>
      <c r="D784" s="26"/>
      <c r="E784" s="45">
        <v>30</v>
      </c>
      <c r="F784" s="29" t="e" cm="1">
        <f t="array" ref="F784">CHOOSE(GetCSVIndex(A2,123+7938)+1,"","Station","Block","","Delay")</f>
        <v>#VALUE!</v>
      </c>
      <c r="G784" s="29" t="str" cm="1">
        <f t="array" ref="G784">GetCSVIndex(A2,124+7938)</f>
        <v/>
      </c>
      <c r="H784" s="45" t="str" cm="1">
        <f t="array" ref="H784">GetCSVIndex(A2,280+7938)</f>
        <v/>
      </c>
      <c r="I784" s="29" t="str" cm="1">
        <f t="array" ref="I784">GetCSVIndex(A2,343+7938)</f>
        <v/>
      </c>
      <c r="J784" s="26"/>
      <c r="K784" s="45">
        <v>62</v>
      </c>
      <c r="L784" s="29" t="e" cm="1">
        <f t="array" ref="L784">CHOOSE(GetCSVIndex(A2,219+7938)+1,"","Station","Block","","Delay")</f>
        <v>#VALUE!</v>
      </c>
      <c r="M784" s="29" t="str" cm="1">
        <f t="array" ref="M784">GetCSVIndex(A2,220+7938)</f>
        <v/>
      </c>
      <c r="N784" s="27" t="str" cm="1">
        <f t="array" ref="N784">GetCSVIndex(A2,312+7938)</f>
        <v/>
      </c>
      <c r="O784" s="43" t="str" cm="1">
        <f t="array" ref="O784">GetCSVIndex(A2,375+7938)</f>
        <v/>
      </c>
    </row>
    <row r="785" spans="1:15" ht="21" customHeight="1" x14ac:dyDescent="0.25">
      <c r="A785" s="42"/>
      <c r="B785" s="25"/>
      <c r="C785" s="25"/>
      <c r="D785" s="26"/>
      <c r="E785" s="45">
        <v>31</v>
      </c>
      <c r="F785" s="29" t="e" cm="1">
        <f t="array" ref="F785">CHOOSE(GetCSVIndex(A2,126+7938)+1,"","Station","Block","","Delay")</f>
        <v>#VALUE!</v>
      </c>
      <c r="G785" s="29" t="str" cm="1">
        <f t="array" ref="G785">GetCSVIndex(A2,127+7938)</f>
        <v/>
      </c>
      <c r="H785" s="45" t="str" cm="1">
        <f t="array" ref="H785">GetCSVIndex(A2,281+7938)</f>
        <v/>
      </c>
      <c r="I785" s="29" t="str" cm="1">
        <f t="array" ref="I785">GetCSVIndex(A2,344+7938)</f>
        <v/>
      </c>
      <c r="J785" s="26"/>
      <c r="K785" s="45">
        <v>63</v>
      </c>
      <c r="L785" s="29" t="e" cm="1">
        <f t="array" ref="L785">CHOOSE(GetCSVIndex(A2,222+7938)+1,"","Station","Block","","Delay")</f>
        <v>#VALUE!</v>
      </c>
      <c r="M785" s="29" t="str" cm="1">
        <f t="array" ref="M785">GetCSVIndex(A2,223+7938)</f>
        <v/>
      </c>
      <c r="N785" s="27" t="str" cm="1">
        <f t="array" ref="N785">GetCSVIndex(A2,313+7938)</f>
        <v/>
      </c>
      <c r="O785" s="43" t="str" cm="1">
        <f t="array" ref="O785">GetCSVIndex(A2,376+7938)</f>
        <v/>
      </c>
    </row>
    <row r="786" spans="1:15" ht="21" customHeight="1" x14ac:dyDescent="0.25">
      <c r="A786" s="37"/>
      <c r="B786" s="28"/>
      <c r="C786" s="29"/>
      <c r="D786" s="29"/>
      <c r="E786" s="45">
        <v>32</v>
      </c>
      <c r="F786" s="29" t="e" cm="1">
        <f t="array" ref="F786">CHOOSE(GetCSVIndex(A2,129+7938)+1,"","Station","Block","","Delay")</f>
        <v>#VALUE!</v>
      </c>
      <c r="G786" s="29" t="str" cm="1">
        <f t="array" ref="G786">GetCSVIndex(A2,130+7938)</f>
        <v/>
      </c>
      <c r="H786" s="45" t="str" cm="1">
        <f t="array" ref="H786">GetCSVIndex(A2,282+7938)</f>
        <v/>
      </c>
      <c r="I786" s="29" t="str" cm="1">
        <f t="array" ref="I786">GetCSVIndex(A2,345+7938)</f>
        <v/>
      </c>
      <c r="J786" s="29"/>
      <c r="K786" s="45">
        <v>64</v>
      </c>
      <c r="L786" s="29" t="e" cm="1">
        <f t="array" ref="L786">CHOOSE(GetCSVIndex(A2,225+7938)+1,"","Station","Block","","Delay")</f>
        <v>#VALUE!</v>
      </c>
      <c r="M786" s="29" t="str" cm="1">
        <f t="array" ref="M786">GetCSVIndex(A2,226+7938)</f>
        <v/>
      </c>
      <c r="N786" s="27" t="str" cm="1">
        <f t="array" ref="N786">GetCSVIndex(A2,314+7938)</f>
        <v/>
      </c>
      <c r="O786" s="43" t="str" cm="1">
        <f t="array" ref="O786">GetCSVIndex(A2,377+7938)</f>
        <v/>
      </c>
    </row>
    <row r="787" spans="1:15" ht="23.25" customHeight="1" x14ac:dyDescent="0.25">
      <c r="A787" s="51" t="str" cm="1">
        <f t="array" ref="A787">CONCATENATE("Schedule  Program Number : ", GetCSVIndex(A2,5+8316))</f>
        <v xml:space="preserve">Schedule  Program Number : </v>
      </c>
      <c r="B787" s="52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3"/>
    </row>
    <row r="788" spans="1:15" ht="21" customHeight="1" x14ac:dyDescent="0.25">
      <c r="A788" s="20" t="s">
        <v>44</v>
      </c>
      <c r="B788" s="22" t="str" cm="1">
        <f t="array" ref="B788">GetCSVIndex(A2,5+8316)</f>
        <v/>
      </c>
      <c r="C788" s="18"/>
      <c r="D788" s="18"/>
      <c r="E788" s="18"/>
      <c r="F788" s="18"/>
      <c r="G788" s="18" t="s">
        <v>19</v>
      </c>
      <c r="H788" s="18" t="e" cm="1">
        <f t="array" ref="H788">CHOOSE(GetCSVIndex(A2,7+8316)+1, "Days of Week", "Odd/Even", "Interval","Manual")</f>
        <v>#VALUE!</v>
      </c>
      <c r="I788" s="18"/>
      <c r="J788" s="15"/>
      <c r="K788" s="15"/>
      <c r="L788" s="15"/>
      <c r="M788" s="15"/>
      <c r="N788" s="15"/>
      <c r="O788" s="16"/>
    </row>
    <row r="789" spans="1:15" ht="18" customHeight="1" x14ac:dyDescent="0.25">
      <c r="A789" s="21" t="s">
        <v>20</v>
      </c>
      <c r="B789" s="19" t="e" cm="1">
        <f t="array" ref="B789">CHOOSE(GetCSVIndex(A2,24+8316)+1, "Program", "Global", "Monthly","Solar Sync")</f>
        <v>#VALUE!</v>
      </c>
      <c r="C789" s="19"/>
      <c r="D789" s="19"/>
      <c r="E789" s="19"/>
      <c r="F789" s="19" t="s">
        <v>21</v>
      </c>
      <c r="G789" s="19" t="e" cm="1">
        <f t="array" ref="G789">IF(CHOOSE(GetCSVIndex(A2,7+8316)+1,IF(_xlfn.BITAND(GetCSVIndex(A2,8+8316), 2^0)=0, 0, 1),IF(_xlfn.BITAND(GetCSVIndex(A2,9+8316), 2^0)=0, 0, 1),IF(_xlfn.BITAND(GetCSVIndex(A2,10+8316), 2^0)=0, 0, 1)) =1,"Mon","")</f>
        <v>#VALUE!</v>
      </c>
      <c r="H789" s="19" t="e" cm="1">
        <f t="array" ref="H789">CONCATENATE(IF(CHOOSE(GetCSVIndex(A2,7+8316)+1,IF(_xlfn.BITAND(GetCSVIndex(A2,8+8316), 2^1)=0, 0, 1),IF(_xlfn.BITAND(GetCSVIndex(A2,9+8316), 2^1)=0, 0, 1),IF(_xlfn.BITAND(GetCSVIndex(A2,10+8316), 2^1)=0, 0, 1)) =1,"Tue       ","       "),IF(CHOOSE(GetCSVIndex(A2,7+8316)+1,IF(_xlfn.BITAND(GetCSVIndex(A2,8+8316), 2^2)=0, 0, 1),IF(_xlfn.BITAND(GetCSVIndex(A2,9+8316), 2^2)=0, 0, 1),IF(_xlfn.BITAND(GetCSVIndex(A2,10+8316), 2^2)=0, 0, 1)) =1,"Wed",""),IF(CHOOSE(GetCSVIndex(A2,7+8316)+1,IF(_xlfn.BITAND(GetCSVIndex(A2,8+8316), 2^3)=0, 0, 1),IF(_xlfn.BITAND(GetCSVIndex(A2,9+8316), 2^3)=0, 0, 1),IF(_xlfn.BITAND(GetCSVIndex(A2,10+8316), 2^3)=0, 0, 1)) =1,"       Thu","       "))</f>
        <v>#VALUE!</v>
      </c>
      <c r="I789" s="32" t="e" cm="1">
        <f t="array" ref="I789">CONCATENATE(IF(CHOOSE(GetCSVIndex(A2,7+8316)+1,IF(_xlfn.BITAND(GetCSVIndex(A2,8+8316), 2^4)=0, 0, 1),IF(_xlfn.BITAND(GetCSVIndex(A2,9+8316), 2^4)=0, 0, 1),IF(_xlfn.BITAND(GetCSVIndex(A2,10+8316), 2^4)=0, 0, 1)) =1,"Fri       ","       "),IF(CHOOSE(GetCSVIndex(A2,7+8316)+1,IF(_xlfn.BITAND(GetCSVIndex(A2,8+8316), 2^5)=0, 0, 1),IF(_xlfn.BITAND(GetCSVIndex(A2,9+8316), 2^5)=0, 0, 1),IF(_xlfn.BITAND(GetCSVIndex(A2,10+8316), 2^5)=0, 0, 1)) =1,"Sat",""),IF(CHOOSE(GetCSVIndex(A2,7+8316)+1,IF(_xlfn.BITAND(GetCSVIndex(A2,8+8316), 2^6)=0, 0, 1),IF(_xlfn.BITAND(GetCSVIndex(A2,9+8316), 2^6)=0, 0, 1),IF(_xlfn.BITAND(GetCSVIndex(A2,10+8316), 2^6)=0, 0, 1)) =1,"       Sun","       "))</f>
        <v>#VALUE!</v>
      </c>
      <c r="J789" s="19"/>
      <c r="K789" s="19"/>
      <c r="L789" s="32" t="s">
        <v>22</v>
      </c>
      <c r="M789" s="19"/>
      <c r="N789" s="19" t="str" cm="1">
        <f t="array" ref="N789">IF(GetCSVIndex(A2,26+8316)="1","Enable","Disable")</f>
        <v>Disable</v>
      </c>
      <c r="O789" s="24"/>
    </row>
    <row r="790" spans="1:15" ht="18" customHeight="1" x14ac:dyDescent="0.25">
      <c r="A790" s="21" t="str" cm="1">
        <f t="array" ref="A790">CONCATENATE("Program ", GetCSVIndex(A2,5+8316))</f>
        <v xml:space="preserve">Program </v>
      </c>
      <c r="B790" s="23" t="str" cm="1">
        <f t="array" ref="B790">CONCATENATE(GetCSVIndex(A2,25+8316)," %")</f>
        <v xml:space="preserve"> %</v>
      </c>
      <c r="C790" s="19"/>
      <c r="D790" s="19"/>
      <c r="E790" s="19"/>
      <c r="F790" s="19" t="str" cm="1">
        <f t="array" ref="F790">IF(GetCSVIndex(A2,7)="2","Water Every"," ")</f>
        <v xml:space="preserve"> </v>
      </c>
      <c r="G790" s="47" t="str" cm="1">
        <f t="array" ref="G790">IF(GetCSVIndex(A2,7+8316)="2",GetCSVIndex(A2,11+8316)," ")</f>
        <v xml:space="preserve"> </v>
      </c>
      <c r="H790" s="19" t="str" cm="1">
        <f t="array" ref="H790">IF(GetCSVIndex(A2,7+8316)="2","Days"," ")</f>
        <v xml:space="preserve"> </v>
      </c>
      <c r="I790" s="32" t="str" cm="1">
        <f t="array" ref="I790">IF(GetCSVIndex(A2,7+8316)="2","Water After"," ")</f>
        <v xml:space="preserve"> </v>
      </c>
      <c r="J790" s="19"/>
      <c r="K790" s="19" t="str" cm="1">
        <f t="array" ref="K790">IF(GetCSVIndex(A2,7+8316)="2",GetCSVIndex(A2,12+8316)," ")</f>
        <v xml:space="preserve"> </v>
      </c>
      <c r="L790" s="47" t="str" cm="1">
        <f t="array" ref="L790">IF(GetCSVIndex(A2,7+8316)="2","Days"," ")</f>
        <v xml:space="preserve"> </v>
      </c>
      <c r="M790" s="32"/>
      <c r="N790" s="32"/>
      <c r="O790" s="24"/>
    </row>
    <row r="791" spans="1:15" ht="21" customHeight="1" x14ac:dyDescent="0.25">
      <c r="A791" s="20" t="s">
        <v>23</v>
      </c>
      <c r="B791" s="18" t="s">
        <v>24</v>
      </c>
      <c r="C791" s="18" t="str" cm="1">
        <f t="array" ref="C791">CHOOSE(GetCSVIndex(A2,13)+1, "Auto", "Start to End","Manual")</f>
        <v>Start to End</v>
      </c>
      <c r="D791" s="31"/>
      <c r="E791" s="17" t="s">
        <v>38</v>
      </c>
      <c r="F791" s="18" t="s">
        <v>39</v>
      </c>
      <c r="G791" s="18" t="s">
        <v>40</v>
      </c>
      <c r="H791" s="18" t="s">
        <v>41</v>
      </c>
      <c r="I791" s="18" t="s">
        <v>43</v>
      </c>
      <c r="J791" s="31"/>
      <c r="K791" s="17" t="s">
        <v>38</v>
      </c>
      <c r="L791" s="18" t="s">
        <v>39</v>
      </c>
      <c r="M791" s="18" t="s">
        <v>40</v>
      </c>
      <c r="N791" s="22" t="s">
        <v>41</v>
      </c>
      <c r="O791" s="44" t="s">
        <v>42</v>
      </c>
    </row>
    <row r="792" spans="1:15" ht="21" customHeight="1" x14ac:dyDescent="0.25">
      <c r="A792" s="36" t="s">
        <v>25</v>
      </c>
      <c r="B792" s="46" t="str" cm="1">
        <f t="array" ref="B792">IF(GetCSVIndex(A2,6+8316)="1","Over","Stack")</f>
        <v>Stack</v>
      </c>
      <c r="C792" s="26" t="str" cm="1">
        <f t="array" ref="C792">GetCSVIndex(A2,29+8316)</f>
        <v/>
      </c>
      <c r="D792" s="25"/>
      <c r="E792" s="45">
        <v>1</v>
      </c>
      <c r="F792" s="29" t="e" cm="1">
        <f t="array" ref="F792">CHOOSE(GetCSVIndex(A2,36+8316)+1,"","Station","Block","","Delay")</f>
        <v>#VALUE!</v>
      </c>
      <c r="G792" s="29" t="str" cm="1">
        <f t="array" ref="G792">GetCSVIndex(A2,37+8316)</f>
        <v/>
      </c>
      <c r="H792" s="45" t="str" cm="1">
        <f t="array" ref="H792">GetCSVIndex(A2,3+8316)</f>
        <v/>
      </c>
      <c r="I792" s="29" t="str" cm="1">
        <f t="array" ref="I792">GetCSVIndex(A2,1+8316)</f>
        <v/>
      </c>
      <c r="J792" s="25"/>
      <c r="K792" s="45">
        <v>33</v>
      </c>
      <c r="L792" s="29" t="e" cm="1">
        <f t="array" ref="L792">CHOOSE(GetCSVIndex(A2,132+8316)+1,"","Station","Block","","Delay")</f>
        <v>#VALUE!</v>
      </c>
      <c r="M792" s="29" t="str" cm="1">
        <f t="array" ref="M792">GetCSVIndex(A2,133+8316)</f>
        <v/>
      </c>
      <c r="N792" s="27" t="str" cm="1">
        <f t="array" ref="N792">GetCSVIndex(A2,283+8316)</f>
        <v/>
      </c>
      <c r="O792" s="43" t="str" cm="1">
        <f t="array" ref="O792">GetCSVIndex(A2,346+8316)</f>
        <v/>
      </c>
    </row>
    <row r="793" spans="1:15" ht="21" customHeight="1" x14ac:dyDescent="0.25">
      <c r="A793" s="36" t="s">
        <v>26</v>
      </c>
      <c r="B793" s="25" t="str" cm="1">
        <f t="array" ref="B793">IF(GetCSVIndex(A2,2+8316)="1092:15","Not Set",CONCATENATE("From     ",GetCSVIndex(A2,2+8316)))</f>
        <v xml:space="preserve">From     </v>
      </c>
      <c r="C793" s="26" t="str" cm="1">
        <f t="array" ref="C793">IF(GetCSVIndex(C4,1+42)="1092:15","Not Set",CONCATENATE("To     ",GetCSVIndex(C4,1+42)))</f>
        <v xml:space="preserve">To     </v>
      </c>
      <c r="D793" s="25"/>
      <c r="E793" s="45">
        <v>2</v>
      </c>
      <c r="F793" s="29" t="e" cm="1">
        <f t="array" ref="F793">CHOOSE(GetCSVIndex(A2,39+8316)+1,"","Station","Block","","Delay")</f>
        <v>#VALUE!</v>
      </c>
      <c r="G793" s="29" t="str" cm="1">
        <f t="array" ref="G793">GetCSVIndex(A2,40+8316)</f>
        <v/>
      </c>
      <c r="H793" s="45" t="str" cm="1">
        <f t="array" ref="H793">GetCSVIndex(A2,252+8316)</f>
        <v/>
      </c>
      <c r="I793" s="29" t="str" cm="1">
        <f t="array" ref="I793">GetCSVIndex(A2,315+8316)</f>
        <v/>
      </c>
      <c r="J793" s="25"/>
      <c r="K793" s="45">
        <v>34</v>
      </c>
      <c r="L793" s="29" t="e" cm="1">
        <f t="array" ref="L793">CHOOSE(GetCSVIndex(A2,135+8316)+1,"","Station","Block","","Delay")</f>
        <v>#VALUE!</v>
      </c>
      <c r="M793" s="29" t="str" cm="1">
        <f t="array" ref="M793">GetCSVIndex(A2,136+8316)</f>
        <v/>
      </c>
      <c r="N793" s="27" t="str" cm="1">
        <f t="array" ref="N793">GetCSVIndex(A2,284+8316)</f>
        <v/>
      </c>
      <c r="O793" s="43" t="str" cm="1">
        <f t="array" ref="O793">GetCSVIndex(A2,347+8316)</f>
        <v/>
      </c>
    </row>
    <row r="794" spans="1:15" ht="21" customHeight="1" x14ac:dyDescent="0.25">
      <c r="A794" s="36" t="s">
        <v>27</v>
      </c>
      <c r="B794" s="25"/>
      <c r="C794" s="26" t="str" cm="1">
        <f t="array" ref="C794">CONCATENATE(GetCSVIndex(A2,249+8316),":", GetCSVIndex(A2,250+8316),":", GetCSVIndex(A2,251+8316))</f>
        <v>::</v>
      </c>
      <c r="D794" s="26"/>
      <c r="E794" s="45">
        <v>3</v>
      </c>
      <c r="F794" s="29" t="e" cm="1">
        <f t="array" ref="F794">CHOOSE(GetCSVIndex(A2,42+8316)+1,"","Station","Block","","Delay")</f>
        <v>#VALUE!</v>
      </c>
      <c r="G794" s="29" t="str" cm="1">
        <f t="array" ref="G794">GetCSVIndex(A2,43+8316)</f>
        <v/>
      </c>
      <c r="H794" s="45" t="str" cm="1">
        <f t="array" ref="H794">GetCSVIndex(A2,253+8316)</f>
        <v/>
      </c>
      <c r="I794" s="29" t="str" cm="1">
        <f t="array" ref="I794">GetCSVIndex(A2,316+8316)</f>
        <v/>
      </c>
      <c r="J794" s="25"/>
      <c r="K794" s="45">
        <v>35</v>
      </c>
      <c r="L794" s="29" t="e" cm="1">
        <f t="array" ref="L794">CHOOSE(GetCSVIndex(A2,138+8316)+1,"","Station","Block","","Delay")</f>
        <v>#VALUE!</v>
      </c>
      <c r="M794" s="29" t="str" cm="1">
        <f t="array" ref="M794">GetCSVIndex(A2,139+8316)</f>
        <v/>
      </c>
      <c r="N794" s="27" t="str" cm="1">
        <f t="array" ref="N794">GetCSVIndex(A2,285+8316)</f>
        <v/>
      </c>
      <c r="O794" s="43" t="str" cm="1">
        <f t="array" ref="O794">GetCSVIndex(A2,348+8316)</f>
        <v/>
      </c>
    </row>
    <row r="795" spans="1:15" ht="21" customHeight="1" x14ac:dyDescent="0.25">
      <c r="A795" s="36"/>
      <c r="B795" s="25"/>
      <c r="C795" s="25"/>
      <c r="D795" s="25"/>
      <c r="E795" s="45">
        <v>4</v>
      </c>
      <c r="F795" s="29" t="e" cm="1">
        <f t="array" ref="F795">CHOOSE(GetCSVIndex(A2,45+8316)+1,"","Station","Block","","Delay")</f>
        <v>#VALUE!</v>
      </c>
      <c r="G795" s="29" t="str" cm="1">
        <f t="array" ref="G795">GetCSVIndex(A2,46+8316)</f>
        <v/>
      </c>
      <c r="H795" s="45" t="str" cm="1">
        <f t="array" ref="H795">GetCSVIndex(A2,254+8316)</f>
        <v/>
      </c>
      <c r="I795" s="29" t="str" cm="1">
        <f t="array" ref="I795">GetCSVIndex(A2,317+8316)</f>
        <v/>
      </c>
      <c r="J795" s="25"/>
      <c r="K795" s="45">
        <v>36</v>
      </c>
      <c r="L795" s="29" t="e" cm="1">
        <f t="array" ref="L795">CHOOSE(GetCSVIndex(A2,141+8316)+1,"","Station","Block","","Delay")</f>
        <v>#VALUE!</v>
      </c>
      <c r="M795" s="29" t="str" cm="1">
        <f t="array" ref="M795">GetCSVIndex(A2,142+8316)</f>
        <v/>
      </c>
      <c r="N795" s="27" t="str" cm="1">
        <f t="array" ref="N795">GetCSVIndex(A2,286+8316)</f>
        <v/>
      </c>
      <c r="O795" s="43" t="str" cm="1">
        <f t="array" ref="O795">GetCSVIndex(A2,349+8316)</f>
        <v/>
      </c>
    </row>
    <row r="796" spans="1:15" ht="21" customHeight="1" x14ac:dyDescent="0.25">
      <c r="A796" s="37" t="s">
        <v>28</v>
      </c>
      <c r="B796" s="28"/>
      <c r="C796" s="29" t="str" cm="1">
        <f t="array" ref="C796">IF(GetCSVIndex(A2,14+8316)&lt;&gt;"65535",CONCATENATE(GetCSVIndex(A2,229+8316),":", GetCSVIndex(A2,239+8316)),"OFF")</f>
        <v>:</v>
      </c>
      <c r="D796" s="25"/>
      <c r="E796" s="45">
        <v>5</v>
      </c>
      <c r="F796" s="29" t="e" cm="1">
        <f t="array" ref="F796">CHOOSE(GetCSVIndex(A2,48+8316)+1,"","Station","Block","","Delay")</f>
        <v>#VALUE!</v>
      </c>
      <c r="G796" s="29" t="str" cm="1">
        <f t="array" ref="G796">GetCSVIndex(A2,49+8316)</f>
        <v/>
      </c>
      <c r="H796" s="45" t="str" cm="1">
        <f t="array" ref="H796">GetCSVIndex(A2,255+8316)</f>
        <v/>
      </c>
      <c r="I796" s="29" t="str" cm="1">
        <f t="array" ref="I796">GetCSVIndex(A2,318+8316)</f>
        <v/>
      </c>
      <c r="J796" s="25"/>
      <c r="K796" s="45">
        <v>37</v>
      </c>
      <c r="L796" s="29" t="e" cm="1">
        <f t="array" ref="L796">CHOOSE(GetCSVIndex(A2,144+8316)+1,"","Station","Block","","Delay")</f>
        <v>#VALUE!</v>
      </c>
      <c r="M796" s="29" t="str" cm="1">
        <f t="array" ref="M796">GetCSVIndex(A2,145+8316)</f>
        <v/>
      </c>
      <c r="N796" s="27" t="str" cm="1">
        <f t="array" ref="N796">GetCSVIndex(A2,287+8316)</f>
        <v/>
      </c>
      <c r="O796" s="43" t="str" cm="1">
        <f t="array" ref="O796">GetCSVIndex(A2,350+8316)</f>
        <v/>
      </c>
    </row>
    <row r="797" spans="1:15" ht="21" customHeight="1" x14ac:dyDescent="0.25">
      <c r="A797" s="38" t="s">
        <v>29</v>
      </c>
      <c r="B797" s="30"/>
      <c r="C797" s="29" t="str" cm="1">
        <f t="array" ref="C797">IF(GetCSVIndex(A2,15+8316)&lt;&gt;"65535",CONCATENATE(GetCSVIndex(A2,231+8316),":", GetCSVIndex(A2,241+8316)),"OFF")</f>
        <v>:</v>
      </c>
      <c r="D797" s="25"/>
      <c r="E797" s="45">
        <v>6</v>
      </c>
      <c r="F797" s="29" t="e" cm="1">
        <f t="array" ref="F797">CHOOSE(GetCSVIndex(A2,51+8316)+1,"","Station","Block","","Delay")</f>
        <v>#VALUE!</v>
      </c>
      <c r="G797" s="29" t="str" cm="1">
        <f t="array" ref="G797">GetCSVIndex(A2,52+8316)</f>
        <v/>
      </c>
      <c r="H797" s="45" t="str" cm="1">
        <f t="array" ref="H797">GetCSVIndex(A2,256+8316)</f>
        <v/>
      </c>
      <c r="I797" s="29" t="str" cm="1">
        <f t="array" ref="I797">GetCSVIndex(A2,319+8316)</f>
        <v/>
      </c>
      <c r="J797" s="25"/>
      <c r="K797" s="45">
        <v>38</v>
      </c>
      <c r="L797" s="29" t="e" cm="1">
        <f t="array" ref="L797">CHOOSE(GetCSVIndex(A2,147+8316)+1,"","Station","Block","","Delay")</f>
        <v>#VALUE!</v>
      </c>
      <c r="M797" s="29" t="str" cm="1">
        <f t="array" ref="M797">GetCSVIndex(A2,148+8316)</f>
        <v/>
      </c>
      <c r="N797" s="27" t="str" cm="1">
        <f t="array" ref="N797">GetCSVIndex(A2,288+8316)</f>
        <v/>
      </c>
      <c r="O797" s="43" t="str" cm="1">
        <f t="array" ref="O797">GetCSVIndex(A2,351+8316)</f>
        <v/>
      </c>
    </row>
    <row r="798" spans="1:15" ht="21" customHeight="1" x14ac:dyDescent="0.25">
      <c r="A798" s="38" t="s">
        <v>30</v>
      </c>
      <c r="B798" s="30"/>
      <c r="C798" s="29" t="str" cm="1">
        <f t="array" ref="C798">IF(GetCSVIndex(A2,16+8316)&lt;&gt;"65535",CONCATENATE(GetCSVIndex(A2,232+8316),":", GetCSVIndex(A2,242+8316)),"OFF")</f>
        <v>:</v>
      </c>
      <c r="D798" s="25"/>
      <c r="E798" s="45">
        <v>7</v>
      </c>
      <c r="F798" s="29" t="e" cm="1">
        <f t="array" ref="F798">CHOOSE(GetCSVIndex(A2,54+8316)+1,"","Station","Block","","Delay")</f>
        <v>#VALUE!</v>
      </c>
      <c r="G798" s="29" t="str" cm="1">
        <f t="array" ref="G798">GetCSVIndex(A2,55+8316)</f>
        <v/>
      </c>
      <c r="H798" s="45" t="str" cm="1">
        <f t="array" ref="H798">GetCSVIndex(A2,257+8316)</f>
        <v/>
      </c>
      <c r="I798" s="29" t="str" cm="1">
        <f t="array" ref="I798">GetCSVIndex(A2,320+8316)</f>
        <v/>
      </c>
      <c r="J798" s="25"/>
      <c r="K798" s="45">
        <v>39</v>
      </c>
      <c r="L798" s="29" t="e" cm="1">
        <f t="array" ref="L798">CHOOSE(GetCSVIndex(A2,150+8316)+1,"","Station","Block","","Delay")</f>
        <v>#VALUE!</v>
      </c>
      <c r="M798" s="29" t="str" cm="1">
        <f t="array" ref="M798">GetCSVIndex(A2,151+8316)</f>
        <v/>
      </c>
      <c r="N798" s="27" t="str" cm="1">
        <f t="array" ref="N798">GetCSVIndex(A2,289+8316)</f>
        <v/>
      </c>
      <c r="O798" s="43" t="str" cm="1">
        <f t="array" ref="O798">GetCSVIndex(A2,352+8316)</f>
        <v/>
      </c>
    </row>
    <row r="799" spans="1:15" ht="21" customHeight="1" x14ac:dyDescent="0.25">
      <c r="A799" s="38" t="s">
        <v>31</v>
      </c>
      <c r="B799" s="30"/>
      <c r="C799" s="29" t="str" cm="1">
        <f t="array" ref="C799">IF(GetCSVIndex(A2,17+8316)&lt;&gt;"65535",CONCATENATE(GetCSVIndex(A2,233+8316),":", GetCSVIndex(A2,243+8316)),"OFF")</f>
        <v>:</v>
      </c>
      <c r="D799" s="25"/>
      <c r="E799" s="45">
        <v>8</v>
      </c>
      <c r="F799" s="29" t="e" cm="1">
        <f t="array" ref="F799">CHOOSE(GetCSVIndex(A2,57+8316)+1,"","Station","Block","","Delay")</f>
        <v>#VALUE!</v>
      </c>
      <c r="G799" s="29" t="str" cm="1">
        <f t="array" ref="G799">GetCSVIndex(A2,58+8316)</f>
        <v/>
      </c>
      <c r="H799" s="45" t="str" cm="1">
        <f t="array" ref="H799">GetCSVIndex(A2,258+8316)</f>
        <v/>
      </c>
      <c r="I799" s="29" t="str" cm="1">
        <f t="array" ref="I799">GetCSVIndex(A2,321+8316)</f>
        <v/>
      </c>
      <c r="J799" s="25"/>
      <c r="K799" s="45">
        <v>40</v>
      </c>
      <c r="L799" s="29" t="e" cm="1">
        <f t="array" ref="L799">CHOOSE(GetCSVIndex(A2,153+8316)+1,"","Station","Block","","Delay")</f>
        <v>#VALUE!</v>
      </c>
      <c r="M799" s="29" t="str" cm="1">
        <f t="array" ref="M799">GetCSVIndex(A2,154+8316)</f>
        <v/>
      </c>
      <c r="N799" s="27" t="str" cm="1">
        <f t="array" ref="N799">GetCSVIndex(A2,290+8316)</f>
        <v/>
      </c>
      <c r="O799" s="43" t="str" cm="1">
        <f t="array" ref="O799">GetCSVIndex(A2,353+8316)</f>
        <v/>
      </c>
    </row>
    <row r="800" spans="1:15" ht="21" customHeight="1" x14ac:dyDescent="0.25">
      <c r="A800" s="38" t="s">
        <v>32</v>
      </c>
      <c r="B800" s="30"/>
      <c r="C800" s="29" t="str" cm="1">
        <f t="array" ref="C800">IF(GetCSVIndex(A2,18+8316)&lt;&gt;"65535",CONCATENATE(GetCSVIndex(A2,234+8316),":", GetCSVIndex(A2,244+8316)),"OFF")</f>
        <v>:</v>
      </c>
      <c r="D800" s="25"/>
      <c r="E800" s="45">
        <v>9</v>
      </c>
      <c r="F800" s="29" t="e" cm="1">
        <f t="array" ref="F800">CHOOSE(GetCSVIndex(A2,60+8316)+1,"","Station","Block","","Delay")</f>
        <v>#VALUE!</v>
      </c>
      <c r="G800" s="29" t="str" cm="1">
        <f t="array" ref="G800">GetCSVIndex(A2,61+8316)</f>
        <v/>
      </c>
      <c r="H800" s="45" t="str" cm="1">
        <f t="array" ref="H800">GetCSVIndex(A2,259+8316)</f>
        <v/>
      </c>
      <c r="I800" s="29" t="str" cm="1">
        <f t="array" ref="I800">GetCSVIndex(A2,322+8316)</f>
        <v/>
      </c>
      <c r="J800" s="25"/>
      <c r="K800" s="45">
        <v>41</v>
      </c>
      <c r="L800" s="29" t="e" cm="1">
        <f t="array" ref="L800">CHOOSE(GetCSVIndex(A2,156+8316)+1,"","Station","Block","","Delay")</f>
        <v>#VALUE!</v>
      </c>
      <c r="M800" s="29" t="str" cm="1">
        <f t="array" ref="M800">GetCSVIndex(A2,157+8316)</f>
        <v/>
      </c>
      <c r="N800" s="27" t="str" cm="1">
        <f t="array" ref="N800">GetCSVIndex(A2,291+8316)</f>
        <v/>
      </c>
      <c r="O800" s="43" t="str" cm="1">
        <f t="array" ref="O800">GetCSVIndex(A2,354+8316)</f>
        <v/>
      </c>
    </row>
    <row r="801" spans="1:15" ht="21" customHeight="1" x14ac:dyDescent="0.25">
      <c r="A801" s="38" t="s">
        <v>33</v>
      </c>
      <c r="B801" s="30"/>
      <c r="C801" s="29" t="str" cm="1">
        <f t="array" ref="C801">IF(GetCSVIndex(A2,19+8316)&lt;&gt;"65535",CONCATENATE(GetCSVIndex(A2,235+8316),":", GetCSVIndex(A2,245+8316)),"OFF")</f>
        <v>:</v>
      </c>
      <c r="D801" s="25"/>
      <c r="E801" s="45">
        <v>10</v>
      </c>
      <c r="F801" s="29" t="e" cm="1">
        <f t="array" ref="F801">CHOOSE(GetCSVIndex(A2,63+8316)+1,"","Station","Block","","Delay")</f>
        <v>#VALUE!</v>
      </c>
      <c r="G801" s="29" t="str" cm="1">
        <f t="array" ref="G801">GetCSVIndex(A2,64+8316)</f>
        <v/>
      </c>
      <c r="H801" s="45" t="str" cm="1">
        <f t="array" ref="H801">GetCSVIndex(A2,260+8316)</f>
        <v/>
      </c>
      <c r="I801" s="29" t="str" cm="1">
        <f t="array" ref="I801">GetCSVIndex(A2,323+8316)</f>
        <v/>
      </c>
      <c r="J801" s="25"/>
      <c r="K801" s="45">
        <v>42</v>
      </c>
      <c r="L801" s="29" t="e" cm="1">
        <f t="array" ref="L801">CHOOSE(GetCSVIndex(A2,159+8316)+1,"","Station","Block","","Delay")</f>
        <v>#VALUE!</v>
      </c>
      <c r="M801" s="29" t="str" cm="1">
        <f t="array" ref="M801">GetCSVIndex(A2,160+8316)</f>
        <v/>
      </c>
      <c r="N801" s="27" t="str" cm="1">
        <f t="array" ref="N801">GetCSVIndex(A2,292+8316)</f>
        <v/>
      </c>
      <c r="O801" s="43" t="str" cm="1">
        <f t="array" ref="O801">GetCSVIndex(A2,355+8316)</f>
        <v/>
      </c>
    </row>
    <row r="802" spans="1:15" ht="21" customHeight="1" x14ac:dyDescent="0.25">
      <c r="A802" s="38" t="s">
        <v>34</v>
      </c>
      <c r="B802" s="30"/>
      <c r="C802" s="29" t="str" cm="1">
        <f t="array" ref="C802">IF(GetCSVIndex(A2,20+8316)&lt;&gt;"65535",CONCATENATE(GetCSVIndex(A2,236+8316),":", GetCSVIndex(A2,246+8316)),"OFF")</f>
        <v>:</v>
      </c>
      <c r="D802" s="25"/>
      <c r="E802" s="45">
        <v>11</v>
      </c>
      <c r="F802" s="29" t="e" cm="1">
        <f t="array" ref="F802">CHOOSE(GetCSVIndex(A2,66+8316)+1,"","Station","Block","","Delay")</f>
        <v>#VALUE!</v>
      </c>
      <c r="G802" s="29" t="str" cm="1">
        <f t="array" ref="G802">GetCSVIndex(A2,67+8316)</f>
        <v/>
      </c>
      <c r="H802" s="45" t="str" cm="1">
        <f t="array" ref="H802">GetCSVIndex(A2,261+8316)</f>
        <v/>
      </c>
      <c r="I802" s="29" t="str" cm="1">
        <f t="array" ref="I802">GetCSVIndex(A2,324+8316)</f>
        <v/>
      </c>
      <c r="J802" s="25"/>
      <c r="K802" s="45">
        <v>43</v>
      </c>
      <c r="L802" s="29" t="e" cm="1">
        <f t="array" ref="L802">CHOOSE(GetCSVIndex(A2,162+8316)+1,"","Station","Block","","Delay")</f>
        <v>#VALUE!</v>
      </c>
      <c r="M802" s="29" t="str" cm="1">
        <f t="array" ref="M802">GetCSVIndex(A2,163+8316)</f>
        <v/>
      </c>
      <c r="N802" s="27" t="str" cm="1">
        <f t="array" ref="N802">GetCSVIndex(A2,293+8316)</f>
        <v/>
      </c>
      <c r="O802" s="43" t="str" cm="1">
        <f t="array" ref="O802">GetCSVIndex(A2,356+8316)</f>
        <v/>
      </c>
    </row>
    <row r="803" spans="1:15" ht="21" customHeight="1" x14ac:dyDescent="0.25">
      <c r="A803" s="38" t="s">
        <v>35</v>
      </c>
      <c r="B803" s="30"/>
      <c r="C803" s="29" t="str" cm="1">
        <f t="array" ref="C803">IF(GetCSVIndex(A2,21+8316)&lt;&gt;"65535",CONCATENATE(GetCSVIndex(A2,237+8316),":", GetCSVIndex(A2,247+8316)),"OFF")</f>
        <v>:</v>
      </c>
      <c r="D803" s="25"/>
      <c r="E803" s="45">
        <v>12</v>
      </c>
      <c r="F803" s="29" t="e" cm="1">
        <f t="array" ref="F803">CHOOSE(GetCSVIndex(A2,69+8316)+1,"","Station","Block","","Delay")</f>
        <v>#VALUE!</v>
      </c>
      <c r="G803" s="29" t="str" cm="1">
        <f t="array" ref="G803">GetCSVIndex(A2,70+8316)</f>
        <v/>
      </c>
      <c r="H803" s="45" t="str" cm="1">
        <f t="array" ref="H803">GetCSVIndex(A2,262+8316)</f>
        <v/>
      </c>
      <c r="I803" s="29" t="str" cm="1">
        <f t="array" ref="I803">GetCSVIndex(A2,325+8316)</f>
        <v/>
      </c>
      <c r="J803" s="25"/>
      <c r="K803" s="45">
        <v>44</v>
      </c>
      <c r="L803" s="29" t="e" cm="1">
        <f t="array" ref="L803">CHOOSE(GetCSVIndex(A2,165+8316)+1,"","Station","Block","","Delay")</f>
        <v>#VALUE!</v>
      </c>
      <c r="M803" s="29" t="str" cm="1">
        <f t="array" ref="M803">GetCSVIndex(A2,166+8316)</f>
        <v/>
      </c>
      <c r="N803" s="27" t="str" cm="1">
        <f t="array" ref="N803">GetCSVIndex(A2,294+8316)</f>
        <v/>
      </c>
      <c r="O803" s="43" t="str" cm="1">
        <f t="array" ref="O803">GetCSVIndex(A2,357+8316)</f>
        <v/>
      </c>
    </row>
    <row r="804" spans="1:15" ht="21" customHeight="1" x14ac:dyDescent="0.25">
      <c r="A804" s="38" t="s">
        <v>36</v>
      </c>
      <c r="B804" s="30"/>
      <c r="C804" s="29" t="str" cm="1">
        <f t="array" ref="C804">IF(GetCSVIndex(A2,22+8316)&lt;&gt;"65535",CONCATENATE(GetCSVIndex(A2,238+8316),":", GetCSVIndex(A2,248+8316)),"OFF")</f>
        <v>:</v>
      </c>
      <c r="D804" s="25"/>
      <c r="E804" s="45">
        <v>13</v>
      </c>
      <c r="F804" s="29" t="e" cm="1">
        <f t="array" ref="F804">CHOOSE(GetCSVIndex(A2,72+8316)+1,"","Station","Block","","Delay")</f>
        <v>#VALUE!</v>
      </c>
      <c r="G804" s="29" t="str" cm="1">
        <f t="array" ref="G804">GetCSVIndex(A2,73+8316)</f>
        <v/>
      </c>
      <c r="H804" s="45" t="str" cm="1">
        <f t="array" ref="H804">GetCSVIndex(A2,263+8316)</f>
        <v/>
      </c>
      <c r="I804" s="29" t="str" cm="1">
        <f t="array" ref="I804">GetCSVIndex(A2,326+8316)</f>
        <v/>
      </c>
      <c r="J804" s="25"/>
      <c r="K804" s="45">
        <v>45</v>
      </c>
      <c r="L804" s="29" t="e" cm="1">
        <f t="array" ref="L804">CHOOSE(GetCSVIndex(A2,168+8316)+1,"","Station","Block","","Delay")</f>
        <v>#VALUE!</v>
      </c>
      <c r="M804" s="29" t="str" cm="1">
        <f t="array" ref="M804">GetCSVIndex(A2,169+8316)</f>
        <v/>
      </c>
      <c r="N804" s="27" t="str" cm="1">
        <f t="array" ref="N804">GetCSVIndex(A2,295+8316)</f>
        <v/>
      </c>
      <c r="O804" s="43" t="str" cm="1">
        <f t="array" ref="O804">GetCSVIndex(A2,358+8316)</f>
        <v/>
      </c>
    </row>
    <row r="805" spans="1:15" ht="21" customHeight="1" x14ac:dyDescent="0.25">
      <c r="A805" s="36" t="s">
        <v>37</v>
      </c>
      <c r="B805" s="25"/>
      <c r="C805" s="29" t="str" cm="1">
        <f t="array" ref="C805">IF(GetCSVIndex(A2,23+8316)&lt;&gt;"65535",CONCATENATE(GetCSVIndex(A2,230+8316),":", GetCSVIndex(A2,240+8316)),"OFF")</f>
        <v>:</v>
      </c>
      <c r="D805" s="25"/>
      <c r="E805" s="45">
        <v>14</v>
      </c>
      <c r="F805" s="29" t="e" cm="1">
        <f t="array" ref="F805">CHOOSE(GetCSVIndex(A2,75+8316)+1,"","Station","Block","","Delay")</f>
        <v>#VALUE!</v>
      </c>
      <c r="G805" s="29" t="str" cm="1">
        <f t="array" ref="G805">GetCSVIndex(A2,76+8316)</f>
        <v/>
      </c>
      <c r="H805" s="45" t="str" cm="1">
        <f t="array" ref="H805">GetCSVIndex(A2,264+8316)</f>
        <v/>
      </c>
      <c r="I805" s="29" t="str" cm="1">
        <f t="array" ref="I805">GetCSVIndex(A2,327+8316)</f>
        <v/>
      </c>
      <c r="J805" s="25"/>
      <c r="K805" s="45">
        <v>46</v>
      </c>
      <c r="L805" s="29" t="e" cm="1">
        <f t="array" ref="L805">CHOOSE(GetCSVIndex(A2,171+8316)+1,"","Station","Block","","Delay")</f>
        <v>#VALUE!</v>
      </c>
      <c r="M805" s="29" t="str" cm="1">
        <f t="array" ref="M805">GetCSVIndex(A2,172+8316)</f>
        <v/>
      </c>
      <c r="N805" s="27" t="str" cm="1">
        <f t="array" ref="N805">GetCSVIndex(A2,296+8316)</f>
        <v/>
      </c>
      <c r="O805" s="43" t="str" cm="1">
        <f t="array" ref="O805">GetCSVIndex(A2,359+8316)</f>
        <v/>
      </c>
    </row>
    <row r="806" spans="1:15" ht="21" customHeight="1" x14ac:dyDescent="0.25">
      <c r="A806" s="39"/>
      <c r="B806" s="40"/>
      <c r="C806" s="41"/>
      <c r="D806" s="26"/>
      <c r="E806" s="45">
        <v>15</v>
      </c>
      <c r="F806" s="29" t="e" cm="1">
        <f t="array" ref="F806">CHOOSE(GetCSVIndex(A2,78+8316)+1,"","Station","Block","","Delay")</f>
        <v>#VALUE!</v>
      </c>
      <c r="G806" s="29" t="str" cm="1">
        <f t="array" ref="G806">GetCSVIndex(A2,79+8316)</f>
        <v/>
      </c>
      <c r="H806" s="45" t="str" cm="1">
        <f t="array" ref="H806">GetCSVIndex(A2,265+8316)</f>
        <v/>
      </c>
      <c r="I806" s="29" t="str" cm="1">
        <f t="array" ref="I806">GetCSVIndex(A2,328+8316)</f>
        <v/>
      </c>
      <c r="J806" s="26"/>
      <c r="K806" s="45">
        <v>47</v>
      </c>
      <c r="L806" s="29" t="e" cm="1">
        <f t="array" ref="L806">CHOOSE(GetCSVIndex(A2,174+8316)+1,"","Station","Block","","Delay")</f>
        <v>#VALUE!</v>
      </c>
      <c r="M806" s="29" t="str" cm="1">
        <f t="array" ref="M806">GetCSVIndex(A2,175+8316)</f>
        <v/>
      </c>
      <c r="N806" s="27" t="str" cm="1">
        <f t="array" ref="N806">GetCSVIndex(A2,297+8316)</f>
        <v/>
      </c>
      <c r="O806" s="43" t="str" cm="1">
        <f t="array" ref="O806">GetCSVIndex(A2,360+8316)</f>
        <v/>
      </c>
    </row>
    <row r="807" spans="1:15" ht="21" customHeight="1" x14ac:dyDescent="0.25">
      <c r="A807" s="42"/>
      <c r="B807" s="25"/>
      <c r="C807" s="25"/>
      <c r="D807" s="26"/>
      <c r="E807" s="45">
        <v>16</v>
      </c>
      <c r="F807" s="29" t="e" cm="1">
        <f t="array" ref="F807">CHOOSE(GetCSVIndex(A2,81+8316)+1,"","Station","Block","","Delay")</f>
        <v>#VALUE!</v>
      </c>
      <c r="G807" s="29" t="str" cm="1">
        <f t="array" ref="G807">GetCSVIndex(A2,82+8316)</f>
        <v/>
      </c>
      <c r="H807" s="45" t="str" cm="1">
        <f t="array" ref="H807">GetCSVIndex(A2,266+8316)</f>
        <v/>
      </c>
      <c r="I807" s="29" t="str" cm="1">
        <f t="array" ref="I807">GetCSVIndex(A2,329+8316)</f>
        <v/>
      </c>
      <c r="J807" s="25"/>
      <c r="K807" s="45">
        <v>48</v>
      </c>
      <c r="L807" s="29" t="e" cm="1">
        <f t="array" ref="L807">CHOOSE(GetCSVIndex(A2,177+8316)+1,"","Station","Block","","Delay")</f>
        <v>#VALUE!</v>
      </c>
      <c r="M807" s="29" t="str" cm="1">
        <f t="array" ref="M807">GetCSVIndex(A2,178+8316)</f>
        <v/>
      </c>
      <c r="N807" s="27" t="str" cm="1">
        <f t="array" ref="N807">GetCSVIndex(A2,298+8316)</f>
        <v/>
      </c>
      <c r="O807" s="43" t="str" cm="1">
        <f t="array" ref="O807">GetCSVIndex(A2,361+8316)</f>
        <v/>
      </c>
    </row>
    <row r="808" spans="1:15" ht="21" customHeight="1" x14ac:dyDescent="0.25">
      <c r="A808" s="42"/>
      <c r="B808" s="25"/>
      <c r="C808" s="25"/>
      <c r="D808" s="26"/>
      <c r="E808" s="45">
        <v>17</v>
      </c>
      <c r="F808" s="29" t="e" cm="1">
        <f t="array" ref="F808">CHOOSE(GetCSVIndex(A2,84+8316)+1,"","Station","Block","","Delay")</f>
        <v>#VALUE!</v>
      </c>
      <c r="G808" s="29" t="str" cm="1">
        <f t="array" ref="G808">GetCSVIndex(A2,85+8316)</f>
        <v/>
      </c>
      <c r="H808" s="45" t="str" cm="1">
        <f t="array" ref="H808">GetCSVIndex(A2,267+8316)</f>
        <v/>
      </c>
      <c r="I808" s="29" t="str" cm="1">
        <f t="array" ref="I808">GetCSVIndex(A2,330+8316)</f>
        <v/>
      </c>
      <c r="J808" s="26"/>
      <c r="K808" s="45">
        <v>49</v>
      </c>
      <c r="L808" s="29" t="e" cm="1">
        <f t="array" ref="L808">CHOOSE(GetCSVIndex(A2,180+8316)+1,"","Station","Block","","Delay")</f>
        <v>#VALUE!</v>
      </c>
      <c r="M808" s="29" t="str" cm="1">
        <f t="array" ref="M808">GetCSVIndex(A2,181+8316)</f>
        <v/>
      </c>
      <c r="N808" s="27" t="str" cm="1">
        <f t="array" ref="N808">GetCSVIndex(A2,299+8316)</f>
        <v/>
      </c>
      <c r="O808" s="43" t="str" cm="1">
        <f t="array" ref="O808">GetCSVIndex(A2,362+8316)</f>
        <v/>
      </c>
    </row>
    <row r="809" spans="1:15" ht="21" customHeight="1" x14ac:dyDescent="0.25">
      <c r="A809" s="42"/>
      <c r="B809" s="25"/>
      <c r="C809" s="25"/>
      <c r="D809" s="26"/>
      <c r="E809" s="45">
        <v>18</v>
      </c>
      <c r="F809" s="29" t="e" cm="1">
        <f t="array" ref="F809">CHOOSE(GetCSVIndex(A2,87+8316)+1,"","Station","Block","","Delay")</f>
        <v>#VALUE!</v>
      </c>
      <c r="G809" s="29" t="str" cm="1">
        <f t="array" ref="G809">GetCSVIndex(A2,88+8316)</f>
        <v/>
      </c>
      <c r="H809" s="45" t="str" cm="1">
        <f t="array" ref="H809">GetCSVIndex(A2,268+8316)</f>
        <v/>
      </c>
      <c r="I809" s="29" t="str" cm="1">
        <f t="array" ref="I809">GetCSVIndex(A2,331+8316)</f>
        <v/>
      </c>
      <c r="J809" s="26"/>
      <c r="K809" s="45">
        <v>50</v>
      </c>
      <c r="L809" s="29" t="e" cm="1">
        <f t="array" ref="L809">CHOOSE(GetCSVIndex(A2,183+8316)+1,"","Station","Block","","Delay")</f>
        <v>#VALUE!</v>
      </c>
      <c r="M809" s="29" t="str" cm="1">
        <f t="array" ref="M809">GetCSVIndex(A2,184+8316)</f>
        <v/>
      </c>
      <c r="N809" s="27" t="str" cm="1">
        <f t="array" ref="N809">GetCSVIndex(A2,300+8316)</f>
        <v/>
      </c>
      <c r="O809" s="43" t="str" cm="1">
        <f t="array" ref="O809">GetCSVIndex(A2,363+8316)</f>
        <v/>
      </c>
    </row>
    <row r="810" spans="1:15" ht="21" customHeight="1" x14ac:dyDescent="0.25">
      <c r="A810" s="42"/>
      <c r="B810" s="25"/>
      <c r="C810" s="25"/>
      <c r="D810" s="26"/>
      <c r="E810" s="45">
        <v>19</v>
      </c>
      <c r="F810" s="29" t="e" cm="1">
        <f t="array" ref="F810">CHOOSE(GetCSVIndex(A2,90+8316)+1,"","Station","Block","","Delay")</f>
        <v>#VALUE!</v>
      </c>
      <c r="G810" s="29" t="str" cm="1">
        <f t="array" ref="G810">GetCSVIndex(A2,91+8316)</f>
        <v/>
      </c>
      <c r="H810" s="45" t="str" cm="1">
        <f t="array" ref="H810">GetCSVIndex(A2,269+8316)</f>
        <v/>
      </c>
      <c r="I810" s="29" t="str" cm="1">
        <f t="array" ref="I810">GetCSVIndex(A2,332+8316)</f>
        <v/>
      </c>
      <c r="J810" s="26"/>
      <c r="K810" s="45">
        <v>51</v>
      </c>
      <c r="L810" s="29" t="e" cm="1">
        <f t="array" ref="L810">CHOOSE(GetCSVIndex(A2,186+8316)+1,"","Station","Block","","Delay")</f>
        <v>#VALUE!</v>
      </c>
      <c r="M810" s="29" t="str" cm="1">
        <f t="array" ref="M810">GetCSVIndex(A2,187+8316)</f>
        <v/>
      </c>
      <c r="N810" s="27" t="str" cm="1">
        <f t="array" ref="N810">GetCSVIndex(A2,301+8316)</f>
        <v/>
      </c>
      <c r="O810" s="43" t="str" cm="1">
        <f t="array" ref="O810">GetCSVIndex(A2,364+8316)</f>
        <v/>
      </c>
    </row>
    <row r="811" spans="1:15" ht="21" customHeight="1" x14ac:dyDescent="0.25">
      <c r="A811" s="42"/>
      <c r="B811" s="25"/>
      <c r="C811" s="25"/>
      <c r="D811" s="26"/>
      <c r="E811" s="45">
        <v>20</v>
      </c>
      <c r="F811" s="29" t="e" cm="1">
        <f t="array" ref="F811">CHOOSE(GetCSVIndex(A2,93+8316)+1,"","Station","Block","","Delay")</f>
        <v>#VALUE!</v>
      </c>
      <c r="G811" s="29" t="str" cm="1">
        <f t="array" ref="G811">GetCSVIndex(A2,94+8316)</f>
        <v/>
      </c>
      <c r="H811" s="45" t="str" cm="1">
        <f t="array" ref="H811">GetCSVIndex(A2,270+8316)</f>
        <v/>
      </c>
      <c r="I811" s="29" t="str" cm="1">
        <f t="array" ref="I811">GetCSVIndex(A2,333+8316)</f>
        <v/>
      </c>
      <c r="J811" s="26"/>
      <c r="K811" s="45">
        <v>52</v>
      </c>
      <c r="L811" s="29" t="e" cm="1">
        <f t="array" ref="L811">CHOOSE(GetCSVIndex(A2,189+8316)+1,"","Station","Block","","Delay")</f>
        <v>#VALUE!</v>
      </c>
      <c r="M811" s="29" t="str" cm="1">
        <f t="array" ref="M811">GetCSVIndex(A2,190+8316)</f>
        <v/>
      </c>
      <c r="N811" s="27" t="str" cm="1">
        <f t="array" ref="N811">GetCSVIndex(A2,302+8316)</f>
        <v/>
      </c>
      <c r="O811" s="43" t="str" cm="1">
        <f t="array" ref="O811">GetCSVIndex(A2,365+8316)</f>
        <v/>
      </c>
    </row>
    <row r="812" spans="1:15" ht="21" customHeight="1" x14ac:dyDescent="0.25">
      <c r="A812" s="42"/>
      <c r="B812" s="25"/>
      <c r="C812" s="25"/>
      <c r="D812" s="26"/>
      <c r="E812" s="45">
        <v>21</v>
      </c>
      <c r="F812" s="29" t="e" cm="1">
        <f t="array" ref="F812">CHOOSE(GetCSVIndex(A2,96+8316)+1,"","Station","Block","","Delay")</f>
        <v>#VALUE!</v>
      </c>
      <c r="G812" s="29" t="str" cm="1">
        <f t="array" ref="G812">GetCSVIndex(A2,97+8316)</f>
        <v/>
      </c>
      <c r="H812" s="45" t="str" cm="1">
        <f t="array" ref="H812">GetCSVIndex(A2,271+8316)</f>
        <v/>
      </c>
      <c r="I812" s="29" t="str" cm="1">
        <f t="array" ref="I812">GetCSVIndex(A2,334+8316)</f>
        <v/>
      </c>
      <c r="J812" s="26"/>
      <c r="K812" s="45">
        <v>53</v>
      </c>
      <c r="L812" s="29" t="e" cm="1">
        <f t="array" ref="L812">CHOOSE(GetCSVIndex(A2,192+8316)+1,"","Station","Block","","Delay")</f>
        <v>#VALUE!</v>
      </c>
      <c r="M812" s="29" t="str" cm="1">
        <f t="array" ref="M812">GetCSVIndex(A2,193+8316)</f>
        <v/>
      </c>
      <c r="N812" s="27" t="str" cm="1">
        <f t="array" ref="N812">GetCSVIndex(A2,303+8316)</f>
        <v/>
      </c>
      <c r="O812" s="43" t="str" cm="1">
        <f t="array" ref="O812">GetCSVIndex(A2,366+8316)</f>
        <v/>
      </c>
    </row>
    <row r="813" spans="1:15" ht="21" customHeight="1" x14ac:dyDescent="0.25">
      <c r="A813" s="42"/>
      <c r="B813" s="25"/>
      <c r="C813" s="25"/>
      <c r="D813" s="26"/>
      <c r="E813" s="45">
        <v>22</v>
      </c>
      <c r="F813" s="29" t="e" cm="1">
        <f t="array" ref="F813">CHOOSE(GetCSVIndex(A2,99+8316)+1,"","Station","Block","","Delay")</f>
        <v>#VALUE!</v>
      </c>
      <c r="G813" s="29" t="str" cm="1">
        <f t="array" ref="G813">GetCSVIndex(A2,100+8316)</f>
        <v/>
      </c>
      <c r="H813" s="45" t="str" cm="1">
        <f t="array" ref="H813">GetCSVIndex(A2,272+8316)</f>
        <v/>
      </c>
      <c r="I813" s="29" t="str" cm="1">
        <f t="array" ref="I813">GetCSVIndex(A2,335+8316)</f>
        <v/>
      </c>
      <c r="J813" s="26"/>
      <c r="K813" s="45">
        <v>54</v>
      </c>
      <c r="L813" s="29" t="e" cm="1">
        <f t="array" ref="L813">CHOOSE(GetCSVIndex(A2,195+8316)+1,"","Station","Block","","Delay")</f>
        <v>#VALUE!</v>
      </c>
      <c r="M813" s="29" t="str" cm="1">
        <f t="array" ref="M813">GetCSVIndex(A2,196+8316)</f>
        <v/>
      </c>
      <c r="N813" s="27" t="str" cm="1">
        <f t="array" ref="N813">GetCSVIndex(A2,304+8316)</f>
        <v/>
      </c>
      <c r="O813" s="43" t="str" cm="1">
        <f t="array" ref="O813">GetCSVIndex(A2,367+8316)</f>
        <v/>
      </c>
    </row>
    <row r="814" spans="1:15" ht="21" customHeight="1" x14ac:dyDescent="0.25">
      <c r="A814" s="42"/>
      <c r="B814" s="25"/>
      <c r="C814" s="25"/>
      <c r="D814" s="26"/>
      <c r="E814" s="45">
        <v>23</v>
      </c>
      <c r="F814" s="29" t="e" cm="1">
        <f t="array" ref="F814">CHOOSE(GetCSVIndex(A2,102+8316)+1,"","Station","Block","","Delay")</f>
        <v>#VALUE!</v>
      </c>
      <c r="G814" s="29" t="str" cm="1">
        <f t="array" ref="G814">GetCSVIndex(A2,103+8316)</f>
        <v/>
      </c>
      <c r="H814" s="45" t="str" cm="1">
        <f t="array" ref="H814">GetCSVIndex(A2,273+8316)</f>
        <v/>
      </c>
      <c r="I814" s="29" t="str" cm="1">
        <f t="array" ref="I814">GetCSVIndex(A2,336+8316)</f>
        <v/>
      </c>
      <c r="J814" s="26"/>
      <c r="K814" s="45">
        <v>55</v>
      </c>
      <c r="L814" s="29" t="e" cm="1">
        <f t="array" ref="L814">CHOOSE(GetCSVIndex(A2,198+8316)+1,"","Station","Block","","Delay")</f>
        <v>#VALUE!</v>
      </c>
      <c r="M814" s="29" t="str" cm="1">
        <f t="array" ref="M814">GetCSVIndex(A2,199+8316)</f>
        <v/>
      </c>
      <c r="N814" s="27" t="str" cm="1">
        <f t="array" ref="N814">GetCSVIndex(A2,305+8316)</f>
        <v/>
      </c>
      <c r="O814" s="43" t="str" cm="1">
        <f t="array" ref="O814">GetCSVIndex(A2,368+8316)</f>
        <v/>
      </c>
    </row>
    <row r="815" spans="1:15" ht="21" customHeight="1" x14ac:dyDescent="0.25">
      <c r="A815" s="42"/>
      <c r="B815" s="25"/>
      <c r="C815" s="25"/>
      <c r="D815" s="26"/>
      <c r="E815" s="45">
        <v>24</v>
      </c>
      <c r="F815" s="29" t="e" cm="1">
        <f t="array" ref="F815">CHOOSE(GetCSVIndex(A2,105+8316)+1,"","Station","Block","","Delay")</f>
        <v>#VALUE!</v>
      </c>
      <c r="G815" s="29" t="str" cm="1">
        <f t="array" ref="G815">GetCSVIndex(A2,106+8316)</f>
        <v/>
      </c>
      <c r="H815" s="45" t="str" cm="1">
        <f t="array" ref="H815">GetCSVIndex(A2,274+8316)</f>
        <v/>
      </c>
      <c r="I815" s="29" t="str" cm="1">
        <f t="array" ref="I815">GetCSVIndex(A2,337+8316)</f>
        <v/>
      </c>
      <c r="J815" s="26"/>
      <c r="K815" s="45">
        <v>56</v>
      </c>
      <c r="L815" s="29" t="e" cm="1">
        <f t="array" ref="L815">CHOOSE(GetCSVIndex(A2,201+8316)+1,"","Station","Block","","Delay")</f>
        <v>#VALUE!</v>
      </c>
      <c r="M815" s="29" t="str" cm="1">
        <f t="array" ref="M815">GetCSVIndex(A2,202+8316)</f>
        <v/>
      </c>
      <c r="N815" s="27" t="str" cm="1">
        <f t="array" ref="N815">GetCSVIndex(A2,306+8316)</f>
        <v/>
      </c>
      <c r="O815" s="43" t="str" cm="1">
        <f t="array" ref="O815">GetCSVIndex(A2,369+8316)</f>
        <v/>
      </c>
    </row>
    <row r="816" spans="1:15" ht="21" customHeight="1" x14ac:dyDescent="0.25">
      <c r="A816" s="42"/>
      <c r="B816" s="25"/>
      <c r="C816" s="25"/>
      <c r="D816" s="26"/>
      <c r="E816" s="45">
        <v>25</v>
      </c>
      <c r="F816" s="29" t="e" cm="1">
        <f t="array" ref="F816">CHOOSE(GetCSVIndex(A2,108+8316)+1,"","Station","Block","","Delay")</f>
        <v>#VALUE!</v>
      </c>
      <c r="G816" s="29" t="str" cm="1">
        <f t="array" ref="G816">GetCSVIndex(A2,109+8316)</f>
        <v/>
      </c>
      <c r="H816" s="45" t="str" cm="1">
        <f t="array" ref="H816">GetCSVIndex(A2,275+8316)</f>
        <v/>
      </c>
      <c r="I816" s="29" t="str" cm="1">
        <f t="array" ref="I816">GetCSVIndex(A2,338+8316)</f>
        <v/>
      </c>
      <c r="J816" s="26"/>
      <c r="K816" s="45">
        <v>57</v>
      </c>
      <c r="L816" s="29" t="e" cm="1">
        <f t="array" ref="L816">CHOOSE(GetCSVIndex(A2,204+8316)+1,"","Station","Block","","Delay")</f>
        <v>#VALUE!</v>
      </c>
      <c r="M816" s="29" t="str" cm="1">
        <f t="array" ref="M816">GetCSVIndex(A2,205+8316)</f>
        <v/>
      </c>
      <c r="N816" s="27" t="str" cm="1">
        <f t="array" ref="N816">GetCSVIndex(A2,307+8316)</f>
        <v/>
      </c>
      <c r="O816" s="43" t="str" cm="1">
        <f t="array" ref="O816">GetCSVIndex(A2,370+8316)</f>
        <v/>
      </c>
    </row>
    <row r="817" spans="1:15" ht="21" customHeight="1" x14ac:dyDescent="0.25">
      <c r="A817" s="42"/>
      <c r="B817" s="25"/>
      <c r="C817" s="25"/>
      <c r="D817" s="26"/>
      <c r="E817" s="45">
        <v>26</v>
      </c>
      <c r="F817" s="29" t="e" cm="1">
        <f t="array" ref="F817">CHOOSE(GetCSVIndex(A2,111+8316)+1,"","Station","Block","","Delay")</f>
        <v>#VALUE!</v>
      </c>
      <c r="G817" s="29" t="str" cm="1">
        <f t="array" ref="G817">GetCSVIndex(A2,112+8316)</f>
        <v/>
      </c>
      <c r="H817" s="45" t="str" cm="1">
        <f t="array" ref="H817">GetCSVIndex(A2,276+8316)</f>
        <v/>
      </c>
      <c r="I817" s="29" t="str" cm="1">
        <f t="array" ref="I817">GetCSVIndex(A2,339+8316)</f>
        <v/>
      </c>
      <c r="J817" s="26"/>
      <c r="K817" s="45">
        <v>58</v>
      </c>
      <c r="L817" s="29" t="e" cm="1">
        <f t="array" ref="L817">CHOOSE(GetCSVIndex(A2,207+8316)+1,"","Station","Block","","Delay")</f>
        <v>#VALUE!</v>
      </c>
      <c r="M817" s="29" t="str" cm="1">
        <f t="array" ref="M817">GetCSVIndex(A2,208+8316)</f>
        <v/>
      </c>
      <c r="N817" s="27" t="str" cm="1">
        <f t="array" ref="N817">GetCSVIndex(A2,308+8316)</f>
        <v/>
      </c>
      <c r="O817" s="43" t="str" cm="1">
        <f t="array" ref="O817">GetCSVIndex(A2,371+8316)</f>
        <v/>
      </c>
    </row>
    <row r="818" spans="1:15" ht="21" customHeight="1" x14ac:dyDescent="0.25">
      <c r="A818" s="42"/>
      <c r="B818" s="25"/>
      <c r="C818" s="25"/>
      <c r="D818" s="26"/>
      <c r="E818" s="45">
        <v>27</v>
      </c>
      <c r="F818" s="29" t="e" cm="1">
        <f t="array" ref="F818">CHOOSE(GetCSVIndex(A2,114+8316)+1,"","Station","Block","","Delay")</f>
        <v>#VALUE!</v>
      </c>
      <c r="G818" s="29" t="str" cm="1">
        <f t="array" ref="G818">GetCSVIndex(A2,115+8316)</f>
        <v/>
      </c>
      <c r="H818" s="45" t="str" cm="1">
        <f t="array" ref="H818">GetCSVIndex(A2,277+8316)</f>
        <v/>
      </c>
      <c r="I818" s="29" t="str" cm="1">
        <f t="array" ref="I818">GetCSVIndex(A2,340+8316)</f>
        <v/>
      </c>
      <c r="J818" s="26"/>
      <c r="K818" s="45">
        <v>59</v>
      </c>
      <c r="L818" s="29" t="e" cm="1">
        <f t="array" ref="L818">CHOOSE(GetCSVIndex(A2,210+8316)+1,"","Station","Block","","Delay")</f>
        <v>#VALUE!</v>
      </c>
      <c r="M818" s="29" t="str" cm="1">
        <f t="array" ref="M818">GetCSVIndex(A2,211+8316)</f>
        <v/>
      </c>
      <c r="N818" s="27" t="str" cm="1">
        <f t="array" ref="N818">GetCSVIndex(A2,309+8316)</f>
        <v/>
      </c>
      <c r="O818" s="43" t="str" cm="1">
        <f t="array" ref="O818">GetCSVIndex(A2,372+8316)</f>
        <v/>
      </c>
    </row>
    <row r="819" spans="1:15" ht="21" customHeight="1" x14ac:dyDescent="0.25">
      <c r="A819" s="42"/>
      <c r="B819" s="25"/>
      <c r="C819" s="25"/>
      <c r="D819" s="26"/>
      <c r="E819" s="45">
        <v>28</v>
      </c>
      <c r="F819" s="29" t="e" cm="1">
        <f t="array" ref="F819">CHOOSE(GetCSVIndex(A2,117+8316)+1,"","Station","Block","","Delay")</f>
        <v>#VALUE!</v>
      </c>
      <c r="G819" s="29" t="str" cm="1">
        <f t="array" ref="G819">GetCSVIndex(A2,118+8316)</f>
        <v/>
      </c>
      <c r="H819" s="45" t="str" cm="1">
        <f t="array" ref="H819">GetCSVIndex(A2,278+8316)</f>
        <v/>
      </c>
      <c r="I819" s="29" t="str" cm="1">
        <f t="array" ref="I819">GetCSVIndex(A2,341+8316)</f>
        <v/>
      </c>
      <c r="J819" s="26"/>
      <c r="K819" s="45">
        <v>60</v>
      </c>
      <c r="L819" s="29" t="e" cm="1">
        <f t="array" ref="L819">CHOOSE(GetCSVIndex(A2,213+8316)+1,"","Station","Block","","Delay")</f>
        <v>#VALUE!</v>
      </c>
      <c r="M819" s="29" t="str" cm="1">
        <f t="array" ref="M819">GetCSVIndex(A2,214+8316)</f>
        <v/>
      </c>
      <c r="N819" s="27" t="str" cm="1">
        <f t="array" ref="N819">GetCSVIndex(A2,310+8316)</f>
        <v/>
      </c>
      <c r="O819" s="43" t="str" cm="1">
        <f t="array" ref="O819">GetCSVIndex(A2,373+8316)</f>
        <v/>
      </c>
    </row>
    <row r="820" spans="1:15" ht="21" customHeight="1" x14ac:dyDescent="0.25">
      <c r="A820" s="42"/>
      <c r="B820" s="25"/>
      <c r="C820" s="25"/>
      <c r="D820" s="26"/>
      <c r="E820" s="45">
        <v>29</v>
      </c>
      <c r="F820" s="29" t="e" cm="1">
        <f t="array" ref="F820">CHOOSE(GetCSVIndex(A2,120+8316)+1,"","Station","Block","","Delay")</f>
        <v>#VALUE!</v>
      </c>
      <c r="G820" s="29" t="str" cm="1">
        <f t="array" ref="G820">GetCSVIndex(A2,121+8316)</f>
        <v/>
      </c>
      <c r="H820" s="45" t="str" cm="1">
        <f t="array" ref="H820">GetCSVIndex(A2,279+8316)</f>
        <v/>
      </c>
      <c r="I820" s="29" t="str" cm="1">
        <f t="array" ref="I820">GetCSVIndex(A2,342+8316)</f>
        <v/>
      </c>
      <c r="J820" s="26"/>
      <c r="K820" s="45">
        <v>61</v>
      </c>
      <c r="L820" s="29" t="e" cm="1">
        <f t="array" ref="L820">CHOOSE(GetCSVIndex(A2,216+8316)+1,"","Station","Block","","Delay")</f>
        <v>#VALUE!</v>
      </c>
      <c r="M820" s="29" t="str" cm="1">
        <f t="array" ref="M820">GetCSVIndex(A2,217+8316)</f>
        <v/>
      </c>
      <c r="N820" s="27" t="str" cm="1">
        <f t="array" ref="N820">GetCSVIndex(A2,311+8316)</f>
        <v/>
      </c>
      <c r="O820" s="43" t="str" cm="1">
        <f t="array" ref="O820">GetCSVIndex(A2,374+8316)</f>
        <v/>
      </c>
    </row>
    <row r="821" spans="1:15" ht="21" customHeight="1" x14ac:dyDescent="0.25">
      <c r="A821" s="42"/>
      <c r="B821" s="25"/>
      <c r="C821" s="25"/>
      <c r="D821" s="26"/>
      <c r="E821" s="45">
        <v>30</v>
      </c>
      <c r="F821" s="29" t="e" cm="1">
        <f t="array" ref="F821">CHOOSE(GetCSVIndex(A2,123+8316)+1,"","Station","Block","","Delay")</f>
        <v>#VALUE!</v>
      </c>
      <c r="G821" s="29" t="str" cm="1">
        <f t="array" ref="G821">GetCSVIndex(A2,124+8316)</f>
        <v/>
      </c>
      <c r="H821" s="45" t="str" cm="1">
        <f t="array" ref="H821">GetCSVIndex(A2,280+8316)</f>
        <v/>
      </c>
      <c r="I821" s="29" t="str" cm="1">
        <f t="array" ref="I821">GetCSVIndex(A2,343+8316)</f>
        <v/>
      </c>
      <c r="J821" s="26"/>
      <c r="K821" s="45">
        <v>62</v>
      </c>
      <c r="L821" s="29" t="e" cm="1">
        <f t="array" ref="L821">CHOOSE(GetCSVIndex(A2,219+8316)+1,"","Station","Block","","Delay")</f>
        <v>#VALUE!</v>
      </c>
      <c r="M821" s="29" t="str" cm="1">
        <f t="array" ref="M821">GetCSVIndex(A2,220+8316)</f>
        <v/>
      </c>
      <c r="N821" s="27" t="str" cm="1">
        <f t="array" ref="N821">GetCSVIndex(A2,312+8316)</f>
        <v/>
      </c>
      <c r="O821" s="43" t="str" cm="1">
        <f t="array" ref="O821">GetCSVIndex(A2,375+8316)</f>
        <v/>
      </c>
    </row>
    <row r="822" spans="1:15" ht="21" customHeight="1" x14ac:dyDescent="0.25">
      <c r="A822" s="42"/>
      <c r="B822" s="25"/>
      <c r="C822" s="25"/>
      <c r="D822" s="26"/>
      <c r="E822" s="45">
        <v>31</v>
      </c>
      <c r="F822" s="29" t="e" cm="1">
        <f t="array" ref="F822">CHOOSE(GetCSVIndex(A2,126+8316)+1,"","Station","Block","","Delay")</f>
        <v>#VALUE!</v>
      </c>
      <c r="G822" s="29" t="str" cm="1">
        <f t="array" ref="G822">GetCSVIndex(A2,127+8316)</f>
        <v/>
      </c>
      <c r="H822" s="45" t="str" cm="1">
        <f t="array" ref="H822">GetCSVIndex(A2,281+8316)</f>
        <v/>
      </c>
      <c r="I822" s="29" t="str" cm="1">
        <f t="array" ref="I822">GetCSVIndex(A2,344+8316)</f>
        <v/>
      </c>
      <c r="J822" s="26"/>
      <c r="K822" s="45">
        <v>63</v>
      </c>
      <c r="L822" s="29" t="e" cm="1">
        <f t="array" ref="L822">CHOOSE(GetCSVIndex(A2,222+8316)+1,"","Station","Block","","Delay")</f>
        <v>#VALUE!</v>
      </c>
      <c r="M822" s="29" t="str" cm="1">
        <f t="array" ref="M822">GetCSVIndex(A2,223+8316)</f>
        <v/>
      </c>
      <c r="N822" s="27" t="str" cm="1">
        <f t="array" ref="N822">GetCSVIndex(A2,313+8316)</f>
        <v/>
      </c>
      <c r="O822" s="43" t="str" cm="1">
        <f t="array" ref="O822">GetCSVIndex(A2,376+8316)</f>
        <v/>
      </c>
    </row>
    <row r="823" spans="1:15" ht="21" customHeight="1" x14ac:dyDescent="0.25">
      <c r="A823" s="37"/>
      <c r="B823" s="28"/>
      <c r="C823" s="29"/>
      <c r="D823" s="29"/>
      <c r="E823" s="45">
        <v>32</v>
      </c>
      <c r="F823" s="29" t="e" cm="1">
        <f t="array" ref="F823">CHOOSE(GetCSVIndex(A2,129+8316)+1,"","Station","Block","","Delay")</f>
        <v>#VALUE!</v>
      </c>
      <c r="G823" s="29" t="str" cm="1">
        <f t="array" ref="G823">GetCSVIndex(A2,130+8316)</f>
        <v/>
      </c>
      <c r="H823" s="45" t="str" cm="1">
        <f t="array" ref="H823">GetCSVIndex(A2,282+8316)</f>
        <v/>
      </c>
      <c r="I823" s="29" t="str" cm="1">
        <f t="array" ref="I823">GetCSVIndex(A2,345+8316)</f>
        <v/>
      </c>
      <c r="J823" s="29"/>
      <c r="K823" s="45">
        <v>64</v>
      </c>
      <c r="L823" s="29" t="e" cm="1">
        <f t="array" ref="L823">CHOOSE(GetCSVIndex(A2,225+8316)+1,"","Station","Block","","Delay")</f>
        <v>#VALUE!</v>
      </c>
      <c r="M823" s="29" t="str" cm="1">
        <f t="array" ref="M823">GetCSVIndex(A2,226+8316)</f>
        <v/>
      </c>
      <c r="N823" s="27" t="str" cm="1">
        <f t="array" ref="N823">GetCSVIndex(A2,314+8316)</f>
        <v/>
      </c>
      <c r="O823" s="43" t="str" cm="1">
        <f t="array" ref="O823">GetCSVIndex(A2,377+8316)</f>
        <v/>
      </c>
    </row>
    <row r="824" spans="1:15" ht="23.25" customHeight="1" x14ac:dyDescent="0.25">
      <c r="A824" s="51" t="str" cm="1">
        <f t="array" ref="A824">CONCATENATE("Schedule  Program Number : ", GetCSVIndex(A2,5+8694))</f>
        <v xml:space="preserve">Schedule  Program Number : </v>
      </c>
      <c r="B824" s="52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3"/>
    </row>
    <row r="825" spans="1:15" ht="21" customHeight="1" x14ac:dyDescent="0.25">
      <c r="A825" s="20" t="s">
        <v>44</v>
      </c>
      <c r="B825" s="22" t="str" cm="1">
        <f t="array" ref="B825">GetCSVIndex(A2,5+8694)</f>
        <v/>
      </c>
      <c r="C825" s="18"/>
      <c r="D825" s="18"/>
      <c r="E825" s="18"/>
      <c r="F825" s="18"/>
      <c r="G825" s="18" t="s">
        <v>19</v>
      </c>
      <c r="H825" s="18" t="e" cm="1">
        <f t="array" ref="H825">CHOOSE(GetCSVIndex(A2,7+8694)+1, "Days of Week", "Odd/Even", "Interval","Manual")</f>
        <v>#VALUE!</v>
      </c>
      <c r="I825" s="18"/>
      <c r="J825" s="15"/>
      <c r="K825" s="15"/>
      <c r="L825" s="15"/>
      <c r="M825" s="15"/>
      <c r="N825" s="15"/>
      <c r="O825" s="16"/>
    </row>
    <row r="826" spans="1:15" ht="18" customHeight="1" x14ac:dyDescent="0.25">
      <c r="A826" s="21" t="s">
        <v>20</v>
      </c>
      <c r="B826" s="19" t="e" cm="1">
        <f t="array" ref="B826">CHOOSE(GetCSVIndex(A2,24+8694)+1, "Program", "Global", "Monthly","Solar Sync")</f>
        <v>#VALUE!</v>
      </c>
      <c r="C826" s="19"/>
      <c r="D826" s="19"/>
      <c r="E826" s="19"/>
      <c r="F826" s="19" t="s">
        <v>21</v>
      </c>
      <c r="G826" s="19" t="e" cm="1">
        <f t="array" ref="G826">IF(CHOOSE(GetCSVIndex(A2,7+8694)+1,IF(_xlfn.BITAND(GetCSVIndex(A2,8+8694), 2^0)=0, 0, 1),IF(_xlfn.BITAND(GetCSVIndex(A2,9+8694), 2^0)=0, 0, 1),IF(_xlfn.BITAND(GetCSVIndex(A2,10+8694), 2^0)=0, 0, 1)) =1,"Mon","")</f>
        <v>#VALUE!</v>
      </c>
      <c r="H826" s="19" t="e" cm="1">
        <f t="array" ref="H826">CONCATENATE(IF(CHOOSE(GetCSVIndex(A2,7+8694)+1,IF(_xlfn.BITAND(GetCSVIndex(A2,8+8694), 2^1)=0, 0, 1),IF(_xlfn.BITAND(GetCSVIndex(A2,9+8694), 2^1)=0, 0, 1),IF(_xlfn.BITAND(GetCSVIndex(A2,10+8694), 2^1)=0, 0, 1)) =1,"Tue       ","       "),IF(CHOOSE(GetCSVIndex(A2,7+8694)+1,IF(_xlfn.BITAND(GetCSVIndex(A2,8+8694), 2^2)=0, 0, 1),IF(_xlfn.BITAND(GetCSVIndex(A2,9+8694), 2^2)=0, 0, 1),IF(_xlfn.BITAND(GetCSVIndex(A2,10+8694), 2^2)=0, 0, 1)) =1,"Wed",""),IF(CHOOSE(GetCSVIndex(A2,7+8694)+1,IF(_xlfn.BITAND(GetCSVIndex(A2,8+8694), 2^3)=0, 0, 1),IF(_xlfn.BITAND(GetCSVIndex(A2,9+8694), 2^3)=0, 0, 1),IF(_xlfn.BITAND(GetCSVIndex(A2,10+8694), 2^3)=0, 0, 1)) =1,"       Thu","       "))</f>
        <v>#VALUE!</v>
      </c>
      <c r="I826" s="32" t="e" cm="1">
        <f t="array" ref="I826">CONCATENATE(IF(CHOOSE(GetCSVIndex(A2,7+8694)+1,IF(_xlfn.BITAND(GetCSVIndex(A2,8+8694), 2^4)=0, 0, 1),IF(_xlfn.BITAND(GetCSVIndex(A2,9+8694), 2^4)=0, 0, 1),IF(_xlfn.BITAND(GetCSVIndex(A2,10+8694), 2^4)=0, 0, 1)) =1,"Fri       ","       "),IF(CHOOSE(GetCSVIndex(A2,7+8694)+1,IF(_xlfn.BITAND(GetCSVIndex(A2,8+8694), 2^5)=0, 0, 1),IF(_xlfn.BITAND(GetCSVIndex(A2,9+8694), 2^5)=0, 0, 1),IF(_xlfn.BITAND(GetCSVIndex(A2,10+8694), 2^5)=0, 0, 1)) =1,"Sat",""),IF(CHOOSE(GetCSVIndex(A2,7+8694)+1,IF(_xlfn.BITAND(GetCSVIndex(A2,8+8694), 2^6)=0, 0, 1),IF(_xlfn.BITAND(GetCSVIndex(A2,9+8694), 2^6)=0, 0, 1),IF(_xlfn.BITAND(GetCSVIndex(A2,10+8694), 2^6)=0, 0, 1)) =1,"       Sun","       "))</f>
        <v>#VALUE!</v>
      </c>
      <c r="J826" s="19"/>
      <c r="K826" s="19"/>
      <c r="L826" s="32" t="s">
        <v>22</v>
      </c>
      <c r="M826" s="19"/>
      <c r="N826" s="19" t="str" cm="1">
        <f t="array" ref="N826">IF(GetCSVIndex(A2,26+8694)="1","Enable","Disable")</f>
        <v>Disable</v>
      </c>
      <c r="O826" s="24"/>
    </row>
    <row r="827" spans="1:15" ht="18" customHeight="1" x14ac:dyDescent="0.25">
      <c r="A827" s="21" t="str" cm="1">
        <f t="array" ref="A827">CONCATENATE("Program ", GetCSVIndex(A2,5+8694))</f>
        <v xml:space="preserve">Program </v>
      </c>
      <c r="B827" s="23" t="str" cm="1">
        <f t="array" ref="B827">CONCATENATE(GetCSVIndex(A2,25+8694)," %")</f>
        <v xml:space="preserve"> %</v>
      </c>
      <c r="C827" s="19"/>
      <c r="D827" s="19"/>
      <c r="E827" s="19"/>
      <c r="F827" s="19" t="str" cm="1">
        <f t="array" ref="F827">IF(GetCSVIndex(A2,7)="2","Water Every"," ")</f>
        <v xml:space="preserve"> </v>
      </c>
      <c r="G827" s="47" t="str" cm="1">
        <f t="array" ref="G827">IF(GetCSVIndex(A2,7+8694)="2",GetCSVIndex(A2,11+8694)," ")</f>
        <v xml:space="preserve"> </v>
      </c>
      <c r="H827" s="19" t="str" cm="1">
        <f t="array" ref="H827">IF(GetCSVIndex(A2,7+8694)="2","Days"," ")</f>
        <v xml:space="preserve"> </v>
      </c>
      <c r="I827" s="32" t="str" cm="1">
        <f t="array" ref="I827">IF(GetCSVIndex(A2,7+8694)="2","Water After"," ")</f>
        <v xml:space="preserve"> </v>
      </c>
      <c r="J827" s="19"/>
      <c r="K827" s="19" t="str" cm="1">
        <f t="array" ref="K827">IF(GetCSVIndex(A2,7+8694)="2",GetCSVIndex(A2,12+8694)," ")</f>
        <v xml:space="preserve"> </v>
      </c>
      <c r="L827" s="47" t="str" cm="1">
        <f t="array" ref="L827">IF(GetCSVIndex(A2,7+8694)="2","Days"," ")</f>
        <v xml:space="preserve"> </v>
      </c>
      <c r="M827" s="32"/>
      <c r="N827" s="32"/>
      <c r="O827" s="24"/>
    </row>
    <row r="828" spans="1:15" ht="21" customHeight="1" x14ac:dyDescent="0.25">
      <c r="A828" s="20" t="s">
        <v>23</v>
      </c>
      <c r="B828" s="18" t="s">
        <v>24</v>
      </c>
      <c r="C828" s="18" t="str" cm="1">
        <f t="array" ref="C828">CHOOSE(GetCSVIndex(A2,13)+1, "Auto", "Start to End","Manual")</f>
        <v>Start to End</v>
      </c>
      <c r="D828" s="31"/>
      <c r="E828" s="17" t="s">
        <v>38</v>
      </c>
      <c r="F828" s="18" t="s">
        <v>39</v>
      </c>
      <c r="G828" s="18" t="s">
        <v>40</v>
      </c>
      <c r="H828" s="18" t="s">
        <v>41</v>
      </c>
      <c r="I828" s="18" t="s">
        <v>43</v>
      </c>
      <c r="J828" s="31"/>
      <c r="K828" s="17" t="s">
        <v>38</v>
      </c>
      <c r="L828" s="18" t="s">
        <v>39</v>
      </c>
      <c r="M828" s="18" t="s">
        <v>40</v>
      </c>
      <c r="N828" s="22" t="s">
        <v>41</v>
      </c>
      <c r="O828" s="44" t="s">
        <v>42</v>
      </c>
    </row>
    <row r="829" spans="1:15" ht="21" customHeight="1" x14ac:dyDescent="0.25">
      <c r="A829" s="36" t="s">
        <v>25</v>
      </c>
      <c r="B829" s="46" t="str" cm="1">
        <f t="array" ref="B829">IF(GetCSVIndex(A2,6+8694)="1","Over","Stack")</f>
        <v>Stack</v>
      </c>
      <c r="C829" s="26" t="str" cm="1">
        <f t="array" ref="C829">GetCSVIndex(A2,29+8694)</f>
        <v/>
      </c>
      <c r="D829" s="25"/>
      <c r="E829" s="45">
        <v>1</v>
      </c>
      <c r="F829" s="29" t="e" cm="1">
        <f t="array" ref="F829">CHOOSE(GetCSVIndex(A2,36+8694)+1,"","Station","Block","","Delay")</f>
        <v>#VALUE!</v>
      </c>
      <c r="G829" s="29" t="str" cm="1">
        <f t="array" ref="G829">GetCSVIndex(A2,37+8694)</f>
        <v/>
      </c>
      <c r="H829" s="45" t="str" cm="1">
        <f t="array" ref="H829">GetCSVIndex(A2,3+8694)</f>
        <v/>
      </c>
      <c r="I829" s="29" t="str" cm="1">
        <f t="array" ref="I829">GetCSVIndex(A2,1+8694)</f>
        <v/>
      </c>
      <c r="J829" s="25"/>
      <c r="K829" s="45">
        <v>33</v>
      </c>
      <c r="L829" s="29" t="e" cm="1">
        <f t="array" ref="L829">CHOOSE(GetCSVIndex(A2,132+8694)+1,"","Station","Block","","Delay")</f>
        <v>#VALUE!</v>
      </c>
      <c r="M829" s="29" t="str" cm="1">
        <f t="array" ref="M829">GetCSVIndex(A2,133+8694)</f>
        <v/>
      </c>
      <c r="N829" s="27" t="str" cm="1">
        <f t="array" ref="N829">GetCSVIndex(A2,283+8694)</f>
        <v/>
      </c>
      <c r="O829" s="43" t="str" cm="1">
        <f t="array" ref="O829">GetCSVIndex(A2,346+8694)</f>
        <v/>
      </c>
    </row>
    <row r="830" spans="1:15" ht="21" customHeight="1" x14ac:dyDescent="0.25">
      <c r="A830" s="36" t="s">
        <v>26</v>
      </c>
      <c r="B830" s="25" t="str" cm="1">
        <f t="array" ref="B830">IF(GetCSVIndex(A2,2+8694)="1092:15","Not Set",CONCATENATE("From     ",GetCSVIndex(A2,2+8694)))</f>
        <v xml:space="preserve">From     </v>
      </c>
      <c r="C830" s="26" t="str" cm="1">
        <f t="array" ref="C830">IF(GetCSVIndex(C4,1+44)="1092:15","Not Set",CONCATENATE("To     ",GetCSVIndex(C4,1+44)))</f>
        <v xml:space="preserve">To     </v>
      </c>
      <c r="D830" s="25"/>
      <c r="E830" s="45">
        <v>2</v>
      </c>
      <c r="F830" s="29" t="e" cm="1">
        <f t="array" ref="F830">CHOOSE(GetCSVIndex(A2,39+8694)+1,"","Station","Block","","Delay")</f>
        <v>#VALUE!</v>
      </c>
      <c r="G830" s="29" t="str" cm="1">
        <f t="array" ref="G830">GetCSVIndex(A2,40+8694)</f>
        <v/>
      </c>
      <c r="H830" s="45" t="str" cm="1">
        <f t="array" ref="H830">GetCSVIndex(A2,252+8694)</f>
        <v/>
      </c>
      <c r="I830" s="29" t="str" cm="1">
        <f t="array" ref="I830">GetCSVIndex(A2,315+8694)</f>
        <v/>
      </c>
      <c r="J830" s="25"/>
      <c r="K830" s="45">
        <v>34</v>
      </c>
      <c r="L830" s="29" t="e" cm="1">
        <f t="array" ref="L830">CHOOSE(GetCSVIndex(A2,135+8694)+1,"","Station","Block","","Delay")</f>
        <v>#VALUE!</v>
      </c>
      <c r="M830" s="29" t="str" cm="1">
        <f t="array" ref="M830">GetCSVIndex(A2,136+8694)</f>
        <v/>
      </c>
      <c r="N830" s="27" t="str" cm="1">
        <f t="array" ref="N830">GetCSVIndex(A2,284+8694)</f>
        <v/>
      </c>
      <c r="O830" s="43" t="str" cm="1">
        <f t="array" ref="O830">GetCSVIndex(A2,347+8694)</f>
        <v/>
      </c>
    </row>
    <row r="831" spans="1:15" ht="21" customHeight="1" x14ac:dyDescent="0.25">
      <c r="A831" s="36" t="s">
        <v>27</v>
      </c>
      <c r="B831" s="25"/>
      <c r="C831" s="26" t="str" cm="1">
        <f t="array" ref="C831">CONCATENATE(GetCSVIndex(A2,249+8694),":", GetCSVIndex(A2,250+8694),":", GetCSVIndex(A2,251+8694))</f>
        <v>::</v>
      </c>
      <c r="D831" s="26"/>
      <c r="E831" s="45">
        <v>3</v>
      </c>
      <c r="F831" s="29" t="e" cm="1">
        <f t="array" ref="F831">CHOOSE(GetCSVIndex(A2,42+8694)+1,"","Station","Block","","Delay")</f>
        <v>#VALUE!</v>
      </c>
      <c r="G831" s="29" t="str" cm="1">
        <f t="array" ref="G831">GetCSVIndex(A2,43+8694)</f>
        <v/>
      </c>
      <c r="H831" s="45" t="str" cm="1">
        <f t="array" ref="H831">GetCSVIndex(A2,253+8694)</f>
        <v/>
      </c>
      <c r="I831" s="29" t="str" cm="1">
        <f t="array" ref="I831">GetCSVIndex(A2,316+8694)</f>
        <v/>
      </c>
      <c r="J831" s="25"/>
      <c r="K831" s="45">
        <v>35</v>
      </c>
      <c r="L831" s="29" t="e" cm="1">
        <f t="array" ref="L831">CHOOSE(GetCSVIndex(A2,138+8694)+1,"","Station","Block","","Delay")</f>
        <v>#VALUE!</v>
      </c>
      <c r="M831" s="29" t="str" cm="1">
        <f t="array" ref="M831">GetCSVIndex(A2,139+8694)</f>
        <v/>
      </c>
      <c r="N831" s="27" t="str" cm="1">
        <f t="array" ref="N831">GetCSVIndex(A2,285+8694)</f>
        <v/>
      </c>
      <c r="O831" s="43" t="str" cm="1">
        <f t="array" ref="O831">GetCSVIndex(A2,348+8694)</f>
        <v/>
      </c>
    </row>
    <row r="832" spans="1:15" ht="21" customHeight="1" x14ac:dyDescent="0.25">
      <c r="A832" s="36"/>
      <c r="B832" s="25"/>
      <c r="C832" s="25"/>
      <c r="D832" s="25"/>
      <c r="E832" s="45">
        <v>4</v>
      </c>
      <c r="F832" s="29" t="e" cm="1">
        <f t="array" ref="F832">CHOOSE(GetCSVIndex(A2,45+8694)+1,"","Station","Block","","Delay")</f>
        <v>#VALUE!</v>
      </c>
      <c r="G832" s="29" t="str" cm="1">
        <f t="array" ref="G832">GetCSVIndex(A2,46+8694)</f>
        <v/>
      </c>
      <c r="H832" s="45" t="str" cm="1">
        <f t="array" ref="H832">GetCSVIndex(A2,254+8694)</f>
        <v/>
      </c>
      <c r="I832" s="29" t="str" cm="1">
        <f t="array" ref="I832">GetCSVIndex(A2,317+8694)</f>
        <v/>
      </c>
      <c r="J832" s="25"/>
      <c r="K832" s="45">
        <v>36</v>
      </c>
      <c r="L832" s="29" t="e" cm="1">
        <f t="array" ref="L832">CHOOSE(GetCSVIndex(A2,141+8694)+1,"","Station","Block","","Delay")</f>
        <v>#VALUE!</v>
      </c>
      <c r="M832" s="29" t="str" cm="1">
        <f t="array" ref="M832">GetCSVIndex(A2,142+8694)</f>
        <v/>
      </c>
      <c r="N832" s="27" t="str" cm="1">
        <f t="array" ref="N832">GetCSVIndex(A2,286+8694)</f>
        <v/>
      </c>
      <c r="O832" s="43" t="str" cm="1">
        <f t="array" ref="O832">GetCSVIndex(A2,349+8694)</f>
        <v/>
      </c>
    </row>
    <row r="833" spans="1:15" ht="21" customHeight="1" x14ac:dyDescent="0.25">
      <c r="A833" s="37" t="s">
        <v>28</v>
      </c>
      <c r="B833" s="28"/>
      <c r="C833" s="29" t="str" cm="1">
        <f t="array" ref="C833">IF(GetCSVIndex(A2,14+8694)&lt;&gt;"65535",CONCATENATE(GetCSVIndex(A2,229+8694),":", GetCSVIndex(A2,239+8694)),"OFF")</f>
        <v>:</v>
      </c>
      <c r="D833" s="25"/>
      <c r="E833" s="45">
        <v>5</v>
      </c>
      <c r="F833" s="29" t="e" cm="1">
        <f t="array" ref="F833">CHOOSE(GetCSVIndex(A2,48+8694)+1,"","Station","Block","","Delay")</f>
        <v>#VALUE!</v>
      </c>
      <c r="G833" s="29" t="str" cm="1">
        <f t="array" ref="G833">GetCSVIndex(A2,49+8694)</f>
        <v/>
      </c>
      <c r="H833" s="45" t="str" cm="1">
        <f t="array" ref="H833">GetCSVIndex(A2,255+8694)</f>
        <v/>
      </c>
      <c r="I833" s="29" t="str" cm="1">
        <f t="array" ref="I833">GetCSVIndex(A2,318+8694)</f>
        <v/>
      </c>
      <c r="J833" s="25"/>
      <c r="K833" s="45">
        <v>37</v>
      </c>
      <c r="L833" s="29" t="e" cm="1">
        <f t="array" ref="L833">CHOOSE(GetCSVIndex(A2,144+8694)+1,"","Station","Block","","Delay")</f>
        <v>#VALUE!</v>
      </c>
      <c r="M833" s="29" t="str" cm="1">
        <f t="array" ref="M833">GetCSVIndex(A2,145+8694)</f>
        <v/>
      </c>
      <c r="N833" s="27" t="str" cm="1">
        <f t="array" ref="N833">GetCSVIndex(A2,287+8694)</f>
        <v/>
      </c>
      <c r="O833" s="43" t="str" cm="1">
        <f t="array" ref="O833">GetCSVIndex(A2,350+8694)</f>
        <v/>
      </c>
    </row>
    <row r="834" spans="1:15" ht="21" customHeight="1" x14ac:dyDescent="0.25">
      <c r="A834" s="38" t="s">
        <v>29</v>
      </c>
      <c r="B834" s="30"/>
      <c r="C834" s="29" t="str" cm="1">
        <f t="array" ref="C834">IF(GetCSVIndex(A2,15+8694)&lt;&gt;"65535",CONCATENATE(GetCSVIndex(A2,231+8694),":", GetCSVIndex(A2,241+8694)),"OFF")</f>
        <v>:</v>
      </c>
      <c r="D834" s="25"/>
      <c r="E834" s="45">
        <v>6</v>
      </c>
      <c r="F834" s="29" t="e" cm="1">
        <f t="array" ref="F834">CHOOSE(GetCSVIndex(A2,51+8694)+1,"","Station","Block","","Delay")</f>
        <v>#VALUE!</v>
      </c>
      <c r="G834" s="29" t="str" cm="1">
        <f t="array" ref="G834">GetCSVIndex(A2,52+8694)</f>
        <v/>
      </c>
      <c r="H834" s="45" t="str" cm="1">
        <f t="array" ref="H834">GetCSVIndex(A2,256+8694)</f>
        <v/>
      </c>
      <c r="I834" s="29" t="str" cm="1">
        <f t="array" ref="I834">GetCSVIndex(A2,319+8694)</f>
        <v/>
      </c>
      <c r="J834" s="25"/>
      <c r="K834" s="45">
        <v>38</v>
      </c>
      <c r="L834" s="29" t="e" cm="1">
        <f t="array" ref="L834">CHOOSE(GetCSVIndex(A2,147+8694)+1,"","Station","Block","","Delay")</f>
        <v>#VALUE!</v>
      </c>
      <c r="M834" s="29" t="str" cm="1">
        <f t="array" ref="M834">GetCSVIndex(A2,148+8694)</f>
        <v/>
      </c>
      <c r="N834" s="27" t="str" cm="1">
        <f t="array" ref="N834">GetCSVIndex(A2,288+8694)</f>
        <v/>
      </c>
      <c r="O834" s="43" t="str" cm="1">
        <f t="array" ref="O834">GetCSVIndex(A2,351+8694)</f>
        <v/>
      </c>
    </row>
    <row r="835" spans="1:15" ht="21" customHeight="1" x14ac:dyDescent="0.25">
      <c r="A835" s="38" t="s">
        <v>30</v>
      </c>
      <c r="B835" s="30"/>
      <c r="C835" s="29" t="str" cm="1">
        <f t="array" ref="C835">IF(GetCSVIndex(A2,16+8694)&lt;&gt;"65535",CONCATENATE(GetCSVIndex(A2,232+8694),":", GetCSVIndex(A2,242+8694)),"OFF")</f>
        <v>:</v>
      </c>
      <c r="D835" s="25"/>
      <c r="E835" s="45">
        <v>7</v>
      </c>
      <c r="F835" s="29" t="e" cm="1">
        <f t="array" ref="F835">CHOOSE(GetCSVIndex(A2,54+8694)+1,"","Station","Block","","Delay")</f>
        <v>#VALUE!</v>
      </c>
      <c r="G835" s="29" t="str" cm="1">
        <f t="array" ref="G835">GetCSVIndex(A2,55+8694)</f>
        <v/>
      </c>
      <c r="H835" s="45" t="str" cm="1">
        <f t="array" ref="H835">GetCSVIndex(A2,257+8694)</f>
        <v/>
      </c>
      <c r="I835" s="29" t="str" cm="1">
        <f t="array" ref="I835">GetCSVIndex(A2,320+8694)</f>
        <v/>
      </c>
      <c r="J835" s="25"/>
      <c r="K835" s="45">
        <v>39</v>
      </c>
      <c r="L835" s="29" t="e" cm="1">
        <f t="array" ref="L835">CHOOSE(GetCSVIndex(A2,150+8694)+1,"","Station","Block","","Delay")</f>
        <v>#VALUE!</v>
      </c>
      <c r="M835" s="29" t="str" cm="1">
        <f t="array" ref="M835">GetCSVIndex(A2,151+8694)</f>
        <v/>
      </c>
      <c r="N835" s="27" t="str" cm="1">
        <f t="array" ref="N835">GetCSVIndex(A2,289+8694)</f>
        <v/>
      </c>
      <c r="O835" s="43" t="str" cm="1">
        <f t="array" ref="O835">GetCSVIndex(A2,352+8694)</f>
        <v/>
      </c>
    </row>
    <row r="836" spans="1:15" ht="21" customHeight="1" x14ac:dyDescent="0.25">
      <c r="A836" s="38" t="s">
        <v>31</v>
      </c>
      <c r="B836" s="30"/>
      <c r="C836" s="29" t="str" cm="1">
        <f t="array" ref="C836">IF(GetCSVIndex(A2,17+8694)&lt;&gt;"65535",CONCATENATE(GetCSVIndex(A2,233+8694),":", GetCSVIndex(A2,243+8694)),"OFF")</f>
        <v>:</v>
      </c>
      <c r="D836" s="25"/>
      <c r="E836" s="45">
        <v>8</v>
      </c>
      <c r="F836" s="29" t="e" cm="1">
        <f t="array" ref="F836">CHOOSE(GetCSVIndex(A2,57+8694)+1,"","Station","Block","","Delay")</f>
        <v>#VALUE!</v>
      </c>
      <c r="G836" s="29" t="str" cm="1">
        <f t="array" ref="G836">GetCSVIndex(A2,58+8694)</f>
        <v/>
      </c>
      <c r="H836" s="45" t="str" cm="1">
        <f t="array" ref="H836">GetCSVIndex(A2,258+8694)</f>
        <v/>
      </c>
      <c r="I836" s="29" t="str" cm="1">
        <f t="array" ref="I836">GetCSVIndex(A2,321+8694)</f>
        <v/>
      </c>
      <c r="J836" s="25"/>
      <c r="K836" s="45">
        <v>40</v>
      </c>
      <c r="L836" s="29" t="e" cm="1">
        <f t="array" ref="L836">CHOOSE(GetCSVIndex(A2,153+8694)+1,"","Station","Block","","Delay")</f>
        <v>#VALUE!</v>
      </c>
      <c r="M836" s="29" t="str" cm="1">
        <f t="array" ref="M836">GetCSVIndex(A2,154+8694)</f>
        <v/>
      </c>
      <c r="N836" s="27" t="str" cm="1">
        <f t="array" ref="N836">GetCSVIndex(A2,290+8694)</f>
        <v/>
      </c>
      <c r="O836" s="43" t="str" cm="1">
        <f t="array" ref="O836">GetCSVIndex(A2,353+8694)</f>
        <v/>
      </c>
    </row>
    <row r="837" spans="1:15" ht="21" customHeight="1" x14ac:dyDescent="0.25">
      <c r="A837" s="38" t="s">
        <v>32</v>
      </c>
      <c r="B837" s="30"/>
      <c r="C837" s="29" t="str" cm="1">
        <f t="array" ref="C837">IF(GetCSVIndex(A2,18+8694)&lt;&gt;"65535",CONCATENATE(GetCSVIndex(A2,234+8694),":", GetCSVIndex(A2,244+8694)),"OFF")</f>
        <v>:</v>
      </c>
      <c r="D837" s="25"/>
      <c r="E837" s="45">
        <v>9</v>
      </c>
      <c r="F837" s="29" t="e" cm="1">
        <f t="array" ref="F837">CHOOSE(GetCSVIndex(A2,60+8694)+1,"","Station","Block","","Delay")</f>
        <v>#VALUE!</v>
      </c>
      <c r="G837" s="29" t="str" cm="1">
        <f t="array" ref="G837">GetCSVIndex(A2,61+8694)</f>
        <v/>
      </c>
      <c r="H837" s="45" t="str" cm="1">
        <f t="array" ref="H837">GetCSVIndex(A2,259+8694)</f>
        <v/>
      </c>
      <c r="I837" s="29" t="str" cm="1">
        <f t="array" ref="I837">GetCSVIndex(A2,322+8694)</f>
        <v/>
      </c>
      <c r="J837" s="25"/>
      <c r="K837" s="45">
        <v>41</v>
      </c>
      <c r="L837" s="29" t="e" cm="1">
        <f t="array" ref="L837">CHOOSE(GetCSVIndex(A2,156+8694)+1,"","Station","Block","","Delay")</f>
        <v>#VALUE!</v>
      </c>
      <c r="M837" s="29" t="str" cm="1">
        <f t="array" ref="M837">GetCSVIndex(A2,157+8694)</f>
        <v/>
      </c>
      <c r="N837" s="27" t="str" cm="1">
        <f t="array" ref="N837">GetCSVIndex(A2,291+8694)</f>
        <v/>
      </c>
      <c r="O837" s="43" t="str" cm="1">
        <f t="array" ref="O837">GetCSVIndex(A2,354+8694)</f>
        <v/>
      </c>
    </row>
    <row r="838" spans="1:15" ht="21" customHeight="1" x14ac:dyDescent="0.25">
      <c r="A838" s="38" t="s">
        <v>33</v>
      </c>
      <c r="B838" s="30"/>
      <c r="C838" s="29" t="str" cm="1">
        <f t="array" ref="C838">IF(GetCSVIndex(A2,19+8694)&lt;&gt;"65535",CONCATENATE(GetCSVIndex(A2,235+8694),":", GetCSVIndex(A2,245+8694)),"OFF")</f>
        <v>:</v>
      </c>
      <c r="D838" s="25"/>
      <c r="E838" s="45">
        <v>10</v>
      </c>
      <c r="F838" s="29" t="e" cm="1">
        <f t="array" ref="F838">CHOOSE(GetCSVIndex(A2,63+8694)+1,"","Station","Block","","Delay")</f>
        <v>#VALUE!</v>
      </c>
      <c r="G838" s="29" t="str" cm="1">
        <f t="array" ref="G838">GetCSVIndex(A2,64+8694)</f>
        <v/>
      </c>
      <c r="H838" s="45" t="str" cm="1">
        <f t="array" ref="H838">GetCSVIndex(A2,260+8694)</f>
        <v/>
      </c>
      <c r="I838" s="29" t="str" cm="1">
        <f t="array" ref="I838">GetCSVIndex(A2,323+8694)</f>
        <v/>
      </c>
      <c r="J838" s="25"/>
      <c r="K838" s="45">
        <v>42</v>
      </c>
      <c r="L838" s="29" t="e" cm="1">
        <f t="array" ref="L838">CHOOSE(GetCSVIndex(A2,159+8694)+1,"","Station","Block","","Delay")</f>
        <v>#VALUE!</v>
      </c>
      <c r="M838" s="29" t="str" cm="1">
        <f t="array" ref="M838">GetCSVIndex(A2,160+8694)</f>
        <v/>
      </c>
      <c r="N838" s="27" t="str" cm="1">
        <f t="array" ref="N838">GetCSVIndex(A2,292+8694)</f>
        <v/>
      </c>
      <c r="O838" s="43" t="str" cm="1">
        <f t="array" ref="O838">GetCSVIndex(A2,355+8694)</f>
        <v/>
      </c>
    </row>
    <row r="839" spans="1:15" ht="21" customHeight="1" x14ac:dyDescent="0.25">
      <c r="A839" s="38" t="s">
        <v>34</v>
      </c>
      <c r="B839" s="30"/>
      <c r="C839" s="29" t="str" cm="1">
        <f t="array" ref="C839">IF(GetCSVIndex(A2,20+8694)&lt;&gt;"65535",CONCATENATE(GetCSVIndex(A2,236+8694),":", GetCSVIndex(A2,246+8694)),"OFF")</f>
        <v>:</v>
      </c>
      <c r="D839" s="25"/>
      <c r="E839" s="45">
        <v>11</v>
      </c>
      <c r="F839" s="29" t="e" cm="1">
        <f t="array" ref="F839">CHOOSE(GetCSVIndex(A2,66+8694)+1,"","Station","Block","","Delay")</f>
        <v>#VALUE!</v>
      </c>
      <c r="G839" s="29" t="str" cm="1">
        <f t="array" ref="G839">GetCSVIndex(A2,67+8694)</f>
        <v/>
      </c>
      <c r="H839" s="45" t="str" cm="1">
        <f t="array" ref="H839">GetCSVIndex(A2,261+8694)</f>
        <v/>
      </c>
      <c r="I839" s="29" t="str" cm="1">
        <f t="array" ref="I839">GetCSVIndex(A2,324+8694)</f>
        <v/>
      </c>
      <c r="J839" s="25"/>
      <c r="K839" s="45">
        <v>43</v>
      </c>
      <c r="L839" s="29" t="e" cm="1">
        <f t="array" ref="L839">CHOOSE(GetCSVIndex(A2,162+8694)+1,"","Station","Block","","Delay")</f>
        <v>#VALUE!</v>
      </c>
      <c r="M839" s="29" t="str" cm="1">
        <f t="array" ref="M839">GetCSVIndex(A2,163+8694)</f>
        <v/>
      </c>
      <c r="N839" s="27" t="str" cm="1">
        <f t="array" ref="N839">GetCSVIndex(A2,293+8694)</f>
        <v/>
      </c>
      <c r="O839" s="43" t="str" cm="1">
        <f t="array" ref="O839">GetCSVIndex(A2,356+8694)</f>
        <v/>
      </c>
    </row>
    <row r="840" spans="1:15" ht="21" customHeight="1" x14ac:dyDescent="0.25">
      <c r="A840" s="38" t="s">
        <v>35</v>
      </c>
      <c r="B840" s="30"/>
      <c r="C840" s="29" t="str" cm="1">
        <f t="array" ref="C840">IF(GetCSVIndex(A2,21+8694)&lt;&gt;"65535",CONCATENATE(GetCSVIndex(A2,237+8694),":", GetCSVIndex(A2,247+8694)),"OFF")</f>
        <v>:</v>
      </c>
      <c r="D840" s="25"/>
      <c r="E840" s="45">
        <v>12</v>
      </c>
      <c r="F840" s="29" t="e" cm="1">
        <f t="array" ref="F840">CHOOSE(GetCSVIndex(A2,69+8694)+1,"","Station","Block","","Delay")</f>
        <v>#VALUE!</v>
      </c>
      <c r="G840" s="29" t="str" cm="1">
        <f t="array" ref="G840">GetCSVIndex(A2,70+8694)</f>
        <v/>
      </c>
      <c r="H840" s="45" t="str" cm="1">
        <f t="array" ref="H840">GetCSVIndex(A2,262+8694)</f>
        <v/>
      </c>
      <c r="I840" s="29" t="str" cm="1">
        <f t="array" ref="I840">GetCSVIndex(A2,325+8694)</f>
        <v/>
      </c>
      <c r="J840" s="25"/>
      <c r="K840" s="45">
        <v>44</v>
      </c>
      <c r="L840" s="29" t="e" cm="1">
        <f t="array" ref="L840">CHOOSE(GetCSVIndex(A2,165+8694)+1,"","Station","Block","","Delay")</f>
        <v>#VALUE!</v>
      </c>
      <c r="M840" s="29" t="str" cm="1">
        <f t="array" ref="M840">GetCSVIndex(A2,166+8694)</f>
        <v/>
      </c>
      <c r="N840" s="27" t="str" cm="1">
        <f t="array" ref="N840">GetCSVIndex(A2,294+8694)</f>
        <v/>
      </c>
      <c r="O840" s="43" t="str" cm="1">
        <f t="array" ref="O840">GetCSVIndex(A2,357+8694)</f>
        <v/>
      </c>
    </row>
    <row r="841" spans="1:15" ht="21" customHeight="1" x14ac:dyDescent="0.25">
      <c r="A841" s="38" t="s">
        <v>36</v>
      </c>
      <c r="B841" s="30"/>
      <c r="C841" s="29" t="str" cm="1">
        <f t="array" ref="C841">IF(GetCSVIndex(A2,22+8694)&lt;&gt;"65535",CONCATENATE(GetCSVIndex(A2,238+8694),":", GetCSVIndex(A2,248+8694)),"OFF")</f>
        <v>:</v>
      </c>
      <c r="D841" s="25"/>
      <c r="E841" s="45">
        <v>13</v>
      </c>
      <c r="F841" s="29" t="e" cm="1">
        <f t="array" ref="F841">CHOOSE(GetCSVIndex(A2,72+8694)+1,"","Station","Block","","Delay")</f>
        <v>#VALUE!</v>
      </c>
      <c r="G841" s="29" t="str" cm="1">
        <f t="array" ref="G841">GetCSVIndex(A2,73+8694)</f>
        <v/>
      </c>
      <c r="H841" s="45" t="str" cm="1">
        <f t="array" ref="H841">GetCSVIndex(A2,263+8694)</f>
        <v/>
      </c>
      <c r="I841" s="29" t="str" cm="1">
        <f t="array" ref="I841">GetCSVIndex(A2,326+8694)</f>
        <v/>
      </c>
      <c r="J841" s="25"/>
      <c r="K841" s="45">
        <v>45</v>
      </c>
      <c r="L841" s="29" t="e" cm="1">
        <f t="array" ref="L841">CHOOSE(GetCSVIndex(A2,168+8694)+1,"","Station","Block","","Delay")</f>
        <v>#VALUE!</v>
      </c>
      <c r="M841" s="29" t="str" cm="1">
        <f t="array" ref="M841">GetCSVIndex(A2,169+8694)</f>
        <v/>
      </c>
      <c r="N841" s="27" t="str" cm="1">
        <f t="array" ref="N841">GetCSVIndex(A2,295+8694)</f>
        <v/>
      </c>
      <c r="O841" s="43" t="str" cm="1">
        <f t="array" ref="O841">GetCSVIndex(A2,358+8694)</f>
        <v/>
      </c>
    </row>
    <row r="842" spans="1:15" ht="21" customHeight="1" x14ac:dyDescent="0.25">
      <c r="A842" s="36" t="s">
        <v>37</v>
      </c>
      <c r="B842" s="25"/>
      <c r="C842" s="29" t="str" cm="1">
        <f t="array" ref="C842">IF(GetCSVIndex(A2,23+8694)&lt;&gt;"65535",CONCATENATE(GetCSVIndex(A2,230+8694),":", GetCSVIndex(A2,240+8694)),"OFF")</f>
        <v>:</v>
      </c>
      <c r="D842" s="25"/>
      <c r="E842" s="45">
        <v>14</v>
      </c>
      <c r="F842" s="29" t="e" cm="1">
        <f t="array" ref="F842">CHOOSE(GetCSVIndex(A2,75+8694)+1,"","Station","Block","","Delay")</f>
        <v>#VALUE!</v>
      </c>
      <c r="G842" s="29" t="str" cm="1">
        <f t="array" ref="G842">GetCSVIndex(A2,76+8694)</f>
        <v/>
      </c>
      <c r="H842" s="45" t="str" cm="1">
        <f t="array" ref="H842">GetCSVIndex(A2,264+8694)</f>
        <v/>
      </c>
      <c r="I842" s="29" t="str" cm="1">
        <f t="array" ref="I842">GetCSVIndex(A2,327+8694)</f>
        <v/>
      </c>
      <c r="J842" s="25"/>
      <c r="K842" s="45">
        <v>46</v>
      </c>
      <c r="L842" s="29" t="e" cm="1">
        <f t="array" ref="L842">CHOOSE(GetCSVIndex(A2,171+8694)+1,"","Station","Block","","Delay")</f>
        <v>#VALUE!</v>
      </c>
      <c r="M842" s="29" t="str" cm="1">
        <f t="array" ref="M842">GetCSVIndex(A2,172+8694)</f>
        <v/>
      </c>
      <c r="N842" s="27" t="str" cm="1">
        <f t="array" ref="N842">GetCSVIndex(A2,296+8694)</f>
        <v/>
      </c>
      <c r="O842" s="43" t="str" cm="1">
        <f t="array" ref="O842">GetCSVIndex(A2,359+8694)</f>
        <v/>
      </c>
    </row>
    <row r="843" spans="1:15" ht="21" customHeight="1" x14ac:dyDescent="0.25">
      <c r="A843" s="39"/>
      <c r="B843" s="40"/>
      <c r="C843" s="41"/>
      <c r="D843" s="26"/>
      <c r="E843" s="45">
        <v>15</v>
      </c>
      <c r="F843" s="29" t="e" cm="1">
        <f t="array" ref="F843">CHOOSE(GetCSVIndex(A2,78+8694)+1,"","Station","Block","","Delay")</f>
        <v>#VALUE!</v>
      </c>
      <c r="G843" s="29" t="str" cm="1">
        <f t="array" ref="G843">GetCSVIndex(A2,79+8694)</f>
        <v/>
      </c>
      <c r="H843" s="45" t="str" cm="1">
        <f t="array" ref="H843">GetCSVIndex(A2,265+8694)</f>
        <v/>
      </c>
      <c r="I843" s="29" t="str" cm="1">
        <f t="array" ref="I843">GetCSVIndex(A2,328+8694)</f>
        <v/>
      </c>
      <c r="J843" s="26"/>
      <c r="K843" s="45">
        <v>47</v>
      </c>
      <c r="L843" s="29" t="e" cm="1">
        <f t="array" ref="L843">CHOOSE(GetCSVIndex(A2,174+8694)+1,"","Station","Block","","Delay")</f>
        <v>#VALUE!</v>
      </c>
      <c r="M843" s="29" t="str" cm="1">
        <f t="array" ref="M843">GetCSVIndex(A2,175+8694)</f>
        <v/>
      </c>
      <c r="N843" s="27" t="str" cm="1">
        <f t="array" ref="N843">GetCSVIndex(A2,297+8694)</f>
        <v/>
      </c>
      <c r="O843" s="43" t="str" cm="1">
        <f t="array" ref="O843">GetCSVIndex(A2,360+8694)</f>
        <v/>
      </c>
    </row>
    <row r="844" spans="1:15" ht="21" customHeight="1" x14ac:dyDescent="0.25">
      <c r="A844" s="42"/>
      <c r="B844" s="25"/>
      <c r="C844" s="25"/>
      <c r="D844" s="26"/>
      <c r="E844" s="45">
        <v>16</v>
      </c>
      <c r="F844" s="29" t="e" cm="1">
        <f t="array" ref="F844">CHOOSE(GetCSVIndex(A2,81+8694)+1,"","Station","Block","","Delay")</f>
        <v>#VALUE!</v>
      </c>
      <c r="G844" s="29" t="str" cm="1">
        <f t="array" ref="G844">GetCSVIndex(A2,82+8694)</f>
        <v/>
      </c>
      <c r="H844" s="45" t="str" cm="1">
        <f t="array" ref="H844">GetCSVIndex(A2,266+8694)</f>
        <v/>
      </c>
      <c r="I844" s="29" t="str" cm="1">
        <f t="array" ref="I844">GetCSVIndex(A2,329+8694)</f>
        <v/>
      </c>
      <c r="J844" s="25"/>
      <c r="K844" s="45">
        <v>48</v>
      </c>
      <c r="L844" s="29" t="e" cm="1">
        <f t="array" ref="L844">CHOOSE(GetCSVIndex(A2,177+8694)+1,"","Station","Block","","Delay")</f>
        <v>#VALUE!</v>
      </c>
      <c r="M844" s="29" t="str" cm="1">
        <f t="array" ref="M844">GetCSVIndex(A2,178+8694)</f>
        <v/>
      </c>
      <c r="N844" s="27" t="str" cm="1">
        <f t="array" ref="N844">GetCSVIndex(A2,298+8694)</f>
        <v/>
      </c>
      <c r="O844" s="43" t="str" cm="1">
        <f t="array" ref="O844">GetCSVIndex(A2,361+8694)</f>
        <v/>
      </c>
    </row>
    <row r="845" spans="1:15" ht="21" customHeight="1" x14ac:dyDescent="0.25">
      <c r="A845" s="42"/>
      <c r="B845" s="25"/>
      <c r="C845" s="25"/>
      <c r="D845" s="26"/>
      <c r="E845" s="45">
        <v>17</v>
      </c>
      <c r="F845" s="29" t="e" cm="1">
        <f t="array" ref="F845">CHOOSE(GetCSVIndex(A2,84+8694)+1,"","Station","Block","","Delay")</f>
        <v>#VALUE!</v>
      </c>
      <c r="G845" s="29" t="str" cm="1">
        <f t="array" ref="G845">GetCSVIndex(A2,85+8694)</f>
        <v/>
      </c>
      <c r="H845" s="45" t="str" cm="1">
        <f t="array" ref="H845">GetCSVIndex(A2,267+8694)</f>
        <v/>
      </c>
      <c r="I845" s="29" t="str" cm="1">
        <f t="array" ref="I845">GetCSVIndex(A2,330+8694)</f>
        <v/>
      </c>
      <c r="J845" s="26"/>
      <c r="K845" s="45">
        <v>49</v>
      </c>
      <c r="L845" s="29" t="e" cm="1">
        <f t="array" ref="L845">CHOOSE(GetCSVIndex(A2,180+8694)+1,"","Station","Block","","Delay")</f>
        <v>#VALUE!</v>
      </c>
      <c r="M845" s="29" t="str" cm="1">
        <f t="array" ref="M845">GetCSVIndex(A2,181+8694)</f>
        <v/>
      </c>
      <c r="N845" s="27" t="str" cm="1">
        <f t="array" ref="N845">GetCSVIndex(A2,299+8694)</f>
        <v/>
      </c>
      <c r="O845" s="43" t="str" cm="1">
        <f t="array" ref="O845">GetCSVIndex(A2,362+8694)</f>
        <v/>
      </c>
    </row>
    <row r="846" spans="1:15" ht="21" customHeight="1" x14ac:dyDescent="0.25">
      <c r="A846" s="42"/>
      <c r="B846" s="25"/>
      <c r="C846" s="25"/>
      <c r="D846" s="26"/>
      <c r="E846" s="45">
        <v>18</v>
      </c>
      <c r="F846" s="29" t="e" cm="1">
        <f t="array" ref="F846">CHOOSE(GetCSVIndex(A2,87+8694)+1,"","Station","Block","","Delay")</f>
        <v>#VALUE!</v>
      </c>
      <c r="G846" s="29" t="str" cm="1">
        <f t="array" ref="G846">GetCSVIndex(A2,88+8694)</f>
        <v/>
      </c>
      <c r="H846" s="45" t="str" cm="1">
        <f t="array" ref="H846">GetCSVIndex(A2,268+8694)</f>
        <v/>
      </c>
      <c r="I846" s="29" t="str" cm="1">
        <f t="array" ref="I846">GetCSVIndex(A2,331+8694)</f>
        <v/>
      </c>
      <c r="J846" s="26"/>
      <c r="K846" s="45">
        <v>50</v>
      </c>
      <c r="L846" s="29" t="e" cm="1">
        <f t="array" ref="L846">CHOOSE(GetCSVIndex(A2,183+8694)+1,"","Station","Block","","Delay")</f>
        <v>#VALUE!</v>
      </c>
      <c r="M846" s="29" t="str" cm="1">
        <f t="array" ref="M846">GetCSVIndex(A2,184+8694)</f>
        <v/>
      </c>
      <c r="N846" s="27" t="str" cm="1">
        <f t="array" ref="N846">GetCSVIndex(A2,300+8694)</f>
        <v/>
      </c>
      <c r="O846" s="43" t="str" cm="1">
        <f t="array" ref="O846">GetCSVIndex(A2,363+8694)</f>
        <v/>
      </c>
    </row>
    <row r="847" spans="1:15" ht="21" customHeight="1" x14ac:dyDescent="0.25">
      <c r="A847" s="42"/>
      <c r="B847" s="25"/>
      <c r="C847" s="25"/>
      <c r="D847" s="26"/>
      <c r="E847" s="45">
        <v>19</v>
      </c>
      <c r="F847" s="29" t="e" cm="1">
        <f t="array" ref="F847">CHOOSE(GetCSVIndex(A2,90+8694)+1,"","Station","Block","","Delay")</f>
        <v>#VALUE!</v>
      </c>
      <c r="G847" s="29" t="str" cm="1">
        <f t="array" ref="G847">GetCSVIndex(A2,91+8694)</f>
        <v/>
      </c>
      <c r="H847" s="45" t="str" cm="1">
        <f t="array" ref="H847">GetCSVIndex(A2,269+8694)</f>
        <v/>
      </c>
      <c r="I847" s="29" t="str" cm="1">
        <f t="array" ref="I847">GetCSVIndex(A2,332+8694)</f>
        <v/>
      </c>
      <c r="J847" s="26"/>
      <c r="K847" s="45">
        <v>51</v>
      </c>
      <c r="L847" s="29" t="e" cm="1">
        <f t="array" ref="L847">CHOOSE(GetCSVIndex(A2,186+8694)+1,"","Station","Block","","Delay")</f>
        <v>#VALUE!</v>
      </c>
      <c r="M847" s="29" t="str" cm="1">
        <f t="array" ref="M847">GetCSVIndex(A2,187+8694)</f>
        <v/>
      </c>
      <c r="N847" s="27" t="str" cm="1">
        <f t="array" ref="N847">GetCSVIndex(A2,301+8694)</f>
        <v/>
      </c>
      <c r="O847" s="43" t="str" cm="1">
        <f t="array" ref="O847">GetCSVIndex(A2,364+8694)</f>
        <v/>
      </c>
    </row>
    <row r="848" spans="1:15" ht="21" customHeight="1" x14ac:dyDescent="0.25">
      <c r="A848" s="42"/>
      <c r="B848" s="25"/>
      <c r="C848" s="25"/>
      <c r="D848" s="26"/>
      <c r="E848" s="45">
        <v>20</v>
      </c>
      <c r="F848" s="29" t="e" cm="1">
        <f t="array" ref="F848">CHOOSE(GetCSVIndex(A2,93+8694)+1,"","Station","Block","","Delay")</f>
        <v>#VALUE!</v>
      </c>
      <c r="G848" s="29" t="str" cm="1">
        <f t="array" ref="G848">GetCSVIndex(A2,94+8694)</f>
        <v/>
      </c>
      <c r="H848" s="45" t="str" cm="1">
        <f t="array" ref="H848">GetCSVIndex(A2,270+8694)</f>
        <v/>
      </c>
      <c r="I848" s="29" t="str" cm="1">
        <f t="array" ref="I848">GetCSVIndex(A2,333+8694)</f>
        <v/>
      </c>
      <c r="J848" s="26"/>
      <c r="K848" s="45">
        <v>52</v>
      </c>
      <c r="L848" s="29" t="e" cm="1">
        <f t="array" ref="L848">CHOOSE(GetCSVIndex(A2,189+8694)+1,"","Station","Block","","Delay")</f>
        <v>#VALUE!</v>
      </c>
      <c r="M848" s="29" t="str" cm="1">
        <f t="array" ref="M848">GetCSVIndex(A2,190+8694)</f>
        <v/>
      </c>
      <c r="N848" s="27" t="str" cm="1">
        <f t="array" ref="N848">GetCSVIndex(A2,302+8694)</f>
        <v/>
      </c>
      <c r="O848" s="43" t="str" cm="1">
        <f t="array" ref="O848">GetCSVIndex(A2,365+8694)</f>
        <v/>
      </c>
    </row>
    <row r="849" spans="1:15" ht="21" customHeight="1" x14ac:dyDescent="0.25">
      <c r="A849" s="42"/>
      <c r="B849" s="25"/>
      <c r="C849" s="25"/>
      <c r="D849" s="26"/>
      <c r="E849" s="45">
        <v>21</v>
      </c>
      <c r="F849" s="29" t="e" cm="1">
        <f t="array" ref="F849">CHOOSE(GetCSVIndex(A2,96+8694)+1,"","Station","Block","","Delay")</f>
        <v>#VALUE!</v>
      </c>
      <c r="G849" s="29" t="str" cm="1">
        <f t="array" ref="G849">GetCSVIndex(A2,97+8694)</f>
        <v/>
      </c>
      <c r="H849" s="45" t="str" cm="1">
        <f t="array" ref="H849">GetCSVIndex(A2,271+8694)</f>
        <v/>
      </c>
      <c r="I849" s="29" t="str" cm="1">
        <f t="array" ref="I849">GetCSVIndex(A2,334+8694)</f>
        <v/>
      </c>
      <c r="J849" s="26"/>
      <c r="K849" s="45">
        <v>53</v>
      </c>
      <c r="L849" s="29" t="e" cm="1">
        <f t="array" ref="L849">CHOOSE(GetCSVIndex(A2,192+8694)+1,"","Station","Block","","Delay")</f>
        <v>#VALUE!</v>
      </c>
      <c r="M849" s="29" t="str" cm="1">
        <f t="array" ref="M849">GetCSVIndex(A2,193+8694)</f>
        <v/>
      </c>
      <c r="N849" s="27" t="str" cm="1">
        <f t="array" ref="N849">GetCSVIndex(A2,303+8694)</f>
        <v/>
      </c>
      <c r="O849" s="43" t="str" cm="1">
        <f t="array" ref="O849">GetCSVIndex(A2,366+8694)</f>
        <v/>
      </c>
    </row>
    <row r="850" spans="1:15" ht="21" customHeight="1" x14ac:dyDescent="0.25">
      <c r="A850" s="42"/>
      <c r="B850" s="25"/>
      <c r="C850" s="25"/>
      <c r="D850" s="26"/>
      <c r="E850" s="45">
        <v>22</v>
      </c>
      <c r="F850" s="29" t="e" cm="1">
        <f t="array" ref="F850">CHOOSE(GetCSVIndex(A2,99+8694)+1,"","Station","Block","","Delay")</f>
        <v>#VALUE!</v>
      </c>
      <c r="G850" s="29" t="str" cm="1">
        <f t="array" ref="G850">GetCSVIndex(A2,100+8694)</f>
        <v/>
      </c>
      <c r="H850" s="45" t="str" cm="1">
        <f t="array" ref="H850">GetCSVIndex(A2,272+8694)</f>
        <v/>
      </c>
      <c r="I850" s="29" t="str" cm="1">
        <f t="array" ref="I850">GetCSVIndex(A2,335+8694)</f>
        <v/>
      </c>
      <c r="J850" s="26"/>
      <c r="K850" s="45">
        <v>54</v>
      </c>
      <c r="L850" s="29" t="e" cm="1">
        <f t="array" ref="L850">CHOOSE(GetCSVIndex(A2,195+8694)+1,"","Station","Block","","Delay")</f>
        <v>#VALUE!</v>
      </c>
      <c r="M850" s="29" t="str" cm="1">
        <f t="array" ref="M850">GetCSVIndex(A2,196+8694)</f>
        <v/>
      </c>
      <c r="N850" s="27" t="str" cm="1">
        <f t="array" ref="N850">GetCSVIndex(A2,304+8694)</f>
        <v/>
      </c>
      <c r="O850" s="43" t="str" cm="1">
        <f t="array" ref="O850">GetCSVIndex(A2,367+8694)</f>
        <v/>
      </c>
    </row>
    <row r="851" spans="1:15" ht="21" customHeight="1" x14ac:dyDescent="0.25">
      <c r="A851" s="42"/>
      <c r="B851" s="25"/>
      <c r="C851" s="25"/>
      <c r="D851" s="26"/>
      <c r="E851" s="45">
        <v>23</v>
      </c>
      <c r="F851" s="29" t="e" cm="1">
        <f t="array" ref="F851">CHOOSE(GetCSVIndex(A2,102+8694)+1,"","Station","Block","","Delay")</f>
        <v>#VALUE!</v>
      </c>
      <c r="G851" s="29" t="str" cm="1">
        <f t="array" ref="G851">GetCSVIndex(A2,103+8694)</f>
        <v/>
      </c>
      <c r="H851" s="45" t="str" cm="1">
        <f t="array" ref="H851">GetCSVIndex(A2,273+8694)</f>
        <v/>
      </c>
      <c r="I851" s="29" t="str" cm="1">
        <f t="array" ref="I851">GetCSVIndex(A2,336+8694)</f>
        <v/>
      </c>
      <c r="J851" s="26"/>
      <c r="K851" s="45">
        <v>55</v>
      </c>
      <c r="L851" s="29" t="e" cm="1">
        <f t="array" ref="L851">CHOOSE(GetCSVIndex(A2,198+8694)+1,"","Station","Block","","Delay")</f>
        <v>#VALUE!</v>
      </c>
      <c r="M851" s="29" t="str" cm="1">
        <f t="array" ref="M851">GetCSVIndex(A2,199+8694)</f>
        <v/>
      </c>
      <c r="N851" s="27" t="str" cm="1">
        <f t="array" ref="N851">GetCSVIndex(A2,305+8694)</f>
        <v/>
      </c>
      <c r="O851" s="43" t="str" cm="1">
        <f t="array" ref="O851">GetCSVIndex(A2,368+8694)</f>
        <v/>
      </c>
    </row>
    <row r="852" spans="1:15" ht="21" customHeight="1" x14ac:dyDescent="0.25">
      <c r="A852" s="42"/>
      <c r="B852" s="25"/>
      <c r="C852" s="25"/>
      <c r="D852" s="26"/>
      <c r="E852" s="45">
        <v>24</v>
      </c>
      <c r="F852" s="29" t="e" cm="1">
        <f t="array" ref="F852">CHOOSE(GetCSVIndex(A2,105+8694)+1,"","Station","Block","","Delay")</f>
        <v>#VALUE!</v>
      </c>
      <c r="G852" s="29" t="str" cm="1">
        <f t="array" ref="G852">GetCSVIndex(A2,106+8694)</f>
        <v/>
      </c>
      <c r="H852" s="45" t="str" cm="1">
        <f t="array" ref="H852">GetCSVIndex(A2,274+8694)</f>
        <v/>
      </c>
      <c r="I852" s="29" t="str" cm="1">
        <f t="array" ref="I852">GetCSVIndex(A2,337+8694)</f>
        <v/>
      </c>
      <c r="J852" s="26"/>
      <c r="K852" s="45">
        <v>56</v>
      </c>
      <c r="L852" s="29" t="e" cm="1">
        <f t="array" ref="L852">CHOOSE(GetCSVIndex(A2,201+8694)+1,"","Station","Block","","Delay")</f>
        <v>#VALUE!</v>
      </c>
      <c r="M852" s="29" t="str" cm="1">
        <f t="array" ref="M852">GetCSVIndex(A2,202+8694)</f>
        <v/>
      </c>
      <c r="N852" s="27" t="str" cm="1">
        <f t="array" ref="N852">GetCSVIndex(A2,306+8694)</f>
        <v/>
      </c>
      <c r="O852" s="43" t="str" cm="1">
        <f t="array" ref="O852">GetCSVIndex(A2,369+8694)</f>
        <v/>
      </c>
    </row>
    <row r="853" spans="1:15" ht="21" customHeight="1" x14ac:dyDescent="0.25">
      <c r="A853" s="42"/>
      <c r="B853" s="25"/>
      <c r="C853" s="25"/>
      <c r="D853" s="26"/>
      <c r="E853" s="45">
        <v>25</v>
      </c>
      <c r="F853" s="29" t="e" cm="1">
        <f t="array" ref="F853">CHOOSE(GetCSVIndex(A2,108+8694)+1,"","Station","Block","","Delay")</f>
        <v>#VALUE!</v>
      </c>
      <c r="G853" s="29" t="str" cm="1">
        <f t="array" ref="G853">GetCSVIndex(A2,109+8694)</f>
        <v/>
      </c>
      <c r="H853" s="45" t="str" cm="1">
        <f t="array" ref="H853">GetCSVIndex(A2,275+8694)</f>
        <v/>
      </c>
      <c r="I853" s="29" t="str" cm="1">
        <f t="array" ref="I853">GetCSVIndex(A2,338+8694)</f>
        <v/>
      </c>
      <c r="J853" s="26"/>
      <c r="K853" s="45">
        <v>57</v>
      </c>
      <c r="L853" s="29" t="e" cm="1">
        <f t="array" ref="L853">CHOOSE(GetCSVIndex(A2,204+8694)+1,"","Station","Block","","Delay")</f>
        <v>#VALUE!</v>
      </c>
      <c r="M853" s="29" t="str" cm="1">
        <f t="array" ref="M853">GetCSVIndex(A2,205+8694)</f>
        <v/>
      </c>
      <c r="N853" s="27" t="str" cm="1">
        <f t="array" ref="N853">GetCSVIndex(A2,307+8694)</f>
        <v/>
      </c>
      <c r="O853" s="43" t="str" cm="1">
        <f t="array" ref="O853">GetCSVIndex(A2,370+8694)</f>
        <v/>
      </c>
    </row>
    <row r="854" spans="1:15" ht="21" customHeight="1" x14ac:dyDescent="0.25">
      <c r="A854" s="42"/>
      <c r="B854" s="25"/>
      <c r="C854" s="25"/>
      <c r="D854" s="26"/>
      <c r="E854" s="45">
        <v>26</v>
      </c>
      <c r="F854" s="29" t="e" cm="1">
        <f t="array" ref="F854">CHOOSE(GetCSVIndex(A2,111+8694)+1,"","Station","Block","","Delay")</f>
        <v>#VALUE!</v>
      </c>
      <c r="G854" s="29" t="str" cm="1">
        <f t="array" ref="G854">GetCSVIndex(A2,112+8694)</f>
        <v/>
      </c>
      <c r="H854" s="45" t="str" cm="1">
        <f t="array" ref="H854">GetCSVIndex(A2,276+8694)</f>
        <v/>
      </c>
      <c r="I854" s="29" t="str" cm="1">
        <f t="array" ref="I854">GetCSVIndex(A2,339+8694)</f>
        <v/>
      </c>
      <c r="J854" s="26"/>
      <c r="K854" s="45">
        <v>58</v>
      </c>
      <c r="L854" s="29" t="e" cm="1">
        <f t="array" ref="L854">CHOOSE(GetCSVIndex(A2,207+8694)+1,"","Station","Block","","Delay")</f>
        <v>#VALUE!</v>
      </c>
      <c r="M854" s="29" t="str" cm="1">
        <f t="array" ref="M854">GetCSVIndex(A2,208+8694)</f>
        <v/>
      </c>
      <c r="N854" s="27" t="str" cm="1">
        <f t="array" ref="N854">GetCSVIndex(A2,308+8694)</f>
        <v/>
      </c>
      <c r="O854" s="43" t="str" cm="1">
        <f t="array" ref="O854">GetCSVIndex(A2,371+8694)</f>
        <v/>
      </c>
    </row>
    <row r="855" spans="1:15" ht="21" customHeight="1" x14ac:dyDescent="0.25">
      <c r="A855" s="42"/>
      <c r="B855" s="25"/>
      <c r="C855" s="25"/>
      <c r="D855" s="26"/>
      <c r="E855" s="45">
        <v>27</v>
      </c>
      <c r="F855" s="29" t="e" cm="1">
        <f t="array" ref="F855">CHOOSE(GetCSVIndex(A2,114+8694)+1,"","Station","Block","","Delay")</f>
        <v>#VALUE!</v>
      </c>
      <c r="G855" s="29" t="str" cm="1">
        <f t="array" ref="G855">GetCSVIndex(A2,115+8694)</f>
        <v/>
      </c>
      <c r="H855" s="45" t="str" cm="1">
        <f t="array" ref="H855">GetCSVIndex(A2,277+8694)</f>
        <v/>
      </c>
      <c r="I855" s="29" t="str" cm="1">
        <f t="array" ref="I855">GetCSVIndex(A2,340+8694)</f>
        <v/>
      </c>
      <c r="J855" s="26"/>
      <c r="K855" s="45">
        <v>59</v>
      </c>
      <c r="L855" s="29" t="e" cm="1">
        <f t="array" ref="L855">CHOOSE(GetCSVIndex(A2,210+8694)+1,"","Station","Block","","Delay")</f>
        <v>#VALUE!</v>
      </c>
      <c r="M855" s="29" t="str" cm="1">
        <f t="array" ref="M855">GetCSVIndex(A2,211+8694)</f>
        <v/>
      </c>
      <c r="N855" s="27" t="str" cm="1">
        <f t="array" ref="N855">GetCSVIndex(A2,309+8694)</f>
        <v/>
      </c>
      <c r="O855" s="43" t="str" cm="1">
        <f t="array" ref="O855">GetCSVIndex(A2,372+8694)</f>
        <v/>
      </c>
    </row>
    <row r="856" spans="1:15" ht="21" customHeight="1" x14ac:dyDescent="0.25">
      <c r="A856" s="42"/>
      <c r="B856" s="25"/>
      <c r="C856" s="25"/>
      <c r="D856" s="26"/>
      <c r="E856" s="45">
        <v>28</v>
      </c>
      <c r="F856" s="29" t="e" cm="1">
        <f t="array" ref="F856">CHOOSE(GetCSVIndex(A2,117+8694)+1,"","Station","Block","","Delay")</f>
        <v>#VALUE!</v>
      </c>
      <c r="G856" s="29" t="str" cm="1">
        <f t="array" ref="G856">GetCSVIndex(A2,118+8694)</f>
        <v/>
      </c>
      <c r="H856" s="45" t="str" cm="1">
        <f t="array" ref="H856">GetCSVIndex(A2,278+8694)</f>
        <v/>
      </c>
      <c r="I856" s="29" t="str" cm="1">
        <f t="array" ref="I856">GetCSVIndex(A2,341+8694)</f>
        <v/>
      </c>
      <c r="J856" s="26"/>
      <c r="K856" s="45">
        <v>60</v>
      </c>
      <c r="L856" s="29" t="e" cm="1">
        <f t="array" ref="L856">CHOOSE(GetCSVIndex(A2,213+8694)+1,"","Station","Block","","Delay")</f>
        <v>#VALUE!</v>
      </c>
      <c r="M856" s="29" t="str" cm="1">
        <f t="array" ref="M856">GetCSVIndex(A2,214+8694)</f>
        <v/>
      </c>
      <c r="N856" s="27" t="str" cm="1">
        <f t="array" ref="N856">GetCSVIndex(A2,310+8694)</f>
        <v/>
      </c>
      <c r="O856" s="43" t="str" cm="1">
        <f t="array" ref="O856">GetCSVIndex(A2,373+8694)</f>
        <v/>
      </c>
    </row>
    <row r="857" spans="1:15" ht="21" customHeight="1" x14ac:dyDescent="0.25">
      <c r="A857" s="42"/>
      <c r="B857" s="25"/>
      <c r="C857" s="25"/>
      <c r="D857" s="26"/>
      <c r="E857" s="45">
        <v>29</v>
      </c>
      <c r="F857" s="29" t="e" cm="1">
        <f t="array" ref="F857">CHOOSE(GetCSVIndex(A2,120+8694)+1,"","Station","Block","","Delay")</f>
        <v>#VALUE!</v>
      </c>
      <c r="G857" s="29" t="str" cm="1">
        <f t="array" ref="G857">GetCSVIndex(A2,121+8694)</f>
        <v/>
      </c>
      <c r="H857" s="45" t="str" cm="1">
        <f t="array" ref="H857">GetCSVIndex(A2,279+8694)</f>
        <v/>
      </c>
      <c r="I857" s="29" t="str" cm="1">
        <f t="array" ref="I857">GetCSVIndex(A2,342+8694)</f>
        <v/>
      </c>
      <c r="J857" s="26"/>
      <c r="K857" s="45">
        <v>61</v>
      </c>
      <c r="L857" s="29" t="e" cm="1">
        <f t="array" ref="L857">CHOOSE(GetCSVIndex(A2,216+8694)+1,"","Station","Block","","Delay")</f>
        <v>#VALUE!</v>
      </c>
      <c r="M857" s="29" t="str" cm="1">
        <f t="array" ref="M857">GetCSVIndex(A2,217+8694)</f>
        <v/>
      </c>
      <c r="N857" s="27" t="str" cm="1">
        <f t="array" ref="N857">GetCSVIndex(A2,311+8694)</f>
        <v/>
      </c>
      <c r="O857" s="43" t="str" cm="1">
        <f t="array" ref="O857">GetCSVIndex(A2,374+8694)</f>
        <v/>
      </c>
    </row>
    <row r="858" spans="1:15" ht="21" customHeight="1" x14ac:dyDescent="0.25">
      <c r="A858" s="42"/>
      <c r="B858" s="25"/>
      <c r="C858" s="25"/>
      <c r="D858" s="26"/>
      <c r="E858" s="45">
        <v>30</v>
      </c>
      <c r="F858" s="29" t="e" cm="1">
        <f t="array" ref="F858">CHOOSE(GetCSVIndex(A2,123+8694)+1,"","Station","Block","","Delay")</f>
        <v>#VALUE!</v>
      </c>
      <c r="G858" s="29" t="str" cm="1">
        <f t="array" ref="G858">GetCSVIndex(A2,124+8694)</f>
        <v/>
      </c>
      <c r="H858" s="45" t="str" cm="1">
        <f t="array" ref="H858">GetCSVIndex(A2,280+8694)</f>
        <v/>
      </c>
      <c r="I858" s="29" t="str" cm="1">
        <f t="array" ref="I858">GetCSVIndex(A2,343+8694)</f>
        <v/>
      </c>
      <c r="J858" s="26"/>
      <c r="K858" s="45">
        <v>62</v>
      </c>
      <c r="L858" s="29" t="e" cm="1">
        <f t="array" ref="L858">CHOOSE(GetCSVIndex(A2,219+8694)+1,"","Station","Block","","Delay")</f>
        <v>#VALUE!</v>
      </c>
      <c r="M858" s="29" t="str" cm="1">
        <f t="array" ref="M858">GetCSVIndex(A2,220+8694)</f>
        <v/>
      </c>
      <c r="N858" s="27" t="str" cm="1">
        <f t="array" ref="N858">GetCSVIndex(A2,312+8694)</f>
        <v/>
      </c>
      <c r="O858" s="43" t="str" cm="1">
        <f t="array" ref="O858">GetCSVIndex(A2,375+8694)</f>
        <v/>
      </c>
    </row>
    <row r="859" spans="1:15" ht="21" customHeight="1" x14ac:dyDescent="0.25">
      <c r="A859" s="42"/>
      <c r="B859" s="25"/>
      <c r="C859" s="25"/>
      <c r="D859" s="26"/>
      <c r="E859" s="45">
        <v>31</v>
      </c>
      <c r="F859" s="29" t="e" cm="1">
        <f t="array" ref="F859">CHOOSE(GetCSVIndex(A2,126+8694)+1,"","Station","Block","","Delay")</f>
        <v>#VALUE!</v>
      </c>
      <c r="G859" s="29" t="str" cm="1">
        <f t="array" ref="G859">GetCSVIndex(A2,127+8694)</f>
        <v/>
      </c>
      <c r="H859" s="45" t="str" cm="1">
        <f t="array" ref="H859">GetCSVIndex(A2,281+8694)</f>
        <v/>
      </c>
      <c r="I859" s="29" t="str" cm="1">
        <f t="array" ref="I859">GetCSVIndex(A2,344+8694)</f>
        <v/>
      </c>
      <c r="J859" s="26"/>
      <c r="K859" s="45">
        <v>63</v>
      </c>
      <c r="L859" s="29" t="e" cm="1">
        <f t="array" ref="L859">CHOOSE(GetCSVIndex(A2,222+8694)+1,"","Station","Block","","Delay")</f>
        <v>#VALUE!</v>
      </c>
      <c r="M859" s="29" t="str" cm="1">
        <f t="array" ref="M859">GetCSVIndex(A2,223+8694)</f>
        <v/>
      </c>
      <c r="N859" s="27" t="str" cm="1">
        <f t="array" ref="N859">GetCSVIndex(A2,313+8694)</f>
        <v/>
      </c>
      <c r="O859" s="43" t="str" cm="1">
        <f t="array" ref="O859">GetCSVIndex(A2,376+8694)</f>
        <v/>
      </c>
    </row>
    <row r="860" spans="1:15" ht="21" customHeight="1" x14ac:dyDescent="0.25">
      <c r="A860" s="37"/>
      <c r="B860" s="28"/>
      <c r="C860" s="29"/>
      <c r="D860" s="29"/>
      <c r="E860" s="45">
        <v>32</v>
      </c>
      <c r="F860" s="29" t="e" cm="1">
        <f t="array" ref="F860">CHOOSE(GetCSVIndex(A2,129+8694)+1,"","Station","Block","","Delay")</f>
        <v>#VALUE!</v>
      </c>
      <c r="G860" s="29" t="str" cm="1">
        <f t="array" ref="G860">GetCSVIndex(A2,130+8694)</f>
        <v/>
      </c>
      <c r="H860" s="45" t="str" cm="1">
        <f t="array" ref="H860">GetCSVIndex(A2,282+8694)</f>
        <v/>
      </c>
      <c r="I860" s="29" t="str" cm="1">
        <f t="array" ref="I860">GetCSVIndex(A2,345+8694)</f>
        <v/>
      </c>
      <c r="J860" s="29"/>
      <c r="K860" s="45">
        <v>64</v>
      </c>
      <c r="L860" s="29" t="e" cm="1">
        <f t="array" ref="L860">CHOOSE(GetCSVIndex(A2,225+8694)+1,"","Station","Block","","Delay")</f>
        <v>#VALUE!</v>
      </c>
      <c r="M860" s="29" t="str" cm="1">
        <f t="array" ref="M860">GetCSVIndex(A2,226+8694)</f>
        <v/>
      </c>
      <c r="N860" s="27" t="str" cm="1">
        <f t="array" ref="N860">GetCSVIndex(A2,314+8694)</f>
        <v/>
      </c>
      <c r="O860" s="43" t="str" cm="1">
        <f t="array" ref="O860">GetCSVIndex(A2,377+8694)</f>
        <v/>
      </c>
    </row>
    <row r="861" spans="1:15" ht="23.25" customHeight="1" x14ac:dyDescent="0.25">
      <c r="A861" s="51" t="str" cm="1">
        <f t="array" ref="A861">CONCATENATE("Schedule  Program Number : ", GetCSVIndex(A2,5+9072))</f>
        <v xml:space="preserve">Schedule  Program Number : </v>
      </c>
      <c r="B861" s="52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3"/>
    </row>
    <row r="862" spans="1:15" ht="21" customHeight="1" x14ac:dyDescent="0.25">
      <c r="A862" s="20" t="s">
        <v>44</v>
      </c>
      <c r="B862" s="22" t="str" cm="1">
        <f t="array" ref="B862">GetCSVIndex(A2,5+9072)</f>
        <v/>
      </c>
      <c r="C862" s="18"/>
      <c r="D862" s="18"/>
      <c r="E862" s="18"/>
      <c r="F862" s="18"/>
      <c r="G862" s="18" t="s">
        <v>19</v>
      </c>
      <c r="H862" s="18" t="e" cm="1">
        <f t="array" ref="H862">CHOOSE(GetCSVIndex(A2,7+9072)+1, "Days of Week", "Odd/Even", "Interval","Manual")</f>
        <v>#VALUE!</v>
      </c>
      <c r="I862" s="18"/>
      <c r="J862" s="15"/>
      <c r="K862" s="15"/>
      <c r="L862" s="15"/>
      <c r="M862" s="15"/>
      <c r="N862" s="15"/>
      <c r="O862" s="16"/>
    </row>
    <row r="863" spans="1:15" ht="18" customHeight="1" x14ac:dyDescent="0.25">
      <c r="A863" s="21" t="s">
        <v>20</v>
      </c>
      <c r="B863" s="19" t="e" cm="1">
        <f t="array" ref="B863">CHOOSE(GetCSVIndex(A2,24+9072)+1, "Program", "Global", "Monthly","Solar Sync")</f>
        <v>#VALUE!</v>
      </c>
      <c r="C863" s="19"/>
      <c r="D863" s="19"/>
      <c r="E863" s="19"/>
      <c r="F863" s="19" t="s">
        <v>21</v>
      </c>
      <c r="G863" s="19" t="e" cm="1">
        <f t="array" ref="G863">IF(CHOOSE(GetCSVIndex(A2,7+9072)+1,IF(_xlfn.BITAND(GetCSVIndex(A2,8+9072), 2^0)=0, 0, 1),IF(_xlfn.BITAND(GetCSVIndex(A2,9+9072), 2^0)=0, 0, 1),IF(_xlfn.BITAND(GetCSVIndex(A2,10+9072), 2^0)=0, 0, 1)) =1,"Mon","")</f>
        <v>#VALUE!</v>
      </c>
      <c r="H863" s="19" t="e" cm="1">
        <f t="array" ref="H863">CONCATENATE(IF(CHOOSE(GetCSVIndex(A2,7+9072)+1,IF(_xlfn.BITAND(GetCSVIndex(A2,8+9072), 2^1)=0, 0, 1),IF(_xlfn.BITAND(GetCSVIndex(A2,9+9072), 2^1)=0, 0, 1),IF(_xlfn.BITAND(GetCSVIndex(A2,10+9072), 2^1)=0, 0, 1)) =1,"Tue       ","       "),IF(CHOOSE(GetCSVIndex(A2,7+9072)+1,IF(_xlfn.BITAND(GetCSVIndex(A2,8+9072), 2^2)=0, 0, 1),IF(_xlfn.BITAND(GetCSVIndex(A2,9+9072), 2^2)=0, 0, 1),IF(_xlfn.BITAND(GetCSVIndex(A2,10+9072), 2^2)=0, 0, 1)) =1,"Wed",""),IF(CHOOSE(GetCSVIndex(A2,7+9072)+1,IF(_xlfn.BITAND(GetCSVIndex(A2,8+9072), 2^3)=0, 0, 1),IF(_xlfn.BITAND(GetCSVIndex(A2,9+9072), 2^3)=0, 0, 1),IF(_xlfn.BITAND(GetCSVIndex(A2,10+9072), 2^3)=0, 0, 1)) =1,"       Thu","       "))</f>
        <v>#VALUE!</v>
      </c>
      <c r="I863" s="32" t="e" cm="1">
        <f t="array" ref="I863">CONCATENATE(IF(CHOOSE(GetCSVIndex(A2,7+9072)+1,IF(_xlfn.BITAND(GetCSVIndex(A2,8+9072), 2^4)=0, 0, 1),IF(_xlfn.BITAND(GetCSVIndex(A2,9+9072), 2^4)=0, 0, 1),IF(_xlfn.BITAND(GetCSVIndex(A2,10+9072), 2^4)=0, 0, 1)) =1,"Fri       ","       "),IF(CHOOSE(GetCSVIndex(A2,7+9072)+1,IF(_xlfn.BITAND(GetCSVIndex(A2,8+9072), 2^5)=0, 0, 1),IF(_xlfn.BITAND(GetCSVIndex(A2,9+9072), 2^5)=0, 0, 1),IF(_xlfn.BITAND(GetCSVIndex(A2,10+9072), 2^5)=0, 0, 1)) =1,"Sat",""),IF(CHOOSE(GetCSVIndex(A2,7+9072)+1,IF(_xlfn.BITAND(GetCSVIndex(A2,8+9072), 2^6)=0, 0, 1),IF(_xlfn.BITAND(GetCSVIndex(A2,9+9072), 2^6)=0, 0, 1),IF(_xlfn.BITAND(GetCSVIndex(A2,10+9072), 2^6)=0, 0, 1)) =1,"       Sun","       "))</f>
        <v>#VALUE!</v>
      </c>
      <c r="J863" s="19"/>
      <c r="K863" s="19"/>
      <c r="L863" s="32" t="s">
        <v>22</v>
      </c>
      <c r="M863" s="19"/>
      <c r="N863" s="19" t="str" cm="1">
        <f t="array" ref="N863">IF(GetCSVIndex(A2,26+9072)="1","Enable","Disable")</f>
        <v>Disable</v>
      </c>
      <c r="O863" s="24"/>
    </row>
    <row r="864" spans="1:15" ht="18" customHeight="1" x14ac:dyDescent="0.25">
      <c r="A864" s="21" t="str" cm="1">
        <f t="array" ref="A864">CONCATENATE("Program ", GetCSVIndex(A2,5+9072))</f>
        <v xml:space="preserve">Program </v>
      </c>
      <c r="B864" s="23" t="str" cm="1">
        <f t="array" ref="B864">CONCATENATE(GetCSVIndex(A2,25+9072)," %")</f>
        <v xml:space="preserve"> %</v>
      </c>
      <c r="C864" s="19"/>
      <c r="D864" s="19"/>
      <c r="E864" s="19"/>
      <c r="F864" s="19" t="str" cm="1">
        <f t="array" ref="F864">IF(GetCSVIndex(A2,7)="2","Water Every"," ")</f>
        <v xml:space="preserve"> </v>
      </c>
      <c r="G864" s="47" t="str" cm="1">
        <f t="array" ref="G864">IF(GetCSVIndex(A2,7+9072)="2",GetCSVIndex(A2,11+9072)," ")</f>
        <v xml:space="preserve"> </v>
      </c>
      <c r="H864" s="19" t="str" cm="1">
        <f t="array" ref="H864">IF(GetCSVIndex(A2,7+9072)="2","Days"," ")</f>
        <v xml:space="preserve"> </v>
      </c>
      <c r="I864" s="32" t="str" cm="1">
        <f t="array" ref="I864">IF(GetCSVIndex(A2,7+9072)="2","Water After"," ")</f>
        <v xml:space="preserve"> </v>
      </c>
      <c r="J864" s="19"/>
      <c r="K864" s="19" t="str" cm="1">
        <f t="array" ref="K864">IF(GetCSVIndex(A2,7+9072)="2",GetCSVIndex(A2,12+9072)," ")</f>
        <v xml:space="preserve"> </v>
      </c>
      <c r="L864" s="47" t="str" cm="1">
        <f t="array" ref="L864">IF(GetCSVIndex(A2,7+9072)="2","Days"," ")</f>
        <v xml:space="preserve"> </v>
      </c>
      <c r="M864" s="32"/>
      <c r="N864" s="32"/>
      <c r="O864" s="24"/>
    </row>
    <row r="865" spans="1:15" ht="21" customHeight="1" x14ac:dyDescent="0.25">
      <c r="A865" s="20" t="s">
        <v>23</v>
      </c>
      <c r="B865" s="18" t="s">
        <v>24</v>
      </c>
      <c r="C865" s="18" t="str" cm="1">
        <f t="array" ref="C865">CHOOSE(GetCSVIndex(A2,13)+1, "Auto", "Start to End","Manual")</f>
        <v>Start to End</v>
      </c>
      <c r="D865" s="31"/>
      <c r="E865" s="17" t="s">
        <v>38</v>
      </c>
      <c r="F865" s="18" t="s">
        <v>39</v>
      </c>
      <c r="G865" s="18" t="s">
        <v>40</v>
      </c>
      <c r="H865" s="18" t="s">
        <v>41</v>
      </c>
      <c r="I865" s="18" t="s">
        <v>43</v>
      </c>
      <c r="J865" s="31"/>
      <c r="K865" s="17" t="s">
        <v>38</v>
      </c>
      <c r="L865" s="18" t="s">
        <v>39</v>
      </c>
      <c r="M865" s="18" t="s">
        <v>40</v>
      </c>
      <c r="N865" s="22" t="s">
        <v>41</v>
      </c>
      <c r="O865" s="44" t="s">
        <v>42</v>
      </c>
    </row>
    <row r="866" spans="1:15" ht="21" customHeight="1" x14ac:dyDescent="0.25">
      <c r="A866" s="36" t="s">
        <v>25</v>
      </c>
      <c r="B866" s="46" t="str" cm="1">
        <f t="array" ref="B866">IF(GetCSVIndex(A2,6+9072)="1","Over","Stack")</f>
        <v>Stack</v>
      </c>
      <c r="C866" s="26" t="str" cm="1">
        <f t="array" ref="C866">GetCSVIndex(A2,29+9072)</f>
        <v/>
      </c>
      <c r="D866" s="25"/>
      <c r="E866" s="45">
        <v>1</v>
      </c>
      <c r="F866" s="29" t="e" cm="1">
        <f t="array" ref="F866">CHOOSE(GetCSVIndex(A2,36+9072)+1,"","Station","Block","","Delay")</f>
        <v>#VALUE!</v>
      </c>
      <c r="G866" s="29" t="str" cm="1">
        <f t="array" ref="G866">GetCSVIndex(A2,37+9072)</f>
        <v/>
      </c>
      <c r="H866" s="45" t="str" cm="1">
        <f t="array" ref="H866">GetCSVIndex(A2,3+9072)</f>
        <v/>
      </c>
      <c r="I866" s="29" t="str" cm="1">
        <f t="array" ref="I866">GetCSVIndex(A2,1+9072)</f>
        <v/>
      </c>
      <c r="J866" s="25"/>
      <c r="K866" s="45">
        <v>33</v>
      </c>
      <c r="L866" s="29" t="e" cm="1">
        <f t="array" ref="L866">CHOOSE(GetCSVIndex(A2,132+9072)+1,"","Station","Block","","Delay")</f>
        <v>#VALUE!</v>
      </c>
      <c r="M866" s="29" t="str" cm="1">
        <f t="array" ref="M866">GetCSVIndex(A2,133+9072)</f>
        <v/>
      </c>
      <c r="N866" s="27" t="str" cm="1">
        <f t="array" ref="N866">GetCSVIndex(A2,283+9072)</f>
        <v/>
      </c>
      <c r="O866" s="43" t="str" cm="1">
        <f t="array" ref="O866">GetCSVIndex(A2,346+9072)</f>
        <v/>
      </c>
    </row>
    <row r="867" spans="1:15" ht="21" customHeight="1" x14ac:dyDescent="0.25">
      <c r="A867" s="36" t="s">
        <v>26</v>
      </c>
      <c r="B867" s="25" t="str" cm="1">
        <f t="array" ref="B867">IF(GetCSVIndex(A2,2+9072)="1092:15","Not Set",CONCATENATE("From     ",GetCSVIndex(A2,2+9072)))</f>
        <v xml:space="preserve">From     </v>
      </c>
      <c r="C867" s="26" t="str" cm="1">
        <f t="array" ref="C867">IF(GetCSVIndex(C4,1+46)="1092:15","Not Set",CONCATENATE("To     ",GetCSVIndex(C4,1+46)))</f>
        <v xml:space="preserve">To     </v>
      </c>
      <c r="D867" s="25"/>
      <c r="E867" s="45">
        <v>2</v>
      </c>
      <c r="F867" s="29" t="e" cm="1">
        <f t="array" ref="F867">CHOOSE(GetCSVIndex(A2,39+9072)+1,"","Station","Block","","Delay")</f>
        <v>#VALUE!</v>
      </c>
      <c r="G867" s="29" t="str" cm="1">
        <f t="array" ref="G867">GetCSVIndex(A2,40+9072)</f>
        <v/>
      </c>
      <c r="H867" s="45" t="str" cm="1">
        <f t="array" ref="H867">GetCSVIndex(A2,252+9072)</f>
        <v/>
      </c>
      <c r="I867" s="29" t="str" cm="1">
        <f t="array" ref="I867">GetCSVIndex(A2,315+9072)</f>
        <v/>
      </c>
      <c r="J867" s="25"/>
      <c r="K867" s="45">
        <v>34</v>
      </c>
      <c r="L867" s="29" t="e" cm="1">
        <f t="array" ref="L867">CHOOSE(GetCSVIndex(A2,135+9072)+1,"","Station","Block","","Delay")</f>
        <v>#VALUE!</v>
      </c>
      <c r="M867" s="29" t="str" cm="1">
        <f t="array" ref="M867">GetCSVIndex(A2,136+9072)</f>
        <v/>
      </c>
      <c r="N867" s="27" t="str" cm="1">
        <f t="array" ref="N867">GetCSVIndex(A2,284+9072)</f>
        <v/>
      </c>
      <c r="O867" s="43" t="str" cm="1">
        <f t="array" ref="O867">GetCSVIndex(A2,347+9072)</f>
        <v/>
      </c>
    </row>
    <row r="868" spans="1:15" ht="21" customHeight="1" x14ac:dyDescent="0.25">
      <c r="A868" s="36" t="s">
        <v>27</v>
      </c>
      <c r="B868" s="25"/>
      <c r="C868" s="26" t="str" cm="1">
        <f t="array" ref="C868">CONCATENATE(GetCSVIndex(A2,249+9072),":", GetCSVIndex(A2,250+9072),":", GetCSVIndex(A2,251+9072))</f>
        <v>::</v>
      </c>
      <c r="D868" s="26"/>
      <c r="E868" s="45">
        <v>3</v>
      </c>
      <c r="F868" s="29" t="e" cm="1">
        <f t="array" ref="F868">CHOOSE(GetCSVIndex(A2,42+9072)+1,"","Station","Block","","Delay")</f>
        <v>#VALUE!</v>
      </c>
      <c r="G868" s="29" t="str" cm="1">
        <f t="array" ref="G868">GetCSVIndex(A2,43+9072)</f>
        <v/>
      </c>
      <c r="H868" s="45" t="str" cm="1">
        <f t="array" ref="H868">GetCSVIndex(A2,253+9072)</f>
        <v/>
      </c>
      <c r="I868" s="29" t="str" cm="1">
        <f t="array" ref="I868">GetCSVIndex(A2,316+9072)</f>
        <v/>
      </c>
      <c r="J868" s="25"/>
      <c r="K868" s="45">
        <v>35</v>
      </c>
      <c r="L868" s="29" t="e" cm="1">
        <f t="array" ref="L868">CHOOSE(GetCSVIndex(A2,138+9072)+1,"","Station","Block","","Delay")</f>
        <v>#VALUE!</v>
      </c>
      <c r="M868" s="29" t="str" cm="1">
        <f t="array" ref="M868">GetCSVIndex(A2,139+9072)</f>
        <v/>
      </c>
      <c r="N868" s="27" t="str" cm="1">
        <f t="array" ref="N868">GetCSVIndex(A2,285+9072)</f>
        <v/>
      </c>
      <c r="O868" s="43" t="str" cm="1">
        <f t="array" ref="O868">GetCSVIndex(A2,348+9072)</f>
        <v/>
      </c>
    </row>
    <row r="869" spans="1:15" ht="21" customHeight="1" x14ac:dyDescent="0.25">
      <c r="A869" s="36"/>
      <c r="B869" s="25"/>
      <c r="C869" s="25"/>
      <c r="D869" s="25"/>
      <c r="E869" s="45">
        <v>4</v>
      </c>
      <c r="F869" s="29" t="e" cm="1">
        <f t="array" ref="F869">CHOOSE(GetCSVIndex(A2,45+9072)+1,"","Station","Block","","Delay")</f>
        <v>#VALUE!</v>
      </c>
      <c r="G869" s="29" t="str" cm="1">
        <f t="array" ref="G869">GetCSVIndex(A2,46+9072)</f>
        <v/>
      </c>
      <c r="H869" s="45" t="str" cm="1">
        <f t="array" ref="H869">GetCSVIndex(A2,254+9072)</f>
        <v/>
      </c>
      <c r="I869" s="29" t="str" cm="1">
        <f t="array" ref="I869">GetCSVIndex(A2,317+9072)</f>
        <v/>
      </c>
      <c r="J869" s="25"/>
      <c r="K869" s="45">
        <v>36</v>
      </c>
      <c r="L869" s="29" t="e" cm="1">
        <f t="array" ref="L869">CHOOSE(GetCSVIndex(A2,141+9072)+1,"","Station","Block","","Delay")</f>
        <v>#VALUE!</v>
      </c>
      <c r="M869" s="29" t="str" cm="1">
        <f t="array" ref="M869">GetCSVIndex(A2,142+9072)</f>
        <v/>
      </c>
      <c r="N869" s="27" t="str" cm="1">
        <f t="array" ref="N869">GetCSVIndex(A2,286+9072)</f>
        <v/>
      </c>
      <c r="O869" s="43" t="str" cm="1">
        <f t="array" ref="O869">GetCSVIndex(A2,349+9072)</f>
        <v/>
      </c>
    </row>
    <row r="870" spans="1:15" ht="21" customHeight="1" x14ac:dyDescent="0.25">
      <c r="A870" s="37" t="s">
        <v>28</v>
      </c>
      <c r="B870" s="28"/>
      <c r="C870" s="29" t="str" cm="1">
        <f t="array" ref="C870">IF(GetCSVIndex(A2,14+9072)&lt;&gt;"65535",CONCATENATE(GetCSVIndex(A2,229+9072),":", GetCSVIndex(A2,239+9072)),"OFF")</f>
        <v>:</v>
      </c>
      <c r="D870" s="25"/>
      <c r="E870" s="45">
        <v>5</v>
      </c>
      <c r="F870" s="29" t="e" cm="1">
        <f t="array" ref="F870">CHOOSE(GetCSVIndex(A2,48+9072)+1,"","Station","Block","","Delay")</f>
        <v>#VALUE!</v>
      </c>
      <c r="G870" s="29" t="str" cm="1">
        <f t="array" ref="G870">GetCSVIndex(A2,49+9072)</f>
        <v/>
      </c>
      <c r="H870" s="45" t="str" cm="1">
        <f t="array" ref="H870">GetCSVIndex(A2,255+9072)</f>
        <v/>
      </c>
      <c r="I870" s="29" t="str" cm="1">
        <f t="array" ref="I870">GetCSVIndex(A2,318+9072)</f>
        <v/>
      </c>
      <c r="J870" s="25"/>
      <c r="K870" s="45">
        <v>37</v>
      </c>
      <c r="L870" s="29" t="e" cm="1">
        <f t="array" ref="L870">CHOOSE(GetCSVIndex(A2,144+9072)+1,"","Station","Block","","Delay")</f>
        <v>#VALUE!</v>
      </c>
      <c r="M870" s="29" t="str" cm="1">
        <f t="array" ref="M870">GetCSVIndex(A2,145+9072)</f>
        <v/>
      </c>
      <c r="N870" s="27" t="str" cm="1">
        <f t="array" ref="N870">GetCSVIndex(A2,287+9072)</f>
        <v/>
      </c>
      <c r="O870" s="43" t="str" cm="1">
        <f t="array" ref="O870">GetCSVIndex(A2,350+9072)</f>
        <v/>
      </c>
    </row>
    <row r="871" spans="1:15" ht="21" customHeight="1" x14ac:dyDescent="0.25">
      <c r="A871" s="38" t="s">
        <v>29</v>
      </c>
      <c r="B871" s="30"/>
      <c r="C871" s="29" t="str" cm="1">
        <f t="array" ref="C871">IF(GetCSVIndex(A2,15+9072)&lt;&gt;"65535",CONCATENATE(GetCSVIndex(A2,231+9072),":", GetCSVIndex(A2,241+9072)),"OFF")</f>
        <v>:</v>
      </c>
      <c r="D871" s="25"/>
      <c r="E871" s="45">
        <v>6</v>
      </c>
      <c r="F871" s="29" t="e" cm="1">
        <f t="array" ref="F871">CHOOSE(GetCSVIndex(A2,51+9072)+1,"","Station","Block","","Delay")</f>
        <v>#VALUE!</v>
      </c>
      <c r="G871" s="29" t="str" cm="1">
        <f t="array" ref="G871">GetCSVIndex(A2,52+9072)</f>
        <v/>
      </c>
      <c r="H871" s="45" t="str" cm="1">
        <f t="array" ref="H871">GetCSVIndex(A2,256+9072)</f>
        <v/>
      </c>
      <c r="I871" s="29" t="str" cm="1">
        <f t="array" ref="I871">GetCSVIndex(A2,319+9072)</f>
        <v/>
      </c>
      <c r="J871" s="25"/>
      <c r="K871" s="45">
        <v>38</v>
      </c>
      <c r="L871" s="29" t="e" cm="1">
        <f t="array" ref="L871">CHOOSE(GetCSVIndex(A2,147+9072)+1,"","Station","Block","","Delay")</f>
        <v>#VALUE!</v>
      </c>
      <c r="M871" s="29" t="str" cm="1">
        <f t="array" ref="M871">GetCSVIndex(A2,148+9072)</f>
        <v/>
      </c>
      <c r="N871" s="27" t="str" cm="1">
        <f t="array" ref="N871">GetCSVIndex(A2,288+9072)</f>
        <v/>
      </c>
      <c r="O871" s="43" t="str" cm="1">
        <f t="array" ref="O871">GetCSVIndex(A2,351+9072)</f>
        <v/>
      </c>
    </row>
    <row r="872" spans="1:15" ht="21" customHeight="1" x14ac:dyDescent="0.25">
      <c r="A872" s="38" t="s">
        <v>30</v>
      </c>
      <c r="B872" s="30"/>
      <c r="C872" s="29" t="str" cm="1">
        <f t="array" ref="C872">IF(GetCSVIndex(A2,16+9072)&lt;&gt;"65535",CONCATENATE(GetCSVIndex(A2,232+9072),":", GetCSVIndex(A2,242+9072)),"OFF")</f>
        <v>:</v>
      </c>
      <c r="D872" s="25"/>
      <c r="E872" s="45">
        <v>7</v>
      </c>
      <c r="F872" s="29" t="e" cm="1">
        <f t="array" ref="F872">CHOOSE(GetCSVIndex(A2,54+9072)+1,"","Station","Block","","Delay")</f>
        <v>#VALUE!</v>
      </c>
      <c r="G872" s="29" t="str" cm="1">
        <f t="array" ref="G872">GetCSVIndex(A2,55+9072)</f>
        <v/>
      </c>
      <c r="H872" s="45" t="str" cm="1">
        <f t="array" ref="H872">GetCSVIndex(A2,257+9072)</f>
        <v/>
      </c>
      <c r="I872" s="29" t="str" cm="1">
        <f t="array" ref="I872">GetCSVIndex(A2,320+9072)</f>
        <v/>
      </c>
      <c r="J872" s="25"/>
      <c r="K872" s="45">
        <v>39</v>
      </c>
      <c r="L872" s="29" t="e" cm="1">
        <f t="array" ref="L872">CHOOSE(GetCSVIndex(A2,150+9072)+1,"","Station","Block","","Delay")</f>
        <v>#VALUE!</v>
      </c>
      <c r="M872" s="29" t="str" cm="1">
        <f t="array" ref="M872">GetCSVIndex(A2,151+9072)</f>
        <v/>
      </c>
      <c r="N872" s="27" t="str" cm="1">
        <f t="array" ref="N872">GetCSVIndex(A2,289+9072)</f>
        <v/>
      </c>
      <c r="O872" s="43" t="str" cm="1">
        <f t="array" ref="O872">GetCSVIndex(A2,352+9072)</f>
        <v/>
      </c>
    </row>
    <row r="873" spans="1:15" ht="21" customHeight="1" x14ac:dyDescent="0.25">
      <c r="A873" s="38" t="s">
        <v>31</v>
      </c>
      <c r="B873" s="30"/>
      <c r="C873" s="29" t="str" cm="1">
        <f t="array" ref="C873">IF(GetCSVIndex(A2,17+9072)&lt;&gt;"65535",CONCATENATE(GetCSVIndex(A2,233+9072),":", GetCSVIndex(A2,243+9072)),"OFF")</f>
        <v>:</v>
      </c>
      <c r="D873" s="25"/>
      <c r="E873" s="45">
        <v>8</v>
      </c>
      <c r="F873" s="29" t="e" cm="1">
        <f t="array" ref="F873">CHOOSE(GetCSVIndex(A2,57+9072)+1,"","Station","Block","","Delay")</f>
        <v>#VALUE!</v>
      </c>
      <c r="G873" s="29" t="str" cm="1">
        <f t="array" ref="G873">GetCSVIndex(A2,58+9072)</f>
        <v/>
      </c>
      <c r="H873" s="45" t="str" cm="1">
        <f t="array" ref="H873">GetCSVIndex(A2,258+9072)</f>
        <v/>
      </c>
      <c r="I873" s="29" t="str" cm="1">
        <f t="array" ref="I873">GetCSVIndex(A2,321+9072)</f>
        <v/>
      </c>
      <c r="J873" s="25"/>
      <c r="K873" s="45">
        <v>40</v>
      </c>
      <c r="L873" s="29" t="e" cm="1">
        <f t="array" ref="L873">CHOOSE(GetCSVIndex(A2,153+9072)+1,"","Station","Block","","Delay")</f>
        <v>#VALUE!</v>
      </c>
      <c r="M873" s="29" t="str" cm="1">
        <f t="array" ref="M873">GetCSVIndex(A2,154+9072)</f>
        <v/>
      </c>
      <c r="N873" s="27" t="str" cm="1">
        <f t="array" ref="N873">GetCSVIndex(A2,290+9072)</f>
        <v/>
      </c>
      <c r="O873" s="43" t="str" cm="1">
        <f t="array" ref="O873">GetCSVIndex(A2,353+9072)</f>
        <v/>
      </c>
    </row>
    <row r="874" spans="1:15" ht="21" customHeight="1" x14ac:dyDescent="0.25">
      <c r="A874" s="38" t="s">
        <v>32</v>
      </c>
      <c r="B874" s="30"/>
      <c r="C874" s="29" t="str" cm="1">
        <f t="array" ref="C874">IF(GetCSVIndex(A2,18+9072)&lt;&gt;"65535",CONCATENATE(GetCSVIndex(A2,234+9072),":", GetCSVIndex(A2,244+9072)),"OFF")</f>
        <v>:</v>
      </c>
      <c r="D874" s="25"/>
      <c r="E874" s="45">
        <v>9</v>
      </c>
      <c r="F874" s="29" t="e" cm="1">
        <f t="array" ref="F874">CHOOSE(GetCSVIndex(A2,60+9072)+1,"","Station","Block","","Delay")</f>
        <v>#VALUE!</v>
      </c>
      <c r="G874" s="29" t="str" cm="1">
        <f t="array" ref="G874">GetCSVIndex(A2,61+9072)</f>
        <v/>
      </c>
      <c r="H874" s="45" t="str" cm="1">
        <f t="array" ref="H874">GetCSVIndex(A2,259+9072)</f>
        <v/>
      </c>
      <c r="I874" s="29" t="str" cm="1">
        <f t="array" ref="I874">GetCSVIndex(A2,322+9072)</f>
        <v/>
      </c>
      <c r="J874" s="25"/>
      <c r="K874" s="45">
        <v>41</v>
      </c>
      <c r="L874" s="29" t="e" cm="1">
        <f t="array" ref="L874">CHOOSE(GetCSVIndex(A2,156+9072)+1,"","Station","Block","","Delay")</f>
        <v>#VALUE!</v>
      </c>
      <c r="M874" s="29" t="str" cm="1">
        <f t="array" ref="M874">GetCSVIndex(A2,157+9072)</f>
        <v/>
      </c>
      <c r="N874" s="27" t="str" cm="1">
        <f t="array" ref="N874">GetCSVIndex(A2,291+9072)</f>
        <v/>
      </c>
      <c r="O874" s="43" t="str" cm="1">
        <f t="array" ref="O874">GetCSVIndex(A2,354+9072)</f>
        <v/>
      </c>
    </row>
    <row r="875" spans="1:15" ht="21" customHeight="1" x14ac:dyDescent="0.25">
      <c r="A875" s="38" t="s">
        <v>33</v>
      </c>
      <c r="B875" s="30"/>
      <c r="C875" s="29" t="str" cm="1">
        <f t="array" ref="C875">IF(GetCSVIndex(A2,19+9072)&lt;&gt;"65535",CONCATENATE(GetCSVIndex(A2,235+9072),":", GetCSVIndex(A2,245+9072)),"OFF")</f>
        <v>:</v>
      </c>
      <c r="D875" s="25"/>
      <c r="E875" s="45">
        <v>10</v>
      </c>
      <c r="F875" s="29" t="e" cm="1">
        <f t="array" ref="F875">CHOOSE(GetCSVIndex(A2,63+9072)+1,"","Station","Block","","Delay")</f>
        <v>#VALUE!</v>
      </c>
      <c r="G875" s="29" t="str" cm="1">
        <f t="array" ref="G875">GetCSVIndex(A2,64+9072)</f>
        <v/>
      </c>
      <c r="H875" s="45" t="str" cm="1">
        <f t="array" ref="H875">GetCSVIndex(A2,260+9072)</f>
        <v/>
      </c>
      <c r="I875" s="29" t="str" cm="1">
        <f t="array" ref="I875">GetCSVIndex(A2,323+9072)</f>
        <v/>
      </c>
      <c r="J875" s="25"/>
      <c r="K875" s="45">
        <v>42</v>
      </c>
      <c r="L875" s="29" t="e" cm="1">
        <f t="array" ref="L875">CHOOSE(GetCSVIndex(A2,159+9072)+1,"","Station","Block","","Delay")</f>
        <v>#VALUE!</v>
      </c>
      <c r="M875" s="29" t="str" cm="1">
        <f t="array" ref="M875">GetCSVIndex(A2,160+9072)</f>
        <v/>
      </c>
      <c r="N875" s="27" t="str" cm="1">
        <f t="array" ref="N875">GetCSVIndex(A2,292+9072)</f>
        <v/>
      </c>
      <c r="O875" s="43" t="str" cm="1">
        <f t="array" ref="O875">GetCSVIndex(A2,355+9072)</f>
        <v/>
      </c>
    </row>
    <row r="876" spans="1:15" ht="21" customHeight="1" x14ac:dyDescent="0.25">
      <c r="A876" s="38" t="s">
        <v>34</v>
      </c>
      <c r="B876" s="30"/>
      <c r="C876" s="29" t="str" cm="1">
        <f t="array" ref="C876">IF(GetCSVIndex(A2,20+9072)&lt;&gt;"65535",CONCATENATE(GetCSVIndex(A2,236+9072),":", GetCSVIndex(A2,246+9072)),"OFF")</f>
        <v>:</v>
      </c>
      <c r="D876" s="25"/>
      <c r="E876" s="45">
        <v>11</v>
      </c>
      <c r="F876" s="29" t="e" cm="1">
        <f t="array" ref="F876">CHOOSE(GetCSVIndex(A2,66+9072)+1,"","Station","Block","","Delay")</f>
        <v>#VALUE!</v>
      </c>
      <c r="G876" s="29" t="str" cm="1">
        <f t="array" ref="G876">GetCSVIndex(A2,67+9072)</f>
        <v/>
      </c>
      <c r="H876" s="45" t="str" cm="1">
        <f t="array" ref="H876">GetCSVIndex(A2,261+9072)</f>
        <v/>
      </c>
      <c r="I876" s="29" t="str" cm="1">
        <f t="array" ref="I876">GetCSVIndex(A2,324+9072)</f>
        <v/>
      </c>
      <c r="J876" s="25"/>
      <c r="K876" s="45">
        <v>43</v>
      </c>
      <c r="L876" s="29" t="e" cm="1">
        <f t="array" ref="L876">CHOOSE(GetCSVIndex(A2,162+9072)+1,"","Station","Block","","Delay")</f>
        <v>#VALUE!</v>
      </c>
      <c r="M876" s="29" t="str" cm="1">
        <f t="array" ref="M876">GetCSVIndex(A2,163+9072)</f>
        <v/>
      </c>
      <c r="N876" s="27" t="str" cm="1">
        <f t="array" ref="N876">GetCSVIndex(A2,293+9072)</f>
        <v/>
      </c>
      <c r="O876" s="43" t="str" cm="1">
        <f t="array" ref="O876">GetCSVIndex(A2,356+9072)</f>
        <v/>
      </c>
    </row>
    <row r="877" spans="1:15" ht="21" customHeight="1" x14ac:dyDescent="0.25">
      <c r="A877" s="38" t="s">
        <v>35</v>
      </c>
      <c r="B877" s="30"/>
      <c r="C877" s="29" t="str" cm="1">
        <f t="array" ref="C877">IF(GetCSVIndex(A2,21+9072)&lt;&gt;"65535",CONCATENATE(GetCSVIndex(A2,237+9072),":", GetCSVIndex(A2,247+9072)),"OFF")</f>
        <v>:</v>
      </c>
      <c r="D877" s="25"/>
      <c r="E877" s="45">
        <v>12</v>
      </c>
      <c r="F877" s="29" t="e" cm="1">
        <f t="array" ref="F877">CHOOSE(GetCSVIndex(A2,69+9072)+1,"","Station","Block","","Delay")</f>
        <v>#VALUE!</v>
      </c>
      <c r="G877" s="29" t="str" cm="1">
        <f t="array" ref="G877">GetCSVIndex(A2,70+9072)</f>
        <v/>
      </c>
      <c r="H877" s="45" t="str" cm="1">
        <f t="array" ref="H877">GetCSVIndex(A2,262+9072)</f>
        <v/>
      </c>
      <c r="I877" s="29" t="str" cm="1">
        <f t="array" ref="I877">GetCSVIndex(A2,325+9072)</f>
        <v/>
      </c>
      <c r="J877" s="25"/>
      <c r="K877" s="45">
        <v>44</v>
      </c>
      <c r="L877" s="29" t="e" cm="1">
        <f t="array" ref="L877">CHOOSE(GetCSVIndex(A2,165+9072)+1,"","Station","Block","","Delay")</f>
        <v>#VALUE!</v>
      </c>
      <c r="M877" s="29" t="str" cm="1">
        <f t="array" ref="M877">GetCSVIndex(A2,166+9072)</f>
        <v/>
      </c>
      <c r="N877" s="27" t="str" cm="1">
        <f t="array" ref="N877">GetCSVIndex(A2,294+9072)</f>
        <v/>
      </c>
      <c r="O877" s="43" t="str" cm="1">
        <f t="array" ref="O877">GetCSVIndex(A2,357+9072)</f>
        <v/>
      </c>
    </row>
    <row r="878" spans="1:15" ht="21" customHeight="1" x14ac:dyDescent="0.25">
      <c r="A878" s="38" t="s">
        <v>36</v>
      </c>
      <c r="B878" s="30"/>
      <c r="C878" s="29" t="str" cm="1">
        <f t="array" ref="C878">IF(GetCSVIndex(A2,22+9072)&lt;&gt;"65535",CONCATENATE(GetCSVIndex(A2,238+9072),":", GetCSVIndex(A2,248+9072)),"OFF")</f>
        <v>:</v>
      </c>
      <c r="D878" s="25"/>
      <c r="E878" s="45">
        <v>13</v>
      </c>
      <c r="F878" s="29" t="e" cm="1">
        <f t="array" ref="F878">CHOOSE(GetCSVIndex(A2,72+9072)+1,"","Station","Block","","Delay")</f>
        <v>#VALUE!</v>
      </c>
      <c r="G878" s="29" t="str" cm="1">
        <f t="array" ref="G878">GetCSVIndex(A2,73+9072)</f>
        <v/>
      </c>
      <c r="H878" s="45" t="str" cm="1">
        <f t="array" ref="H878">GetCSVIndex(A2,263+9072)</f>
        <v/>
      </c>
      <c r="I878" s="29" t="str" cm="1">
        <f t="array" ref="I878">GetCSVIndex(A2,326+9072)</f>
        <v/>
      </c>
      <c r="J878" s="25"/>
      <c r="K878" s="45">
        <v>45</v>
      </c>
      <c r="L878" s="29" t="e" cm="1">
        <f t="array" ref="L878">CHOOSE(GetCSVIndex(A2,168+9072)+1,"","Station","Block","","Delay")</f>
        <v>#VALUE!</v>
      </c>
      <c r="M878" s="29" t="str" cm="1">
        <f t="array" ref="M878">GetCSVIndex(A2,169+9072)</f>
        <v/>
      </c>
      <c r="N878" s="27" t="str" cm="1">
        <f t="array" ref="N878">GetCSVIndex(A2,295+9072)</f>
        <v/>
      </c>
      <c r="O878" s="43" t="str" cm="1">
        <f t="array" ref="O878">GetCSVIndex(A2,358+9072)</f>
        <v/>
      </c>
    </row>
    <row r="879" spans="1:15" ht="21" customHeight="1" x14ac:dyDescent="0.25">
      <c r="A879" s="36" t="s">
        <v>37</v>
      </c>
      <c r="B879" s="25"/>
      <c r="C879" s="29" t="str" cm="1">
        <f t="array" ref="C879">IF(GetCSVIndex(A2,23+9072)&lt;&gt;"65535",CONCATENATE(GetCSVIndex(A2,230+9072),":", GetCSVIndex(A2,240+9072)),"OFF")</f>
        <v>:</v>
      </c>
      <c r="D879" s="25"/>
      <c r="E879" s="45">
        <v>14</v>
      </c>
      <c r="F879" s="29" t="e" cm="1">
        <f t="array" ref="F879">CHOOSE(GetCSVIndex(A2,75+9072)+1,"","Station","Block","","Delay")</f>
        <v>#VALUE!</v>
      </c>
      <c r="G879" s="29" t="str" cm="1">
        <f t="array" ref="G879">GetCSVIndex(A2,76+9072)</f>
        <v/>
      </c>
      <c r="H879" s="45" t="str" cm="1">
        <f t="array" ref="H879">GetCSVIndex(A2,264+9072)</f>
        <v/>
      </c>
      <c r="I879" s="29" t="str" cm="1">
        <f t="array" ref="I879">GetCSVIndex(A2,327+9072)</f>
        <v/>
      </c>
      <c r="J879" s="25"/>
      <c r="K879" s="45">
        <v>46</v>
      </c>
      <c r="L879" s="29" t="e" cm="1">
        <f t="array" ref="L879">CHOOSE(GetCSVIndex(A2,171+9072)+1,"","Station","Block","","Delay")</f>
        <v>#VALUE!</v>
      </c>
      <c r="M879" s="29" t="str" cm="1">
        <f t="array" ref="M879">GetCSVIndex(A2,172+9072)</f>
        <v/>
      </c>
      <c r="N879" s="27" t="str" cm="1">
        <f t="array" ref="N879">GetCSVIndex(A2,296+9072)</f>
        <v/>
      </c>
      <c r="O879" s="43" t="str" cm="1">
        <f t="array" ref="O879">GetCSVIndex(A2,359+9072)</f>
        <v/>
      </c>
    </row>
    <row r="880" spans="1:15" ht="21" customHeight="1" x14ac:dyDescent="0.25">
      <c r="A880" s="39"/>
      <c r="B880" s="40"/>
      <c r="C880" s="41"/>
      <c r="D880" s="26"/>
      <c r="E880" s="45">
        <v>15</v>
      </c>
      <c r="F880" s="29" t="e" cm="1">
        <f t="array" ref="F880">CHOOSE(GetCSVIndex(A2,78+9072)+1,"","Station","Block","","Delay")</f>
        <v>#VALUE!</v>
      </c>
      <c r="G880" s="29" t="str" cm="1">
        <f t="array" ref="G880">GetCSVIndex(A2,79+9072)</f>
        <v/>
      </c>
      <c r="H880" s="45" t="str" cm="1">
        <f t="array" ref="H880">GetCSVIndex(A2,265+9072)</f>
        <v/>
      </c>
      <c r="I880" s="29" t="str" cm="1">
        <f t="array" ref="I880">GetCSVIndex(A2,328+9072)</f>
        <v/>
      </c>
      <c r="J880" s="26"/>
      <c r="K880" s="45">
        <v>47</v>
      </c>
      <c r="L880" s="29" t="e" cm="1">
        <f t="array" ref="L880">CHOOSE(GetCSVIndex(A2,174+9072)+1,"","Station","Block","","Delay")</f>
        <v>#VALUE!</v>
      </c>
      <c r="M880" s="29" t="str" cm="1">
        <f t="array" ref="M880">GetCSVIndex(A2,175+9072)</f>
        <v/>
      </c>
      <c r="N880" s="27" t="str" cm="1">
        <f t="array" ref="N880">GetCSVIndex(A2,297+9072)</f>
        <v/>
      </c>
      <c r="O880" s="43" t="str" cm="1">
        <f t="array" ref="O880">GetCSVIndex(A2,360+9072)</f>
        <v/>
      </c>
    </row>
    <row r="881" spans="1:15" ht="21" customHeight="1" x14ac:dyDescent="0.25">
      <c r="A881" s="42"/>
      <c r="B881" s="25"/>
      <c r="C881" s="25"/>
      <c r="D881" s="26"/>
      <c r="E881" s="45">
        <v>16</v>
      </c>
      <c r="F881" s="29" t="e" cm="1">
        <f t="array" ref="F881">CHOOSE(GetCSVIndex(A2,81+9072)+1,"","Station","Block","","Delay")</f>
        <v>#VALUE!</v>
      </c>
      <c r="G881" s="29" t="str" cm="1">
        <f t="array" ref="G881">GetCSVIndex(A2,82+9072)</f>
        <v/>
      </c>
      <c r="H881" s="45" t="str" cm="1">
        <f t="array" ref="H881">GetCSVIndex(A2,266+9072)</f>
        <v/>
      </c>
      <c r="I881" s="29" t="str" cm="1">
        <f t="array" ref="I881">GetCSVIndex(A2,329+9072)</f>
        <v/>
      </c>
      <c r="J881" s="25"/>
      <c r="K881" s="45">
        <v>48</v>
      </c>
      <c r="L881" s="29" t="e" cm="1">
        <f t="array" ref="L881">CHOOSE(GetCSVIndex(A2,177+9072)+1,"","Station","Block","","Delay")</f>
        <v>#VALUE!</v>
      </c>
      <c r="M881" s="29" t="str" cm="1">
        <f t="array" ref="M881">GetCSVIndex(A2,178+9072)</f>
        <v/>
      </c>
      <c r="N881" s="27" t="str" cm="1">
        <f t="array" ref="N881">GetCSVIndex(A2,298+9072)</f>
        <v/>
      </c>
      <c r="O881" s="43" t="str" cm="1">
        <f t="array" ref="O881">GetCSVIndex(A2,361+9072)</f>
        <v/>
      </c>
    </row>
    <row r="882" spans="1:15" ht="21" customHeight="1" x14ac:dyDescent="0.25">
      <c r="A882" s="42"/>
      <c r="B882" s="25"/>
      <c r="C882" s="25"/>
      <c r="D882" s="26"/>
      <c r="E882" s="45">
        <v>17</v>
      </c>
      <c r="F882" s="29" t="e" cm="1">
        <f t="array" ref="F882">CHOOSE(GetCSVIndex(A2,84+9072)+1,"","Station","Block","","Delay")</f>
        <v>#VALUE!</v>
      </c>
      <c r="G882" s="29" t="str" cm="1">
        <f t="array" ref="G882">GetCSVIndex(A2,85+9072)</f>
        <v/>
      </c>
      <c r="H882" s="45" t="str" cm="1">
        <f t="array" ref="H882">GetCSVIndex(A2,267+9072)</f>
        <v/>
      </c>
      <c r="I882" s="29" t="str" cm="1">
        <f t="array" ref="I882">GetCSVIndex(A2,330+9072)</f>
        <v/>
      </c>
      <c r="J882" s="26"/>
      <c r="K882" s="45">
        <v>49</v>
      </c>
      <c r="L882" s="29" t="e" cm="1">
        <f t="array" ref="L882">CHOOSE(GetCSVIndex(A2,180+9072)+1,"","Station","Block","","Delay")</f>
        <v>#VALUE!</v>
      </c>
      <c r="M882" s="29" t="str" cm="1">
        <f t="array" ref="M882">GetCSVIndex(A2,181+9072)</f>
        <v/>
      </c>
      <c r="N882" s="27" t="str" cm="1">
        <f t="array" ref="N882">GetCSVIndex(A2,299+9072)</f>
        <v/>
      </c>
      <c r="O882" s="43" t="str" cm="1">
        <f t="array" ref="O882">GetCSVIndex(A2,362+9072)</f>
        <v/>
      </c>
    </row>
    <row r="883" spans="1:15" ht="21" customHeight="1" x14ac:dyDescent="0.25">
      <c r="A883" s="42"/>
      <c r="B883" s="25"/>
      <c r="C883" s="25"/>
      <c r="D883" s="26"/>
      <c r="E883" s="45">
        <v>18</v>
      </c>
      <c r="F883" s="29" t="e" cm="1">
        <f t="array" ref="F883">CHOOSE(GetCSVIndex(A2,87+9072)+1,"","Station","Block","","Delay")</f>
        <v>#VALUE!</v>
      </c>
      <c r="G883" s="29" t="str" cm="1">
        <f t="array" ref="G883">GetCSVIndex(A2,88+9072)</f>
        <v/>
      </c>
      <c r="H883" s="45" t="str" cm="1">
        <f t="array" ref="H883">GetCSVIndex(A2,268+9072)</f>
        <v/>
      </c>
      <c r="I883" s="29" t="str" cm="1">
        <f t="array" ref="I883">GetCSVIndex(A2,331+9072)</f>
        <v/>
      </c>
      <c r="J883" s="26"/>
      <c r="K883" s="45">
        <v>50</v>
      </c>
      <c r="L883" s="29" t="e" cm="1">
        <f t="array" ref="L883">CHOOSE(GetCSVIndex(A2,183+9072)+1,"","Station","Block","","Delay")</f>
        <v>#VALUE!</v>
      </c>
      <c r="M883" s="29" t="str" cm="1">
        <f t="array" ref="M883">GetCSVIndex(A2,184+9072)</f>
        <v/>
      </c>
      <c r="N883" s="27" t="str" cm="1">
        <f t="array" ref="N883">GetCSVIndex(A2,300+9072)</f>
        <v/>
      </c>
      <c r="O883" s="43" t="str" cm="1">
        <f t="array" ref="O883">GetCSVIndex(A2,363+9072)</f>
        <v/>
      </c>
    </row>
    <row r="884" spans="1:15" ht="21" customHeight="1" x14ac:dyDescent="0.25">
      <c r="A884" s="42"/>
      <c r="B884" s="25"/>
      <c r="C884" s="25"/>
      <c r="D884" s="26"/>
      <c r="E884" s="45">
        <v>19</v>
      </c>
      <c r="F884" s="29" t="e" cm="1">
        <f t="array" ref="F884">CHOOSE(GetCSVIndex(A2,90+9072)+1,"","Station","Block","","Delay")</f>
        <v>#VALUE!</v>
      </c>
      <c r="G884" s="29" t="str" cm="1">
        <f t="array" ref="G884">GetCSVIndex(A2,91+9072)</f>
        <v/>
      </c>
      <c r="H884" s="45" t="str" cm="1">
        <f t="array" ref="H884">GetCSVIndex(A2,269+9072)</f>
        <v/>
      </c>
      <c r="I884" s="29" t="str" cm="1">
        <f t="array" ref="I884">GetCSVIndex(A2,332+9072)</f>
        <v/>
      </c>
      <c r="J884" s="26"/>
      <c r="K884" s="45">
        <v>51</v>
      </c>
      <c r="L884" s="29" t="e" cm="1">
        <f t="array" ref="L884">CHOOSE(GetCSVIndex(A2,186+9072)+1,"","Station","Block","","Delay")</f>
        <v>#VALUE!</v>
      </c>
      <c r="M884" s="29" t="str" cm="1">
        <f t="array" ref="M884">GetCSVIndex(A2,187+9072)</f>
        <v/>
      </c>
      <c r="N884" s="27" t="str" cm="1">
        <f t="array" ref="N884">GetCSVIndex(A2,301+9072)</f>
        <v/>
      </c>
      <c r="O884" s="43" t="str" cm="1">
        <f t="array" ref="O884">GetCSVIndex(A2,364+9072)</f>
        <v/>
      </c>
    </row>
    <row r="885" spans="1:15" ht="21" customHeight="1" x14ac:dyDescent="0.25">
      <c r="A885" s="42"/>
      <c r="B885" s="25"/>
      <c r="C885" s="25"/>
      <c r="D885" s="26"/>
      <c r="E885" s="45">
        <v>20</v>
      </c>
      <c r="F885" s="29" t="e" cm="1">
        <f t="array" ref="F885">CHOOSE(GetCSVIndex(A2,93+9072)+1,"","Station","Block","","Delay")</f>
        <v>#VALUE!</v>
      </c>
      <c r="G885" s="29" t="str" cm="1">
        <f t="array" ref="G885">GetCSVIndex(A2,94+9072)</f>
        <v/>
      </c>
      <c r="H885" s="45" t="str" cm="1">
        <f t="array" ref="H885">GetCSVIndex(A2,270+9072)</f>
        <v/>
      </c>
      <c r="I885" s="29" t="str" cm="1">
        <f t="array" ref="I885">GetCSVIndex(A2,333+9072)</f>
        <v/>
      </c>
      <c r="J885" s="26"/>
      <c r="K885" s="45">
        <v>52</v>
      </c>
      <c r="L885" s="29" t="e" cm="1">
        <f t="array" ref="L885">CHOOSE(GetCSVIndex(A2,189+9072)+1,"","Station","Block","","Delay")</f>
        <v>#VALUE!</v>
      </c>
      <c r="M885" s="29" t="str" cm="1">
        <f t="array" ref="M885">GetCSVIndex(A2,190+9072)</f>
        <v/>
      </c>
      <c r="N885" s="27" t="str" cm="1">
        <f t="array" ref="N885">GetCSVIndex(A2,302+9072)</f>
        <v/>
      </c>
      <c r="O885" s="43" t="str" cm="1">
        <f t="array" ref="O885">GetCSVIndex(A2,365+9072)</f>
        <v/>
      </c>
    </row>
    <row r="886" spans="1:15" ht="21" customHeight="1" x14ac:dyDescent="0.25">
      <c r="A886" s="42"/>
      <c r="B886" s="25"/>
      <c r="C886" s="25"/>
      <c r="D886" s="26"/>
      <c r="E886" s="45">
        <v>21</v>
      </c>
      <c r="F886" s="29" t="e" cm="1">
        <f t="array" ref="F886">CHOOSE(GetCSVIndex(A2,96+9072)+1,"","Station","Block","","Delay")</f>
        <v>#VALUE!</v>
      </c>
      <c r="G886" s="29" t="str" cm="1">
        <f t="array" ref="G886">GetCSVIndex(A2,97+9072)</f>
        <v/>
      </c>
      <c r="H886" s="45" t="str" cm="1">
        <f t="array" ref="H886">GetCSVIndex(A2,271+9072)</f>
        <v/>
      </c>
      <c r="I886" s="29" t="str" cm="1">
        <f t="array" ref="I886">GetCSVIndex(A2,334+9072)</f>
        <v/>
      </c>
      <c r="J886" s="26"/>
      <c r="K886" s="45">
        <v>53</v>
      </c>
      <c r="L886" s="29" t="e" cm="1">
        <f t="array" ref="L886">CHOOSE(GetCSVIndex(A2,192+9072)+1,"","Station","Block","","Delay")</f>
        <v>#VALUE!</v>
      </c>
      <c r="M886" s="29" t="str" cm="1">
        <f t="array" ref="M886">GetCSVIndex(A2,193+9072)</f>
        <v/>
      </c>
      <c r="N886" s="27" t="str" cm="1">
        <f t="array" ref="N886">GetCSVIndex(A2,303+9072)</f>
        <v/>
      </c>
      <c r="O886" s="43" t="str" cm="1">
        <f t="array" ref="O886">GetCSVIndex(A2,366+9072)</f>
        <v/>
      </c>
    </row>
    <row r="887" spans="1:15" ht="21" customHeight="1" x14ac:dyDescent="0.25">
      <c r="A887" s="42"/>
      <c r="B887" s="25"/>
      <c r="C887" s="25"/>
      <c r="D887" s="26"/>
      <c r="E887" s="45">
        <v>22</v>
      </c>
      <c r="F887" s="29" t="e" cm="1">
        <f t="array" ref="F887">CHOOSE(GetCSVIndex(A2,99+9072)+1,"","Station","Block","","Delay")</f>
        <v>#VALUE!</v>
      </c>
      <c r="G887" s="29" t="str" cm="1">
        <f t="array" ref="G887">GetCSVIndex(A2,100+9072)</f>
        <v/>
      </c>
      <c r="H887" s="45" t="str" cm="1">
        <f t="array" ref="H887">GetCSVIndex(A2,272+9072)</f>
        <v/>
      </c>
      <c r="I887" s="29" t="str" cm="1">
        <f t="array" ref="I887">GetCSVIndex(A2,335+9072)</f>
        <v/>
      </c>
      <c r="J887" s="26"/>
      <c r="K887" s="45">
        <v>54</v>
      </c>
      <c r="L887" s="29" t="e" cm="1">
        <f t="array" ref="L887">CHOOSE(GetCSVIndex(A2,195+9072)+1,"","Station","Block","","Delay")</f>
        <v>#VALUE!</v>
      </c>
      <c r="M887" s="29" t="str" cm="1">
        <f t="array" ref="M887">GetCSVIndex(A2,196+9072)</f>
        <v/>
      </c>
      <c r="N887" s="27" t="str" cm="1">
        <f t="array" ref="N887">GetCSVIndex(A2,304+9072)</f>
        <v/>
      </c>
      <c r="O887" s="43" t="str" cm="1">
        <f t="array" ref="O887">GetCSVIndex(A2,367+9072)</f>
        <v/>
      </c>
    </row>
    <row r="888" spans="1:15" ht="21" customHeight="1" x14ac:dyDescent="0.25">
      <c r="A888" s="42"/>
      <c r="B888" s="25"/>
      <c r="C888" s="25"/>
      <c r="D888" s="26"/>
      <c r="E888" s="45">
        <v>23</v>
      </c>
      <c r="F888" s="29" t="e" cm="1">
        <f t="array" ref="F888">CHOOSE(GetCSVIndex(A2,102+9072)+1,"","Station","Block","","Delay")</f>
        <v>#VALUE!</v>
      </c>
      <c r="G888" s="29" t="str" cm="1">
        <f t="array" ref="G888">GetCSVIndex(A2,103+9072)</f>
        <v/>
      </c>
      <c r="H888" s="45" t="str" cm="1">
        <f t="array" ref="H888">GetCSVIndex(A2,273+9072)</f>
        <v/>
      </c>
      <c r="I888" s="29" t="str" cm="1">
        <f t="array" ref="I888">GetCSVIndex(A2,336+9072)</f>
        <v/>
      </c>
      <c r="J888" s="26"/>
      <c r="K888" s="45">
        <v>55</v>
      </c>
      <c r="L888" s="29" t="e" cm="1">
        <f t="array" ref="L888">CHOOSE(GetCSVIndex(A2,198+9072)+1,"","Station","Block","","Delay")</f>
        <v>#VALUE!</v>
      </c>
      <c r="M888" s="29" t="str" cm="1">
        <f t="array" ref="M888">GetCSVIndex(A2,199+9072)</f>
        <v/>
      </c>
      <c r="N888" s="27" t="str" cm="1">
        <f t="array" ref="N888">GetCSVIndex(A2,305+9072)</f>
        <v/>
      </c>
      <c r="O888" s="43" t="str" cm="1">
        <f t="array" ref="O888">GetCSVIndex(A2,368+9072)</f>
        <v/>
      </c>
    </row>
    <row r="889" spans="1:15" ht="21" customHeight="1" x14ac:dyDescent="0.25">
      <c r="A889" s="42"/>
      <c r="B889" s="25"/>
      <c r="C889" s="25"/>
      <c r="D889" s="26"/>
      <c r="E889" s="45">
        <v>24</v>
      </c>
      <c r="F889" s="29" t="e" cm="1">
        <f t="array" ref="F889">CHOOSE(GetCSVIndex(A2,105+9072)+1,"","Station","Block","","Delay")</f>
        <v>#VALUE!</v>
      </c>
      <c r="G889" s="29" t="str" cm="1">
        <f t="array" ref="G889">GetCSVIndex(A2,106+9072)</f>
        <v/>
      </c>
      <c r="H889" s="45" t="str" cm="1">
        <f t="array" ref="H889">GetCSVIndex(A2,274+9072)</f>
        <v/>
      </c>
      <c r="I889" s="29" t="str" cm="1">
        <f t="array" ref="I889">GetCSVIndex(A2,337+9072)</f>
        <v/>
      </c>
      <c r="J889" s="26"/>
      <c r="K889" s="45">
        <v>56</v>
      </c>
      <c r="L889" s="29" t="e" cm="1">
        <f t="array" ref="L889">CHOOSE(GetCSVIndex(A2,201+9072)+1,"","Station","Block","","Delay")</f>
        <v>#VALUE!</v>
      </c>
      <c r="M889" s="29" t="str" cm="1">
        <f t="array" ref="M889">GetCSVIndex(A2,202+9072)</f>
        <v/>
      </c>
      <c r="N889" s="27" t="str" cm="1">
        <f t="array" ref="N889">GetCSVIndex(A2,306+9072)</f>
        <v/>
      </c>
      <c r="O889" s="43" t="str" cm="1">
        <f t="array" ref="O889">GetCSVIndex(A2,369+9072)</f>
        <v/>
      </c>
    </row>
    <row r="890" spans="1:15" ht="21" customHeight="1" x14ac:dyDescent="0.25">
      <c r="A890" s="42"/>
      <c r="B890" s="25"/>
      <c r="C890" s="25"/>
      <c r="D890" s="26"/>
      <c r="E890" s="45">
        <v>25</v>
      </c>
      <c r="F890" s="29" t="e" cm="1">
        <f t="array" ref="F890">CHOOSE(GetCSVIndex(A2,108+9072)+1,"","Station","Block","","Delay")</f>
        <v>#VALUE!</v>
      </c>
      <c r="G890" s="29" t="str" cm="1">
        <f t="array" ref="G890">GetCSVIndex(A2,109+9072)</f>
        <v/>
      </c>
      <c r="H890" s="45" t="str" cm="1">
        <f t="array" ref="H890">GetCSVIndex(A2,275+9072)</f>
        <v/>
      </c>
      <c r="I890" s="29" t="str" cm="1">
        <f t="array" ref="I890">GetCSVIndex(A2,338+9072)</f>
        <v/>
      </c>
      <c r="J890" s="26"/>
      <c r="K890" s="45">
        <v>57</v>
      </c>
      <c r="L890" s="29" t="e" cm="1">
        <f t="array" ref="L890">CHOOSE(GetCSVIndex(A2,204+9072)+1,"","Station","Block","","Delay")</f>
        <v>#VALUE!</v>
      </c>
      <c r="M890" s="29" t="str" cm="1">
        <f t="array" ref="M890">GetCSVIndex(A2,205+9072)</f>
        <v/>
      </c>
      <c r="N890" s="27" t="str" cm="1">
        <f t="array" ref="N890">GetCSVIndex(A2,307+9072)</f>
        <v/>
      </c>
      <c r="O890" s="43" t="str" cm="1">
        <f t="array" ref="O890">GetCSVIndex(A2,370+9072)</f>
        <v/>
      </c>
    </row>
    <row r="891" spans="1:15" ht="21" customHeight="1" x14ac:dyDescent="0.25">
      <c r="A891" s="42"/>
      <c r="B891" s="25"/>
      <c r="C891" s="25"/>
      <c r="D891" s="26"/>
      <c r="E891" s="45">
        <v>26</v>
      </c>
      <c r="F891" s="29" t="e" cm="1">
        <f t="array" ref="F891">CHOOSE(GetCSVIndex(A2,111+9072)+1,"","Station","Block","","Delay")</f>
        <v>#VALUE!</v>
      </c>
      <c r="G891" s="29" t="str" cm="1">
        <f t="array" ref="G891">GetCSVIndex(A2,112+9072)</f>
        <v/>
      </c>
      <c r="H891" s="45" t="str" cm="1">
        <f t="array" ref="H891">GetCSVIndex(A2,276+9072)</f>
        <v/>
      </c>
      <c r="I891" s="29" t="str" cm="1">
        <f t="array" ref="I891">GetCSVIndex(A2,339+9072)</f>
        <v/>
      </c>
      <c r="J891" s="26"/>
      <c r="K891" s="45">
        <v>58</v>
      </c>
      <c r="L891" s="29" t="e" cm="1">
        <f t="array" ref="L891">CHOOSE(GetCSVIndex(A2,207+9072)+1,"","Station","Block","","Delay")</f>
        <v>#VALUE!</v>
      </c>
      <c r="M891" s="29" t="str" cm="1">
        <f t="array" ref="M891">GetCSVIndex(A2,208+9072)</f>
        <v/>
      </c>
      <c r="N891" s="27" t="str" cm="1">
        <f t="array" ref="N891">GetCSVIndex(A2,308+9072)</f>
        <v/>
      </c>
      <c r="O891" s="43" t="str" cm="1">
        <f t="array" ref="O891">GetCSVIndex(A2,371+9072)</f>
        <v/>
      </c>
    </row>
    <row r="892" spans="1:15" ht="21" customHeight="1" x14ac:dyDescent="0.25">
      <c r="A892" s="42"/>
      <c r="B892" s="25"/>
      <c r="C892" s="25"/>
      <c r="D892" s="26"/>
      <c r="E892" s="45">
        <v>27</v>
      </c>
      <c r="F892" s="29" t="e" cm="1">
        <f t="array" ref="F892">CHOOSE(GetCSVIndex(A2,114+9072)+1,"","Station","Block","","Delay")</f>
        <v>#VALUE!</v>
      </c>
      <c r="G892" s="29" t="str" cm="1">
        <f t="array" ref="G892">GetCSVIndex(A2,115+9072)</f>
        <v/>
      </c>
      <c r="H892" s="45" t="str" cm="1">
        <f t="array" ref="H892">GetCSVIndex(A2,277+9072)</f>
        <v/>
      </c>
      <c r="I892" s="29" t="str" cm="1">
        <f t="array" ref="I892">GetCSVIndex(A2,340+9072)</f>
        <v/>
      </c>
      <c r="J892" s="26"/>
      <c r="K892" s="45">
        <v>59</v>
      </c>
      <c r="L892" s="29" t="e" cm="1">
        <f t="array" ref="L892">CHOOSE(GetCSVIndex(A2,210+9072)+1,"","Station","Block","","Delay")</f>
        <v>#VALUE!</v>
      </c>
      <c r="M892" s="29" t="str" cm="1">
        <f t="array" ref="M892">GetCSVIndex(A2,211+9072)</f>
        <v/>
      </c>
      <c r="N892" s="27" t="str" cm="1">
        <f t="array" ref="N892">GetCSVIndex(A2,309+9072)</f>
        <v/>
      </c>
      <c r="O892" s="43" t="str" cm="1">
        <f t="array" ref="O892">GetCSVIndex(A2,372+9072)</f>
        <v/>
      </c>
    </row>
    <row r="893" spans="1:15" ht="21" customHeight="1" x14ac:dyDescent="0.25">
      <c r="A893" s="42"/>
      <c r="B893" s="25"/>
      <c r="C893" s="25"/>
      <c r="D893" s="26"/>
      <c r="E893" s="45">
        <v>28</v>
      </c>
      <c r="F893" s="29" t="e" cm="1">
        <f t="array" ref="F893">CHOOSE(GetCSVIndex(A2,117+9072)+1,"","Station","Block","","Delay")</f>
        <v>#VALUE!</v>
      </c>
      <c r="G893" s="29" t="str" cm="1">
        <f t="array" ref="G893">GetCSVIndex(A2,118+9072)</f>
        <v/>
      </c>
      <c r="H893" s="45" t="str" cm="1">
        <f t="array" ref="H893">GetCSVIndex(A2,278+9072)</f>
        <v/>
      </c>
      <c r="I893" s="29" t="str" cm="1">
        <f t="array" ref="I893">GetCSVIndex(A2,341+9072)</f>
        <v/>
      </c>
      <c r="J893" s="26"/>
      <c r="K893" s="45">
        <v>60</v>
      </c>
      <c r="L893" s="29" t="e" cm="1">
        <f t="array" ref="L893">CHOOSE(GetCSVIndex(A2,213+9072)+1,"","Station","Block","","Delay")</f>
        <v>#VALUE!</v>
      </c>
      <c r="M893" s="29" t="str" cm="1">
        <f t="array" ref="M893">GetCSVIndex(A2,214+9072)</f>
        <v/>
      </c>
      <c r="N893" s="27" t="str" cm="1">
        <f t="array" ref="N893">GetCSVIndex(A2,310+9072)</f>
        <v/>
      </c>
      <c r="O893" s="43" t="str" cm="1">
        <f t="array" ref="O893">GetCSVIndex(A2,373+9072)</f>
        <v/>
      </c>
    </row>
    <row r="894" spans="1:15" ht="21" customHeight="1" x14ac:dyDescent="0.25">
      <c r="A894" s="42"/>
      <c r="B894" s="25"/>
      <c r="C894" s="25"/>
      <c r="D894" s="26"/>
      <c r="E894" s="45">
        <v>29</v>
      </c>
      <c r="F894" s="29" t="e" cm="1">
        <f t="array" ref="F894">CHOOSE(GetCSVIndex(A2,120+9072)+1,"","Station","Block","","Delay")</f>
        <v>#VALUE!</v>
      </c>
      <c r="G894" s="29" t="str" cm="1">
        <f t="array" ref="G894">GetCSVIndex(A2,121+9072)</f>
        <v/>
      </c>
      <c r="H894" s="45" t="str" cm="1">
        <f t="array" ref="H894">GetCSVIndex(A2,279+9072)</f>
        <v/>
      </c>
      <c r="I894" s="29" t="str" cm="1">
        <f t="array" ref="I894">GetCSVIndex(A2,342+9072)</f>
        <v/>
      </c>
      <c r="J894" s="26"/>
      <c r="K894" s="45">
        <v>61</v>
      </c>
      <c r="L894" s="29" t="e" cm="1">
        <f t="array" ref="L894">CHOOSE(GetCSVIndex(A2,216+9072)+1,"","Station","Block","","Delay")</f>
        <v>#VALUE!</v>
      </c>
      <c r="M894" s="29" t="str" cm="1">
        <f t="array" ref="M894">GetCSVIndex(A2,217+9072)</f>
        <v/>
      </c>
      <c r="N894" s="27" t="str" cm="1">
        <f t="array" ref="N894">GetCSVIndex(A2,311+9072)</f>
        <v/>
      </c>
      <c r="O894" s="43" t="str" cm="1">
        <f t="array" ref="O894">GetCSVIndex(A2,374+9072)</f>
        <v/>
      </c>
    </row>
    <row r="895" spans="1:15" ht="21" customHeight="1" x14ac:dyDescent="0.25">
      <c r="A895" s="42"/>
      <c r="B895" s="25"/>
      <c r="C895" s="25"/>
      <c r="D895" s="26"/>
      <c r="E895" s="45">
        <v>30</v>
      </c>
      <c r="F895" s="29" t="e" cm="1">
        <f t="array" ref="F895">CHOOSE(GetCSVIndex(A2,123+9072)+1,"","Station","Block","","Delay")</f>
        <v>#VALUE!</v>
      </c>
      <c r="G895" s="29" t="str" cm="1">
        <f t="array" ref="G895">GetCSVIndex(A2,124+9072)</f>
        <v/>
      </c>
      <c r="H895" s="45" t="str" cm="1">
        <f t="array" ref="H895">GetCSVIndex(A2,280+9072)</f>
        <v/>
      </c>
      <c r="I895" s="29" t="str" cm="1">
        <f t="array" ref="I895">GetCSVIndex(A2,343+9072)</f>
        <v/>
      </c>
      <c r="J895" s="26"/>
      <c r="K895" s="45">
        <v>62</v>
      </c>
      <c r="L895" s="29" t="e" cm="1">
        <f t="array" ref="L895">CHOOSE(GetCSVIndex(A2,219+9072)+1,"","Station","Block","","Delay")</f>
        <v>#VALUE!</v>
      </c>
      <c r="M895" s="29" t="str" cm="1">
        <f t="array" ref="M895">GetCSVIndex(A2,220+9072)</f>
        <v/>
      </c>
      <c r="N895" s="27" t="str" cm="1">
        <f t="array" ref="N895">GetCSVIndex(A2,312+9072)</f>
        <v/>
      </c>
      <c r="O895" s="43" t="str" cm="1">
        <f t="array" ref="O895">GetCSVIndex(A2,375+9072)</f>
        <v/>
      </c>
    </row>
    <row r="896" spans="1:15" ht="21" customHeight="1" x14ac:dyDescent="0.25">
      <c r="A896" s="42"/>
      <c r="B896" s="25"/>
      <c r="C896" s="25"/>
      <c r="D896" s="26"/>
      <c r="E896" s="45">
        <v>31</v>
      </c>
      <c r="F896" s="29" t="e" cm="1">
        <f t="array" ref="F896">CHOOSE(GetCSVIndex(A2,126+9072)+1,"","Station","Block","","Delay")</f>
        <v>#VALUE!</v>
      </c>
      <c r="G896" s="29" t="str" cm="1">
        <f t="array" ref="G896">GetCSVIndex(A2,127+9072)</f>
        <v/>
      </c>
      <c r="H896" s="45" t="str" cm="1">
        <f t="array" ref="H896">GetCSVIndex(A2,281+9072)</f>
        <v/>
      </c>
      <c r="I896" s="29" t="str" cm="1">
        <f t="array" ref="I896">GetCSVIndex(A2,344+9072)</f>
        <v/>
      </c>
      <c r="J896" s="26"/>
      <c r="K896" s="45">
        <v>63</v>
      </c>
      <c r="L896" s="29" t="e" cm="1">
        <f t="array" ref="L896">CHOOSE(GetCSVIndex(A2,222+9072)+1,"","Station","Block","","Delay")</f>
        <v>#VALUE!</v>
      </c>
      <c r="M896" s="29" t="str" cm="1">
        <f t="array" ref="M896">GetCSVIndex(A2,223+9072)</f>
        <v/>
      </c>
      <c r="N896" s="27" t="str" cm="1">
        <f t="array" ref="N896">GetCSVIndex(A2,313+9072)</f>
        <v/>
      </c>
      <c r="O896" s="43" t="str" cm="1">
        <f t="array" ref="O896">GetCSVIndex(A2,376+9072)</f>
        <v/>
      </c>
    </row>
    <row r="897" spans="1:15" ht="21" customHeight="1" x14ac:dyDescent="0.25">
      <c r="A897" s="37"/>
      <c r="B897" s="28"/>
      <c r="C897" s="29"/>
      <c r="D897" s="29"/>
      <c r="E897" s="45">
        <v>32</v>
      </c>
      <c r="F897" s="29" t="e" cm="1">
        <f t="array" ref="F897">CHOOSE(GetCSVIndex(A2,129+9072)+1,"","Station","Block","","Delay")</f>
        <v>#VALUE!</v>
      </c>
      <c r="G897" s="29" t="str" cm="1">
        <f t="array" ref="G897">GetCSVIndex(A2,130+9072)</f>
        <v/>
      </c>
      <c r="H897" s="45" t="str" cm="1">
        <f t="array" ref="H897">GetCSVIndex(A2,282+9072)</f>
        <v/>
      </c>
      <c r="I897" s="29" t="str" cm="1">
        <f t="array" ref="I897">GetCSVIndex(A2,345+9072)</f>
        <v/>
      </c>
      <c r="J897" s="29"/>
      <c r="K897" s="45">
        <v>64</v>
      </c>
      <c r="L897" s="29" t="e" cm="1">
        <f t="array" ref="L897">CHOOSE(GetCSVIndex(A2,225+9072)+1,"","Station","Block","","Delay")</f>
        <v>#VALUE!</v>
      </c>
      <c r="M897" s="29" t="str" cm="1">
        <f t="array" ref="M897">GetCSVIndex(A2,226+9072)</f>
        <v/>
      </c>
      <c r="N897" s="27" t="str" cm="1">
        <f t="array" ref="N897">GetCSVIndex(A2,314+9072)</f>
        <v/>
      </c>
      <c r="O897" s="43" t="str" cm="1">
        <f t="array" ref="O897">GetCSVIndex(A2,377+9072)</f>
        <v/>
      </c>
    </row>
    <row r="898" spans="1:15" ht="23.25" customHeight="1" x14ac:dyDescent="0.25">
      <c r="A898" s="51" t="str" cm="1">
        <f t="array" ref="A898">CONCATENATE("Schedule  Program Number : ", GetCSVIndex(A2,5+9450))</f>
        <v xml:space="preserve">Schedule  Program Number : </v>
      </c>
      <c r="B898" s="52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3"/>
    </row>
    <row r="899" spans="1:15" ht="21" customHeight="1" x14ac:dyDescent="0.25">
      <c r="A899" s="20" t="s">
        <v>44</v>
      </c>
      <c r="B899" s="22" t="str" cm="1">
        <f t="array" ref="B899">GetCSVIndex(A2,5+9450)</f>
        <v/>
      </c>
      <c r="C899" s="18"/>
      <c r="D899" s="18"/>
      <c r="E899" s="18"/>
      <c r="F899" s="18"/>
      <c r="G899" s="18" t="s">
        <v>19</v>
      </c>
      <c r="H899" s="18" t="e" cm="1">
        <f t="array" ref="H899">CHOOSE(GetCSVIndex(A2,7+9450)+1, "Days of Week", "Odd/Even", "Interval","Manual")</f>
        <v>#VALUE!</v>
      </c>
      <c r="I899" s="18"/>
      <c r="J899" s="15"/>
      <c r="K899" s="15"/>
      <c r="L899" s="15"/>
      <c r="M899" s="15"/>
      <c r="N899" s="15"/>
      <c r="O899" s="16"/>
    </row>
    <row r="900" spans="1:15" ht="18" customHeight="1" x14ac:dyDescent="0.25">
      <c r="A900" s="21" t="s">
        <v>20</v>
      </c>
      <c r="B900" s="19" t="e" cm="1">
        <f t="array" ref="B900">CHOOSE(GetCSVIndex(A2,24+9450)+1, "Program", "Global", "Monthly","Solar Sync")</f>
        <v>#VALUE!</v>
      </c>
      <c r="C900" s="19"/>
      <c r="D900" s="19"/>
      <c r="E900" s="19"/>
      <c r="F900" s="19" t="s">
        <v>21</v>
      </c>
      <c r="G900" s="19" t="e" cm="1">
        <f t="array" ref="G900">IF(CHOOSE(GetCSVIndex(A2,7+9450)+1,IF(_xlfn.BITAND(GetCSVIndex(A2,8+9450), 2^0)=0, 0, 1),IF(_xlfn.BITAND(GetCSVIndex(A2,9+9450), 2^0)=0, 0, 1),IF(_xlfn.BITAND(GetCSVIndex(A2,10+9450), 2^0)=0, 0, 1)) =1,"Mon","")</f>
        <v>#VALUE!</v>
      </c>
      <c r="H900" s="19" t="e" cm="1">
        <f t="array" ref="H900">CONCATENATE(IF(CHOOSE(GetCSVIndex(A2,7+9450)+1,IF(_xlfn.BITAND(GetCSVIndex(A2,8+9450), 2^1)=0, 0, 1),IF(_xlfn.BITAND(GetCSVIndex(A2,9+9450), 2^1)=0, 0, 1),IF(_xlfn.BITAND(GetCSVIndex(A2,10+9450), 2^1)=0, 0, 1)) =1,"Tue       ","       "),IF(CHOOSE(GetCSVIndex(A2,7+9450)+1,IF(_xlfn.BITAND(GetCSVIndex(A2,8+9450), 2^2)=0, 0, 1),IF(_xlfn.BITAND(GetCSVIndex(A2,9+9450), 2^2)=0, 0, 1),IF(_xlfn.BITAND(GetCSVIndex(A2,10+9450), 2^2)=0, 0, 1)) =1,"Wed",""),IF(CHOOSE(GetCSVIndex(A2,7+9450)+1,IF(_xlfn.BITAND(GetCSVIndex(A2,8+9450), 2^3)=0, 0, 1),IF(_xlfn.BITAND(GetCSVIndex(A2,9+9450), 2^3)=0, 0, 1),IF(_xlfn.BITAND(GetCSVIndex(A2,10+9450), 2^3)=0, 0, 1)) =1,"       Thu","       "))</f>
        <v>#VALUE!</v>
      </c>
      <c r="I900" s="32" t="e" cm="1">
        <f t="array" ref="I900">CONCATENATE(IF(CHOOSE(GetCSVIndex(A2,7+9450)+1,IF(_xlfn.BITAND(GetCSVIndex(A2,8+9450), 2^4)=0, 0, 1),IF(_xlfn.BITAND(GetCSVIndex(A2,9+9450), 2^4)=0, 0, 1),IF(_xlfn.BITAND(GetCSVIndex(A2,10+9450), 2^4)=0, 0, 1)) =1,"Fri       ","       "),IF(CHOOSE(GetCSVIndex(A2,7+9450)+1,IF(_xlfn.BITAND(GetCSVIndex(A2,8+9450), 2^5)=0, 0, 1),IF(_xlfn.BITAND(GetCSVIndex(A2,9+9450), 2^5)=0, 0, 1),IF(_xlfn.BITAND(GetCSVIndex(A2,10+9450), 2^5)=0, 0, 1)) =1,"Sat",""),IF(CHOOSE(GetCSVIndex(A2,7+9450)+1,IF(_xlfn.BITAND(GetCSVIndex(A2,8+9450), 2^6)=0, 0, 1),IF(_xlfn.BITAND(GetCSVIndex(A2,9+9450), 2^6)=0, 0, 1),IF(_xlfn.BITAND(GetCSVIndex(A2,10+9450), 2^6)=0, 0, 1)) =1,"       Sun","       "))</f>
        <v>#VALUE!</v>
      </c>
      <c r="J900" s="19"/>
      <c r="K900" s="19"/>
      <c r="L900" s="32" t="s">
        <v>22</v>
      </c>
      <c r="M900" s="19"/>
      <c r="N900" s="19" t="str" cm="1">
        <f t="array" ref="N900">IF(GetCSVIndex(A2,26+9450)="1","Enable","Disable")</f>
        <v>Disable</v>
      </c>
      <c r="O900" s="24"/>
    </row>
    <row r="901" spans="1:15" ht="18" customHeight="1" x14ac:dyDescent="0.25">
      <c r="A901" s="21" t="str" cm="1">
        <f t="array" ref="A901">CONCATENATE("Program ", GetCSVIndex(A2,5+9450))</f>
        <v xml:space="preserve">Program </v>
      </c>
      <c r="B901" s="23" t="str" cm="1">
        <f t="array" ref="B901">CONCATENATE(GetCSVIndex(A2,25+9450)," %")</f>
        <v xml:space="preserve"> %</v>
      </c>
      <c r="C901" s="19"/>
      <c r="D901" s="19"/>
      <c r="E901" s="19"/>
      <c r="F901" s="19" t="str" cm="1">
        <f t="array" ref="F901">IF(GetCSVIndex(A2,7)="2","Water Every"," ")</f>
        <v xml:space="preserve"> </v>
      </c>
      <c r="G901" s="47" t="str" cm="1">
        <f t="array" ref="G901">IF(GetCSVIndex(A2,7+9450)="2",GetCSVIndex(A2,11+9450)," ")</f>
        <v xml:space="preserve"> </v>
      </c>
      <c r="H901" s="19" t="str" cm="1">
        <f t="array" ref="H901">IF(GetCSVIndex(A2,7+9450)="2","Days"," ")</f>
        <v xml:space="preserve"> </v>
      </c>
      <c r="I901" s="32" t="str" cm="1">
        <f t="array" ref="I901">IF(GetCSVIndex(A2,7+9450)="2","Water After"," ")</f>
        <v xml:space="preserve"> </v>
      </c>
      <c r="J901" s="19"/>
      <c r="K901" s="19" t="str" cm="1">
        <f t="array" ref="K901">IF(GetCSVIndex(A2,7+9450)="2",GetCSVIndex(A2,12+9450)," ")</f>
        <v xml:space="preserve"> </v>
      </c>
      <c r="L901" s="47" t="str" cm="1">
        <f t="array" ref="L901">IF(GetCSVIndex(A2,7+9450)="2","Days"," ")</f>
        <v xml:space="preserve"> </v>
      </c>
      <c r="M901" s="32"/>
      <c r="N901" s="32"/>
      <c r="O901" s="24"/>
    </row>
    <row r="902" spans="1:15" ht="21" customHeight="1" x14ac:dyDescent="0.25">
      <c r="A902" s="20" t="s">
        <v>23</v>
      </c>
      <c r="B902" s="18" t="s">
        <v>24</v>
      </c>
      <c r="C902" s="18" t="str" cm="1">
        <f t="array" ref="C902">CHOOSE(GetCSVIndex(A2,13)+1, "Auto", "Start to End","Manual")</f>
        <v>Start to End</v>
      </c>
      <c r="D902" s="31"/>
      <c r="E902" s="17" t="s">
        <v>38</v>
      </c>
      <c r="F902" s="18" t="s">
        <v>39</v>
      </c>
      <c r="G902" s="18" t="s">
        <v>40</v>
      </c>
      <c r="H902" s="18" t="s">
        <v>41</v>
      </c>
      <c r="I902" s="18" t="s">
        <v>43</v>
      </c>
      <c r="J902" s="31"/>
      <c r="K902" s="17" t="s">
        <v>38</v>
      </c>
      <c r="L902" s="18" t="s">
        <v>39</v>
      </c>
      <c r="M902" s="18" t="s">
        <v>40</v>
      </c>
      <c r="N902" s="22" t="s">
        <v>41</v>
      </c>
      <c r="O902" s="44" t="s">
        <v>42</v>
      </c>
    </row>
    <row r="903" spans="1:15" ht="21" customHeight="1" x14ac:dyDescent="0.25">
      <c r="A903" s="36" t="s">
        <v>25</v>
      </c>
      <c r="B903" s="46" t="str" cm="1">
        <f t="array" ref="B903">IF(GetCSVIndex(A2,6+9450)="1","Over","Stack")</f>
        <v>Stack</v>
      </c>
      <c r="C903" s="26" t="str" cm="1">
        <f t="array" ref="C903">GetCSVIndex(A2,29+9450)</f>
        <v/>
      </c>
      <c r="D903" s="25"/>
      <c r="E903" s="45">
        <v>1</v>
      </c>
      <c r="F903" s="29" t="e" cm="1">
        <f t="array" ref="F903">CHOOSE(GetCSVIndex(A2,36+9450)+1,"","Station","Block","","Delay")</f>
        <v>#VALUE!</v>
      </c>
      <c r="G903" s="29" t="str" cm="1">
        <f t="array" ref="G903">GetCSVIndex(A2,37+9450)</f>
        <v/>
      </c>
      <c r="H903" s="45" t="str" cm="1">
        <f t="array" ref="H903">GetCSVIndex(A2,3+9450)</f>
        <v/>
      </c>
      <c r="I903" s="29" t="str" cm="1">
        <f t="array" ref="I903">GetCSVIndex(A2,1+9450)</f>
        <v/>
      </c>
      <c r="J903" s="25"/>
      <c r="K903" s="45">
        <v>33</v>
      </c>
      <c r="L903" s="29" t="e" cm="1">
        <f t="array" ref="L903">CHOOSE(GetCSVIndex(A2,132+9450)+1,"","Station","Block","","Delay")</f>
        <v>#VALUE!</v>
      </c>
      <c r="M903" s="29" t="str" cm="1">
        <f t="array" ref="M903">GetCSVIndex(A2,133+9450)</f>
        <v/>
      </c>
      <c r="N903" s="27" t="str" cm="1">
        <f t="array" ref="N903">GetCSVIndex(A2,283+9450)</f>
        <v/>
      </c>
      <c r="O903" s="43" t="str" cm="1">
        <f t="array" ref="O903">GetCSVIndex(A2,346+9450)</f>
        <v/>
      </c>
    </row>
    <row r="904" spans="1:15" ht="21" customHeight="1" x14ac:dyDescent="0.25">
      <c r="A904" s="36" t="s">
        <v>26</v>
      </c>
      <c r="B904" s="25" t="str" cm="1">
        <f t="array" ref="B904">IF(GetCSVIndex(A2,2+9450)="1092:15","Not Set",CONCATENATE("From     ",GetCSVIndex(A2,2+9450)))</f>
        <v xml:space="preserve">From     </v>
      </c>
      <c r="C904" s="26" t="str" cm="1">
        <f t="array" ref="C904">IF(GetCSVIndex(C4,1+48)="1092:15","Not Set",CONCATENATE("To     ",GetCSVIndex(C4,1+48)))</f>
        <v xml:space="preserve">To     </v>
      </c>
      <c r="D904" s="25"/>
      <c r="E904" s="45">
        <v>2</v>
      </c>
      <c r="F904" s="29" t="e" cm="1">
        <f t="array" ref="F904">CHOOSE(GetCSVIndex(A2,39+9450)+1,"","Station","Block","","Delay")</f>
        <v>#VALUE!</v>
      </c>
      <c r="G904" s="29" t="str" cm="1">
        <f t="array" ref="G904">GetCSVIndex(A2,40+9450)</f>
        <v/>
      </c>
      <c r="H904" s="45" t="str" cm="1">
        <f t="array" ref="H904">GetCSVIndex(A2,252+9450)</f>
        <v/>
      </c>
      <c r="I904" s="29" t="str" cm="1">
        <f t="array" ref="I904">GetCSVIndex(A2,315+9450)</f>
        <v/>
      </c>
      <c r="J904" s="25"/>
      <c r="K904" s="45">
        <v>34</v>
      </c>
      <c r="L904" s="29" t="e" cm="1">
        <f t="array" ref="L904">CHOOSE(GetCSVIndex(A2,135+9450)+1,"","Station","Block","","Delay")</f>
        <v>#VALUE!</v>
      </c>
      <c r="M904" s="29" t="str" cm="1">
        <f t="array" ref="M904">GetCSVIndex(A2,136+9450)</f>
        <v/>
      </c>
      <c r="N904" s="27" t="str" cm="1">
        <f t="array" ref="N904">GetCSVIndex(A2,284+9450)</f>
        <v/>
      </c>
      <c r="O904" s="43" t="str" cm="1">
        <f t="array" ref="O904">GetCSVIndex(A2,347+9450)</f>
        <v/>
      </c>
    </row>
    <row r="905" spans="1:15" ht="21" customHeight="1" x14ac:dyDescent="0.25">
      <c r="A905" s="36" t="s">
        <v>27</v>
      </c>
      <c r="B905" s="25"/>
      <c r="C905" s="26" t="str" cm="1">
        <f t="array" ref="C905">CONCATENATE(GetCSVIndex(A2,249+9450),":", GetCSVIndex(A2,250+9450),":", GetCSVIndex(A2,251+9450))</f>
        <v>::</v>
      </c>
      <c r="D905" s="26"/>
      <c r="E905" s="45">
        <v>3</v>
      </c>
      <c r="F905" s="29" t="e" cm="1">
        <f t="array" ref="F905">CHOOSE(GetCSVIndex(A2,42+9450)+1,"","Station","Block","","Delay")</f>
        <v>#VALUE!</v>
      </c>
      <c r="G905" s="29" t="str" cm="1">
        <f t="array" ref="G905">GetCSVIndex(A2,43+9450)</f>
        <v/>
      </c>
      <c r="H905" s="45" t="str" cm="1">
        <f t="array" ref="H905">GetCSVIndex(A2,253+9450)</f>
        <v/>
      </c>
      <c r="I905" s="29" t="str" cm="1">
        <f t="array" ref="I905">GetCSVIndex(A2,316+9450)</f>
        <v/>
      </c>
      <c r="J905" s="25"/>
      <c r="K905" s="45">
        <v>35</v>
      </c>
      <c r="L905" s="29" t="e" cm="1">
        <f t="array" ref="L905">CHOOSE(GetCSVIndex(A2,138+9450)+1,"","Station","Block","","Delay")</f>
        <v>#VALUE!</v>
      </c>
      <c r="M905" s="29" t="str" cm="1">
        <f t="array" ref="M905">GetCSVIndex(A2,139+9450)</f>
        <v/>
      </c>
      <c r="N905" s="27" t="str" cm="1">
        <f t="array" ref="N905">GetCSVIndex(A2,285+9450)</f>
        <v/>
      </c>
      <c r="O905" s="43" t="str" cm="1">
        <f t="array" ref="O905">GetCSVIndex(A2,348+9450)</f>
        <v/>
      </c>
    </row>
    <row r="906" spans="1:15" ht="21" customHeight="1" x14ac:dyDescent="0.25">
      <c r="A906" s="36"/>
      <c r="B906" s="25"/>
      <c r="C906" s="25"/>
      <c r="D906" s="25"/>
      <c r="E906" s="45">
        <v>4</v>
      </c>
      <c r="F906" s="29" t="e" cm="1">
        <f t="array" ref="F906">CHOOSE(GetCSVIndex(A2,45+9450)+1,"","Station","Block","","Delay")</f>
        <v>#VALUE!</v>
      </c>
      <c r="G906" s="29" t="str" cm="1">
        <f t="array" ref="G906">GetCSVIndex(A2,46+9450)</f>
        <v/>
      </c>
      <c r="H906" s="45" t="str" cm="1">
        <f t="array" ref="H906">GetCSVIndex(A2,254+9450)</f>
        <v/>
      </c>
      <c r="I906" s="29" t="str" cm="1">
        <f t="array" ref="I906">GetCSVIndex(A2,317+9450)</f>
        <v/>
      </c>
      <c r="J906" s="25"/>
      <c r="K906" s="45">
        <v>36</v>
      </c>
      <c r="L906" s="29" t="e" cm="1">
        <f t="array" ref="L906">CHOOSE(GetCSVIndex(A2,141+9450)+1,"","Station","Block","","Delay")</f>
        <v>#VALUE!</v>
      </c>
      <c r="M906" s="29" t="str" cm="1">
        <f t="array" ref="M906">GetCSVIndex(A2,142+9450)</f>
        <v/>
      </c>
      <c r="N906" s="27" t="str" cm="1">
        <f t="array" ref="N906">GetCSVIndex(A2,286+9450)</f>
        <v/>
      </c>
      <c r="O906" s="43" t="str" cm="1">
        <f t="array" ref="O906">GetCSVIndex(A2,349+9450)</f>
        <v/>
      </c>
    </row>
    <row r="907" spans="1:15" ht="21" customHeight="1" x14ac:dyDescent="0.25">
      <c r="A907" s="37" t="s">
        <v>28</v>
      </c>
      <c r="B907" s="28"/>
      <c r="C907" s="29" t="str" cm="1">
        <f t="array" ref="C907">IF(GetCSVIndex(A2,14+9450)&lt;&gt;"65535",CONCATENATE(GetCSVIndex(A2,229+9450),":", GetCSVIndex(A2,239+9450)),"OFF")</f>
        <v>:</v>
      </c>
      <c r="D907" s="25"/>
      <c r="E907" s="45">
        <v>5</v>
      </c>
      <c r="F907" s="29" t="e" cm="1">
        <f t="array" ref="F907">CHOOSE(GetCSVIndex(A2,48+9450)+1,"","Station","Block","","Delay")</f>
        <v>#VALUE!</v>
      </c>
      <c r="G907" s="29" t="str" cm="1">
        <f t="array" ref="G907">GetCSVIndex(A2,49+9450)</f>
        <v/>
      </c>
      <c r="H907" s="45" t="str" cm="1">
        <f t="array" ref="H907">GetCSVIndex(A2,255+9450)</f>
        <v/>
      </c>
      <c r="I907" s="29" t="str" cm="1">
        <f t="array" ref="I907">GetCSVIndex(A2,318+9450)</f>
        <v/>
      </c>
      <c r="J907" s="25"/>
      <c r="K907" s="45">
        <v>37</v>
      </c>
      <c r="L907" s="29" t="e" cm="1">
        <f t="array" ref="L907">CHOOSE(GetCSVIndex(A2,144+9450)+1,"","Station","Block","","Delay")</f>
        <v>#VALUE!</v>
      </c>
      <c r="M907" s="29" t="str" cm="1">
        <f t="array" ref="M907">GetCSVIndex(A2,145+9450)</f>
        <v/>
      </c>
      <c r="N907" s="27" t="str" cm="1">
        <f t="array" ref="N907">GetCSVIndex(A2,287+9450)</f>
        <v/>
      </c>
      <c r="O907" s="43" t="str" cm="1">
        <f t="array" ref="O907">GetCSVIndex(A2,350+9450)</f>
        <v/>
      </c>
    </row>
    <row r="908" spans="1:15" ht="21" customHeight="1" x14ac:dyDescent="0.25">
      <c r="A908" s="38" t="s">
        <v>29</v>
      </c>
      <c r="B908" s="30"/>
      <c r="C908" s="29" t="str" cm="1">
        <f t="array" ref="C908">IF(GetCSVIndex(A2,15+9450)&lt;&gt;"65535",CONCATENATE(GetCSVIndex(A2,231+9450),":", GetCSVIndex(A2,241+9450)),"OFF")</f>
        <v>:</v>
      </c>
      <c r="D908" s="25"/>
      <c r="E908" s="45">
        <v>6</v>
      </c>
      <c r="F908" s="29" t="e" cm="1">
        <f t="array" ref="F908">CHOOSE(GetCSVIndex(A2,51+9450)+1,"","Station","Block","","Delay")</f>
        <v>#VALUE!</v>
      </c>
      <c r="G908" s="29" t="str" cm="1">
        <f t="array" ref="G908">GetCSVIndex(A2,52+9450)</f>
        <v/>
      </c>
      <c r="H908" s="45" t="str" cm="1">
        <f t="array" ref="H908">GetCSVIndex(A2,256+9450)</f>
        <v/>
      </c>
      <c r="I908" s="29" t="str" cm="1">
        <f t="array" ref="I908">GetCSVIndex(A2,319+9450)</f>
        <v/>
      </c>
      <c r="J908" s="25"/>
      <c r="K908" s="45">
        <v>38</v>
      </c>
      <c r="L908" s="29" t="e" cm="1">
        <f t="array" ref="L908">CHOOSE(GetCSVIndex(A2,147+9450)+1,"","Station","Block","","Delay")</f>
        <v>#VALUE!</v>
      </c>
      <c r="M908" s="29" t="str" cm="1">
        <f t="array" ref="M908">GetCSVIndex(A2,148+9450)</f>
        <v/>
      </c>
      <c r="N908" s="27" t="str" cm="1">
        <f t="array" ref="N908">GetCSVIndex(A2,288+9450)</f>
        <v/>
      </c>
      <c r="O908" s="43" t="str" cm="1">
        <f t="array" ref="O908">GetCSVIndex(A2,351+9450)</f>
        <v/>
      </c>
    </row>
    <row r="909" spans="1:15" ht="21" customHeight="1" x14ac:dyDescent="0.25">
      <c r="A909" s="38" t="s">
        <v>30</v>
      </c>
      <c r="B909" s="30"/>
      <c r="C909" s="29" t="str" cm="1">
        <f t="array" ref="C909">IF(GetCSVIndex(A2,16+9450)&lt;&gt;"65535",CONCATENATE(GetCSVIndex(A2,232+9450),":", GetCSVIndex(A2,242+9450)),"OFF")</f>
        <v>:</v>
      </c>
      <c r="D909" s="25"/>
      <c r="E909" s="45">
        <v>7</v>
      </c>
      <c r="F909" s="29" t="e" cm="1">
        <f t="array" ref="F909">CHOOSE(GetCSVIndex(A2,54+9450)+1,"","Station","Block","","Delay")</f>
        <v>#VALUE!</v>
      </c>
      <c r="G909" s="29" t="str" cm="1">
        <f t="array" ref="G909">GetCSVIndex(A2,55+9450)</f>
        <v/>
      </c>
      <c r="H909" s="45" t="str" cm="1">
        <f t="array" ref="H909">GetCSVIndex(A2,257+9450)</f>
        <v/>
      </c>
      <c r="I909" s="29" t="str" cm="1">
        <f t="array" ref="I909">GetCSVIndex(A2,320+9450)</f>
        <v/>
      </c>
      <c r="J909" s="25"/>
      <c r="K909" s="45">
        <v>39</v>
      </c>
      <c r="L909" s="29" t="e" cm="1">
        <f t="array" ref="L909">CHOOSE(GetCSVIndex(A2,150+9450)+1,"","Station","Block","","Delay")</f>
        <v>#VALUE!</v>
      </c>
      <c r="M909" s="29" t="str" cm="1">
        <f t="array" ref="M909">GetCSVIndex(A2,151+9450)</f>
        <v/>
      </c>
      <c r="N909" s="27" t="str" cm="1">
        <f t="array" ref="N909">GetCSVIndex(A2,289+9450)</f>
        <v/>
      </c>
      <c r="O909" s="43" t="str" cm="1">
        <f t="array" ref="O909">GetCSVIndex(A2,352+9450)</f>
        <v/>
      </c>
    </row>
    <row r="910" spans="1:15" ht="21" customHeight="1" x14ac:dyDescent="0.25">
      <c r="A910" s="38" t="s">
        <v>31</v>
      </c>
      <c r="B910" s="30"/>
      <c r="C910" s="29" t="str" cm="1">
        <f t="array" ref="C910">IF(GetCSVIndex(A2,17+9450)&lt;&gt;"65535",CONCATENATE(GetCSVIndex(A2,233+9450),":", GetCSVIndex(A2,243+9450)),"OFF")</f>
        <v>:</v>
      </c>
      <c r="D910" s="25"/>
      <c r="E910" s="45">
        <v>8</v>
      </c>
      <c r="F910" s="29" t="e" cm="1">
        <f t="array" ref="F910">CHOOSE(GetCSVIndex(A2,57+9450)+1,"","Station","Block","","Delay")</f>
        <v>#VALUE!</v>
      </c>
      <c r="G910" s="29" t="str" cm="1">
        <f t="array" ref="G910">GetCSVIndex(A2,58+9450)</f>
        <v/>
      </c>
      <c r="H910" s="45" t="str" cm="1">
        <f t="array" ref="H910">GetCSVIndex(A2,258+9450)</f>
        <v/>
      </c>
      <c r="I910" s="29" t="str" cm="1">
        <f t="array" ref="I910">GetCSVIndex(A2,321+9450)</f>
        <v/>
      </c>
      <c r="J910" s="25"/>
      <c r="K910" s="45">
        <v>40</v>
      </c>
      <c r="L910" s="29" t="e" cm="1">
        <f t="array" ref="L910">CHOOSE(GetCSVIndex(A2,153+9450)+1,"","Station","Block","","Delay")</f>
        <v>#VALUE!</v>
      </c>
      <c r="M910" s="29" t="str" cm="1">
        <f t="array" ref="M910">GetCSVIndex(A2,154+9450)</f>
        <v/>
      </c>
      <c r="N910" s="27" t="str" cm="1">
        <f t="array" ref="N910">GetCSVIndex(A2,290+9450)</f>
        <v/>
      </c>
      <c r="O910" s="43" t="str" cm="1">
        <f t="array" ref="O910">GetCSVIndex(A2,353+9450)</f>
        <v/>
      </c>
    </row>
    <row r="911" spans="1:15" ht="21" customHeight="1" x14ac:dyDescent="0.25">
      <c r="A911" s="38" t="s">
        <v>32</v>
      </c>
      <c r="B911" s="30"/>
      <c r="C911" s="29" t="str" cm="1">
        <f t="array" ref="C911">IF(GetCSVIndex(A2,18+9450)&lt;&gt;"65535",CONCATENATE(GetCSVIndex(A2,234+9450),":", GetCSVIndex(A2,244+9450)),"OFF")</f>
        <v>:</v>
      </c>
      <c r="D911" s="25"/>
      <c r="E911" s="45">
        <v>9</v>
      </c>
      <c r="F911" s="29" t="e" cm="1">
        <f t="array" ref="F911">CHOOSE(GetCSVIndex(A2,60+9450)+1,"","Station","Block","","Delay")</f>
        <v>#VALUE!</v>
      </c>
      <c r="G911" s="29" t="str" cm="1">
        <f t="array" ref="G911">GetCSVIndex(A2,61+9450)</f>
        <v/>
      </c>
      <c r="H911" s="45" t="str" cm="1">
        <f t="array" ref="H911">GetCSVIndex(A2,259+9450)</f>
        <v/>
      </c>
      <c r="I911" s="29" t="str" cm="1">
        <f t="array" ref="I911">GetCSVIndex(A2,322+9450)</f>
        <v/>
      </c>
      <c r="J911" s="25"/>
      <c r="K911" s="45">
        <v>41</v>
      </c>
      <c r="L911" s="29" t="e" cm="1">
        <f t="array" ref="L911">CHOOSE(GetCSVIndex(A2,156+9450)+1,"","Station","Block","","Delay")</f>
        <v>#VALUE!</v>
      </c>
      <c r="M911" s="29" t="str" cm="1">
        <f t="array" ref="M911">GetCSVIndex(A2,157+9450)</f>
        <v/>
      </c>
      <c r="N911" s="27" t="str" cm="1">
        <f t="array" ref="N911">GetCSVIndex(A2,291+9450)</f>
        <v/>
      </c>
      <c r="O911" s="43" t="str" cm="1">
        <f t="array" ref="O911">GetCSVIndex(A2,354+9450)</f>
        <v/>
      </c>
    </row>
    <row r="912" spans="1:15" ht="21" customHeight="1" x14ac:dyDescent="0.25">
      <c r="A912" s="38" t="s">
        <v>33</v>
      </c>
      <c r="B912" s="30"/>
      <c r="C912" s="29" t="str" cm="1">
        <f t="array" ref="C912">IF(GetCSVIndex(A2,19+9450)&lt;&gt;"65535",CONCATENATE(GetCSVIndex(A2,235+9450),":", GetCSVIndex(A2,245+9450)),"OFF")</f>
        <v>:</v>
      </c>
      <c r="D912" s="25"/>
      <c r="E912" s="45">
        <v>10</v>
      </c>
      <c r="F912" s="29" t="e" cm="1">
        <f t="array" ref="F912">CHOOSE(GetCSVIndex(A2,63+9450)+1,"","Station","Block","","Delay")</f>
        <v>#VALUE!</v>
      </c>
      <c r="G912" s="29" t="str" cm="1">
        <f t="array" ref="G912">GetCSVIndex(A2,64+9450)</f>
        <v/>
      </c>
      <c r="H912" s="45" t="str" cm="1">
        <f t="array" ref="H912">GetCSVIndex(A2,260+9450)</f>
        <v/>
      </c>
      <c r="I912" s="29" t="str" cm="1">
        <f t="array" ref="I912">GetCSVIndex(A2,323+9450)</f>
        <v/>
      </c>
      <c r="J912" s="25"/>
      <c r="K912" s="45">
        <v>42</v>
      </c>
      <c r="L912" s="29" t="e" cm="1">
        <f t="array" ref="L912">CHOOSE(GetCSVIndex(A2,159+9450)+1,"","Station","Block","","Delay")</f>
        <v>#VALUE!</v>
      </c>
      <c r="M912" s="29" t="str" cm="1">
        <f t="array" ref="M912">GetCSVIndex(A2,160+9450)</f>
        <v/>
      </c>
      <c r="N912" s="27" t="str" cm="1">
        <f t="array" ref="N912">GetCSVIndex(A2,292+9450)</f>
        <v/>
      </c>
      <c r="O912" s="43" t="str" cm="1">
        <f t="array" ref="O912">GetCSVIndex(A2,355+9450)</f>
        <v/>
      </c>
    </row>
    <row r="913" spans="1:15" ht="21" customHeight="1" x14ac:dyDescent="0.25">
      <c r="A913" s="38" t="s">
        <v>34</v>
      </c>
      <c r="B913" s="30"/>
      <c r="C913" s="29" t="str" cm="1">
        <f t="array" ref="C913">IF(GetCSVIndex(A2,20+9450)&lt;&gt;"65535",CONCATENATE(GetCSVIndex(A2,236+9450),":", GetCSVIndex(A2,246+9450)),"OFF")</f>
        <v>:</v>
      </c>
      <c r="D913" s="25"/>
      <c r="E913" s="45">
        <v>11</v>
      </c>
      <c r="F913" s="29" t="e" cm="1">
        <f t="array" ref="F913">CHOOSE(GetCSVIndex(A2,66+9450)+1,"","Station","Block","","Delay")</f>
        <v>#VALUE!</v>
      </c>
      <c r="G913" s="29" t="str" cm="1">
        <f t="array" ref="G913">GetCSVIndex(A2,67+9450)</f>
        <v/>
      </c>
      <c r="H913" s="45" t="str" cm="1">
        <f t="array" ref="H913">GetCSVIndex(A2,261+9450)</f>
        <v/>
      </c>
      <c r="I913" s="29" t="str" cm="1">
        <f t="array" ref="I913">GetCSVIndex(A2,324+9450)</f>
        <v/>
      </c>
      <c r="J913" s="25"/>
      <c r="K913" s="45">
        <v>43</v>
      </c>
      <c r="L913" s="29" t="e" cm="1">
        <f t="array" ref="L913">CHOOSE(GetCSVIndex(A2,162+9450)+1,"","Station","Block","","Delay")</f>
        <v>#VALUE!</v>
      </c>
      <c r="M913" s="29" t="str" cm="1">
        <f t="array" ref="M913">GetCSVIndex(A2,163+9450)</f>
        <v/>
      </c>
      <c r="N913" s="27" t="str" cm="1">
        <f t="array" ref="N913">GetCSVIndex(A2,293+9450)</f>
        <v/>
      </c>
      <c r="O913" s="43" t="str" cm="1">
        <f t="array" ref="O913">GetCSVIndex(A2,356+9450)</f>
        <v/>
      </c>
    </row>
    <row r="914" spans="1:15" ht="21" customHeight="1" x14ac:dyDescent="0.25">
      <c r="A914" s="38" t="s">
        <v>35</v>
      </c>
      <c r="B914" s="30"/>
      <c r="C914" s="29" t="str" cm="1">
        <f t="array" ref="C914">IF(GetCSVIndex(A2,21+9450)&lt;&gt;"65535",CONCATENATE(GetCSVIndex(A2,237+9450),":", GetCSVIndex(A2,247+9450)),"OFF")</f>
        <v>:</v>
      </c>
      <c r="D914" s="25"/>
      <c r="E914" s="45">
        <v>12</v>
      </c>
      <c r="F914" s="29" t="e" cm="1">
        <f t="array" ref="F914">CHOOSE(GetCSVIndex(A2,69+9450)+1,"","Station","Block","","Delay")</f>
        <v>#VALUE!</v>
      </c>
      <c r="G914" s="29" t="str" cm="1">
        <f t="array" ref="G914">GetCSVIndex(A2,70+9450)</f>
        <v/>
      </c>
      <c r="H914" s="45" t="str" cm="1">
        <f t="array" ref="H914">GetCSVIndex(A2,262+9450)</f>
        <v/>
      </c>
      <c r="I914" s="29" t="str" cm="1">
        <f t="array" ref="I914">GetCSVIndex(A2,325+9450)</f>
        <v/>
      </c>
      <c r="J914" s="25"/>
      <c r="K914" s="45">
        <v>44</v>
      </c>
      <c r="L914" s="29" t="e" cm="1">
        <f t="array" ref="L914">CHOOSE(GetCSVIndex(A2,165+9450)+1,"","Station","Block","","Delay")</f>
        <v>#VALUE!</v>
      </c>
      <c r="M914" s="29" t="str" cm="1">
        <f t="array" ref="M914">GetCSVIndex(A2,166+9450)</f>
        <v/>
      </c>
      <c r="N914" s="27" t="str" cm="1">
        <f t="array" ref="N914">GetCSVIndex(A2,294+9450)</f>
        <v/>
      </c>
      <c r="O914" s="43" t="str" cm="1">
        <f t="array" ref="O914">GetCSVIndex(A2,357+9450)</f>
        <v/>
      </c>
    </row>
    <row r="915" spans="1:15" ht="21" customHeight="1" x14ac:dyDescent="0.25">
      <c r="A915" s="38" t="s">
        <v>36</v>
      </c>
      <c r="B915" s="30"/>
      <c r="C915" s="29" t="str" cm="1">
        <f t="array" ref="C915">IF(GetCSVIndex(A2,22+9450)&lt;&gt;"65535",CONCATENATE(GetCSVIndex(A2,238+9450),":", GetCSVIndex(A2,248+9450)),"OFF")</f>
        <v>:</v>
      </c>
      <c r="D915" s="25"/>
      <c r="E915" s="45">
        <v>13</v>
      </c>
      <c r="F915" s="29" t="e" cm="1">
        <f t="array" ref="F915">CHOOSE(GetCSVIndex(A2,72+9450)+1,"","Station","Block","","Delay")</f>
        <v>#VALUE!</v>
      </c>
      <c r="G915" s="29" t="str" cm="1">
        <f t="array" ref="G915">GetCSVIndex(A2,73+9450)</f>
        <v/>
      </c>
      <c r="H915" s="45" t="str" cm="1">
        <f t="array" ref="H915">GetCSVIndex(A2,263+9450)</f>
        <v/>
      </c>
      <c r="I915" s="29" t="str" cm="1">
        <f t="array" ref="I915">GetCSVIndex(A2,326+9450)</f>
        <v/>
      </c>
      <c r="J915" s="25"/>
      <c r="K915" s="45">
        <v>45</v>
      </c>
      <c r="L915" s="29" t="e" cm="1">
        <f t="array" ref="L915">CHOOSE(GetCSVIndex(A2,168+9450)+1,"","Station","Block","","Delay")</f>
        <v>#VALUE!</v>
      </c>
      <c r="M915" s="29" t="str" cm="1">
        <f t="array" ref="M915">GetCSVIndex(A2,169+9450)</f>
        <v/>
      </c>
      <c r="N915" s="27" t="str" cm="1">
        <f t="array" ref="N915">GetCSVIndex(A2,295+9450)</f>
        <v/>
      </c>
      <c r="O915" s="43" t="str" cm="1">
        <f t="array" ref="O915">GetCSVIndex(A2,358+9450)</f>
        <v/>
      </c>
    </row>
    <row r="916" spans="1:15" ht="21" customHeight="1" x14ac:dyDescent="0.25">
      <c r="A916" s="36" t="s">
        <v>37</v>
      </c>
      <c r="B916" s="25"/>
      <c r="C916" s="29" t="str" cm="1">
        <f t="array" ref="C916">IF(GetCSVIndex(A2,23+9450)&lt;&gt;"65535",CONCATENATE(GetCSVIndex(A2,230+9450),":", GetCSVIndex(A2,240+9450)),"OFF")</f>
        <v>:</v>
      </c>
      <c r="D916" s="25"/>
      <c r="E916" s="45">
        <v>14</v>
      </c>
      <c r="F916" s="29" t="e" cm="1">
        <f t="array" ref="F916">CHOOSE(GetCSVIndex(A2,75+9450)+1,"","Station","Block","","Delay")</f>
        <v>#VALUE!</v>
      </c>
      <c r="G916" s="29" t="str" cm="1">
        <f t="array" ref="G916">GetCSVIndex(A2,76+9450)</f>
        <v/>
      </c>
      <c r="H916" s="45" t="str" cm="1">
        <f t="array" ref="H916">GetCSVIndex(A2,264+9450)</f>
        <v/>
      </c>
      <c r="I916" s="29" t="str" cm="1">
        <f t="array" ref="I916">GetCSVIndex(A2,327+9450)</f>
        <v/>
      </c>
      <c r="J916" s="25"/>
      <c r="K916" s="45">
        <v>46</v>
      </c>
      <c r="L916" s="29" t="e" cm="1">
        <f t="array" ref="L916">CHOOSE(GetCSVIndex(A2,171+9450)+1,"","Station","Block","","Delay")</f>
        <v>#VALUE!</v>
      </c>
      <c r="M916" s="29" t="str" cm="1">
        <f t="array" ref="M916">GetCSVIndex(A2,172+9450)</f>
        <v/>
      </c>
      <c r="N916" s="27" t="str" cm="1">
        <f t="array" ref="N916">GetCSVIndex(A2,296+9450)</f>
        <v/>
      </c>
      <c r="O916" s="43" t="str" cm="1">
        <f t="array" ref="O916">GetCSVIndex(A2,359+9450)</f>
        <v/>
      </c>
    </row>
    <row r="917" spans="1:15" ht="21" customHeight="1" x14ac:dyDescent="0.25">
      <c r="A917" s="39"/>
      <c r="B917" s="40"/>
      <c r="C917" s="41"/>
      <c r="D917" s="26"/>
      <c r="E917" s="45">
        <v>15</v>
      </c>
      <c r="F917" s="29" t="e" cm="1">
        <f t="array" ref="F917">CHOOSE(GetCSVIndex(A2,78+9450)+1,"","Station","Block","","Delay")</f>
        <v>#VALUE!</v>
      </c>
      <c r="G917" s="29" t="str" cm="1">
        <f t="array" ref="G917">GetCSVIndex(A2,79+9450)</f>
        <v/>
      </c>
      <c r="H917" s="45" t="str" cm="1">
        <f t="array" ref="H917">GetCSVIndex(A2,265+9450)</f>
        <v/>
      </c>
      <c r="I917" s="29" t="str" cm="1">
        <f t="array" ref="I917">GetCSVIndex(A2,328+9450)</f>
        <v/>
      </c>
      <c r="J917" s="26"/>
      <c r="K917" s="45">
        <v>47</v>
      </c>
      <c r="L917" s="29" t="e" cm="1">
        <f t="array" ref="L917">CHOOSE(GetCSVIndex(A2,174+9450)+1,"","Station","Block","","Delay")</f>
        <v>#VALUE!</v>
      </c>
      <c r="M917" s="29" t="str" cm="1">
        <f t="array" ref="M917">GetCSVIndex(A2,175+9450)</f>
        <v/>
      </c>
      <c r="N917" s="27" t="str" cm="1">
        <f t="array" ref="N917">GetCSVIndex(A2,297+9450)</f>
        <v/>
      </c>
      <c r="O917" s="43" t="str" cm="1">
        <f t="array" ref="O917">GetCSVIndex(A2,360+9450)</f>
        <v/>
      </c>
    </row>
    <row r="918" spans="1:15" ht="21" customHeight="1" x14ac:dyDescent="0.25">
      <c r="A918" s="42"/>
      <c r="B918" s="25"/>
      <c r="C918" s="25"/>
      <c r="D918" s="26"/>
      <c r="E918" s="45">
        <v>16</v>
      </c>
      <c r="F918" s="29" t="e" cm="1">
        <f t="array" ref="F918">CHOOSE(GetCSVIndex(A2,81+9450)+1,"","Station","Block","","Delay")</f>
        <v>#VALUE!</v>
      </c>
      <c r="G918" s="29" t="str" cm="1">
        <f t="array" ref="G918">GetCSVIndex(A2,82+9450)</f>
        <v/>
      </c>
      <c r="H918" s="45" t="str" cm="1">
        <f t="array" ref="H918">GetCSVIndex(A2,266+9450)</f>
        <v/>
      </c>
      <c r="I918" s="29" t="str" cm="1">
        <f t="array" ref="I918">GetCSVIndex(A2,329+9450)</f>
        <v/>
      </c>
      <c r="J918" s="25"/>
      <c r="K918" s="45">
        <v>48</v>
      </c>
      <c r="L918" s="29" t="e" cm="1">
        <f t="array" ref="L918">CHOOSE(GetCSVIndex(A2,177+9450)+1,"","Station","Block","","Delay")</f>
        <v>#VALUE!</v>
      </c>
      <c r="M918" s="29" t="str" cm="1">
        <f t="array" ref="M918">GetCSVIndex(A2,178+9450)</f>
        <v/>
      </c>
      <c r="N918" s="27" t="str" cm="1">
        <f t="array" ref="N918">GetCSVIndex(A2,298+9450)</f>
        <v/>
      </c>
      <c r="O918" s="43" t="str" cm="1">
        <f t="array" ref="O918">GetCSVIndex(A2,361+9450)</f>
        <v/>
      </c>
    </row>
    <row r="919" spans="1:15" ht="21" customHeight="1" x14ac:dyDescent="0.25">
      <c r="A919" s="42"/>
      <c r="B919" s="25"/>
      <c r="C919" s="25"/>
      <c r="D919" s="26"/>
      <c r="E919" s="45">
        <v>17</v>
      </c>
      <c r="F919" s="29" t="e" cm="1">
        <f t="array" ref="F919">CHOOSE(GetCSVIndex(A2,84+9450)+1,"","Station","Block","","Delay")</f>
        <v>#VALUE!</v>
      </c>
      <c r="G919" s="29" t="str" cm="1">
        <f t="array" ref="G919">GetCSVIndex(A2,85+9450)</f>
        <v/>
      </c>
      <c r="H919" s="45" t="str" cm="1">
        <f t="array" ref="H919">GetCSVIndex(A2,267+9450)</f>
        <v/>
      </c>
      <c r="I919" s="29" t="str" cm="1">
        <f t="array" ref="I919">GetCSVIndex(A2,330+9450)</f>
        <v/>
      </c>
      <c r="J919" s="26"/>
      <c r="K919" s="45">
        <v>49</v>
      </c>
      <c r="L919" s="29" t="e" cm="1">
        <f t="array" ref="L919">CHOOSE(GetCSVIndex(A2,180+9450)+1,"","Station","Block","","Delay")</f>
        <v>#VALUE!</v>
      </c>
      <c r="M919" s="29" t="str" cm="1">
        <f t="array" ref="M919">GetCSVIndex(A2,181+9450)</f>
        <v/>
      </c>
      <c r="N919" s="27" t="str" cm="1">
        <f t="array" ref="N919">GetCSVIndex(A2,299+9450)</f>
        <v/>
      </c>
      <c r="O919" s="43" t="str" cm="1">
        <f t="array" ref="O919">GetCSVIndex(A2,362+9450)</f>
        <v/>
      </c>
    </row>
    <row r="920" spans="1:15" ht="21" customHeight="1" x14ac:dyDescent="0.25">
      <c r="A920" s="42"/>
      <c r="B920" s="25"/>
      <c r="C920" s="25"/>
      <c r="D920" s="26"/>
      <c r="E920" s="45">
        <v>18</v>
      </c>
      <c r="F920" s="29" t="e" cm="1">
        <f t="array" ref="F920">CHOOSE(GetCSVIndex(A2,87+9450)+1,"","Station","Block","","Delay")</f>
        <v>#VALUE!</v>
      </c>
      <c r="G920" s="29" t="str" cm="1">
        <f t="array" ref="G920">GetCSVIndex(A2,88+9450)</f>
        <v/>
      </c>
      <c r="H920" s="45" t="str" cm="1">
        <f t="array" ref="H920">GetCSVIndex(A2,268+9450)</f>
        <v/>
      </c>
      <c r="I920" s="29" t="str" cm="1">
        <f t="array" ref="I920">GetCSVIndex(A2,331+9450)</f>
        <v/>
      </c>
      <c r="J920" s="26"/>
      <c r="K920" s="45">
        <v>50</v>
      </c>
      <c r="L920" s="29" t="e" cm="1">
        <f t="array" ref="L920">CHOOSE(GetCSVIndex(A2,183+9450)+1,"","Station","Block","","Delay")</f>
        <v>#VALUE!</v>
      </c>
      <c r="M920" s="29" t="str" cm="1">
        <f t="array" ref="M920">GetCSVIndex(A2,184+9450)</f>
        <v/>
      </c>
      <c r="N920" s="27" t="str" cm="1">
        <f t="array" ref="N920">GetCSVIndex(A2,300+9450)</f>
        <v/>
      </c>
      <c r="O920" s="43" t="str" cm="1">
        <f t="array" ref="O920">GetCSVIndex(A2,363+9450)</f>
        <v/>
      </c>
    </row>
    <row r="921" spans="1:15" ht="21" customHeight="1" x14ac:dyDescent="0.25">
      <c r="A921" s="42"/>
      <c r="B921" s="25"/>
      <c r="C921" s="25"/>
      <c r="D921" s="26"/>
      <c r="E921" s="45">
        <v>19</v>
      </c>
      <c r="F921" s="29" t="e" cm="1">
        <f t="array" ref="F921">CHOOSE(GetCSVIndex(A2,90+9450)+1,"","Station","Block","","Delay")</f>
        <v>#VALUE!</v>
      </c>
      <c r="G921" s="29" t="str" cm="1">
        <f t="array" ref="G921">GetCSVIndex(A2,91+9450)</f>
        <v/>
      </c>
      <c r="H921" s="45" t="str" cm="1">
        <f t="array" ref="H921">GetCSVIndex(A2,269+9450)</f>
        <v/>
      </c>
      <c r="I921" s="29" t="str" cm="1">
        <f t="array" ref="I921">GetCSVIndex(A2,332+9450)</f>
        <v/>
      </c>
      <c r="J921" s="26"/>
      <c r="K921" s="45">
        <v>51</v>
      </c>
      <c r="L921" s="29" t="e" cm="1">
        <f t="array" ref="L921">CHOOSE(GetCSVIndex(A2,186+9450)+1,"","Station","Block","","Delay")</f>
        <v>#VALUE!</v>
      </c>
      <c r="M921" s="29" t="str" cm="1">
        <f t="array" ref="M921">GetCSVIndex(A2,187+9450)</f>
        <v/>
      </c>
      <c r="N921" s="27" t="str" cm="1">
        <f t="array" ref="N921">GetCSVIndex(A2,301+9450)</f>
        <v/>
      </c>
      <c r="O921" s="43" t="str" cm="1">
        <f t="array" ref="O921">GetCSVIndex(A2,364+9450)</f>
        <v/>
      </c>
    </row>
    <row r="922" spans="1:15" ht="21" customHeight="1" x14ac:dyDescent="0.25">
      <c r="A922" s="42"/>
      <c r="B922" s="25"/>
      <c r="C922" s="25"/>
      <c r="D922" s="26"/>
      <c r="E922" s="45">
        <v>20</v>
      </c>
      <c r="F922" s="29" t="e" cm="1">
        <f t="array" ref="F922">CHOOSE(GetCSVIndex(A2,93+9450)+1,"","Station","Block","","Delay")</f>
        <v>#VALUE!</v>
      </c>
      <c r="G922" s="29" t="str" cm="1">
        <f t="array" ref="G922">GetCSVIndex(A2,94+9450)</f>
        <v/>
      </c>
      <c r="H922" s="45" t="str" cm="1">
        <f t="array" ref="H922">GetCSVIndex(A2,270+9450)</f>
        <v/>
      </c>
      <c r="I922" s="29" t="str" cm="1">
        <f t="array" ref="I922">GetCSVIndex(A2,333+9450)</f>
        <v/>
      </c>
      <c r="J922" s="26"/>
      <c r="K922" s="45">
        <v>52</v>
      </c>
      <c r="L922" s="29" t="e" cm="1">
        <f t="array" ref="L922">CHOOSE(GetCSVIndex(A2,189+9450)+1,"","Station","Block","","Delay")</f>
        <v>#VALUE!</v>
      </c>
      <c r="M922" s="29" t="str" cm="1">
        <f t="array" ref="M922">GetCSVIndex(A2,190+9450)</f>
        <v/>
      </c>
      <c r="N922" s="27" t="str" cm="1">
        <f t="array" ref="N922">GetCSVIndex(A2,302+9450)</f>
        <v/>
      </c>
      <c r="O922" s="43" t="str" cm="1">
        <f t="array" ref="O922">GetCSVIndex(A2,365+9450)</f>
        <v/>
      </c>
    </row>
    <row r="923" spans="1:15" ht="21" customHeight="1" x14ac:dyDescent="0.25">
      <c r="A923" s="42"/>
      <c r="B923" s="25"/>
      <c r="C923" s="25"/>
      <c r="D923" s="26"/>
      <c r="E923" s="45">
        <v>21</v>
      </c>
      <c r="F923" s="29" t="e" cm="1">
        <f t="array" ref="F923">CHOOSE(GetCSVIndex(A2,96+9450)+1,"","Station","Block","","Delay")</f>
        <v>#VALUE!</v>
      </c>
      <c r="G923" s="29" t="str" cm="1">
        <f t="array" ref="G923">GetCSVIndex(A2,97+9450)</f>
        <v/>
      </c>
      <c r="H923" s="45" t="str" cm="1">
        <f t="array" ref="H923">GetCSVIndex(A2,271+9450)</f>
        <v/>
      </c>
      <c r="I923" s="29" t="str" cm="1">
        <f t="array" ref="I923">GetCSVIndex(A2,334+9450)</f>
        <v/>
      </c>
      <c r="J923" s="26"/>
      <c r="K923" s="45">
        <v>53</v>
      </c>
      <c r="L923" s="29" t="e" cm="1">
        <f t="array" ref="L923">CHOOSE(GetCSVIndex(A2,192+9450)+1,"","Station","Block","","Delay")</f>
        <v>#VALUE!</v>
      </c>
      <c r="M923" s="29" t="str" cm="1">
        <f t="array" ref="M923">GetCSVIndex(A2,193+9450)</f>
        <v/>
      </c>
      <c r="N923" s="27" t="str" cm="1">
        <f t="array" ref="N923">GetCSVIndex(A2,303+9450)</f>
        <v/>
      </c>
      <c r="O923" s="43" t="str" cm="1">
        <f t="array" ref="O923">GetCSVIndex(A2,366+9450)</f>
        <v/>
      </c>
    </row>
    <row r="924" spans="1:15" ht="21" customHeight="1" x14ac:dyDescent="0.25">
      <c r="A924" s="42"/>
      <c r="B924" s="25"/>
      <c r="C924" s="25"/>
      <c r="D924" s="26"/>
      <c r="E924" s="45">
        <v>22</v>
      </c>
      <c r="F924" s="29" t="e" cm="1">
        <f t="array" ref="F924">CHOOSE(GetCSVIndex(A2,99+9450)+1,"","Station","Block","","Delay")</f>
        <v>#VALUE!</v>
      </c>
      <c r="G924" s="29" t="str" cm="1">
        <f t="array" ref="G924">GetCSVIndex(A2,100+9450)</f>
        <v/>
      </c>
      <c r="H924" s="45" t="str" cm="1">
        <f t="array" ref="H924">GetCSVIndex(A2,272+9450)</f>
        <v/>
      </c>
      <c r="I924" s="29" t="str" cm="1">
        <f t="array" ref="I924">GetCSVIndex(A2,335+9450)</f>
        <v/>
      </c>
      <c r="J924" s="26"/>
      <c r="K924" s="45">
        <v>54</v>
      </c>
      <c r="L924" s="29" t="e" cm="1">
        <f t="array" ref="L924">CHOOSE(GetCSVIndex(A2,195+9450)+1,"","Station","Block","","Delay")</f>
        <v>#VALUE!</v>
      </c>
      <c r="M924" s="29" t="str" cm="1">
        <f t="array" ref="M924">GetCSVIndex(A2,196+9450)</f>
        <v/>
      </c>
      <c r="N924" s="27" t="str" cm="1">
        <f t="array" ref="N924">GetCSVIndex(A2,304+9450)</f>
        <v/>
      </c>
      <c r="O924" s="43" t="str" cm="1">
        <f t="array" ref="O924">GetCSVIndex(A2,367+9450)</f>
        <v/>
      </c>
    </row>
    <row r="925" spans="1:15" ht="21" customHeight="1" x14ac:dyDescent="0.25">
      <c r="A925" s="42"/>
      <c r="B925" s="25"/>
      <c r="C925" s="25"/>
      <c r="D925" s="26"/>
      <c r="E925" s="45">
        <v>23</v>
      </c>
      <c r="F925" s="29" t="e" cm="1">
        <f t="array" ref="F925">CHOOSE(GetCSVIndex(A2,102+9450)+1,"","Station","Block","","Delay")</f>
        <v>#VALUE!</v>
      </c>
      <c r="G925" s="29" t="str" cm="1">
        <f t="array" ref="G925">GetCSVIndex(A2,103+9450)</f>
        <v/>
      </c>
      <c r="H925" s="45" t="str" cm="1">
        <f t="array" ref="H925">GetCSVIndex(A2,273+9450)</f>
        <v/>
      </c>
      <c r="I925" s="29" t="str" cm="1">
        <f t="array" ref="I925">GetCSVIndex(A2,336+9450)</f>
        <v/>
      </c>
      <c r="J925" s="26"/>
      <c r="K925" s="45">
        <v>55</v>
      </c>
      <c r="L925" s="29" t="e" cm="1">
        <f t="array" ref="L925">CHOOSE(GetCSVIndex(A2,198+9450)+1,"","Station","Block","","Delay")</f>
        <v>#VALUE!</v>
      </c>
      <c r="M925" s="29" t="str" cm="1">
        <f t="array" ref="M925">GetCSVIndex(A2,199+9450)</f>
        <v/>
      </c>
      <c r="N925" s="27" t="str" cm="1">
        <f t="array" ref="N925">GetCSVIndex(A2,305+9450)</f>
        <v/>
      </c>
      <c r="O925" s="43" t="str" cm="1">
        <f t="array" ref="O925">GetCSVIndex(A2,368+9450)</f>
        <v/>
      </c>
    </row>
    <row r="926" spans="1:15" ht="21" customHeight="1" x14ac:dyDescent="0.25">
      <c r="A926" s="42"/>
      <c r="B926" s="25"/>
      <c r="C926" s="25"/>
      <c r="D926" s="26"/>
      <c r="E926" s="45">
        <v>24</v>
      </c>
      <c r="F926" s="29" t="e" cm="1">
        <f t="array" ref="F926">CHOOSE(GetCSVIndex(A2,105+9450)+1,"","Station","Block","","Delay")</f>
        <v>#VALUE!</v>
      </c>
      <c r="G926" s="29" t="str" cm="1">
        <f t="array" ref="G926">GetCSVIndex(A2,106+9450)</f>
        <v/>
      </c>
      <c r="H926" s="45" t="str" cm="1">
        <f t="array" ref="H926">GetCSVIndex(A2,274+9450)</f>
        <v/>
      </c>
      <c r="I926" s="29" t="str" cm="1">
        <f t="array" ref="I926">GetCSVIndex(A2,337+9450)</f>
        <v/>
      </c>
      <c r="J926" s="26"/>
      <c r="K926" s="45">
        <v>56</v>
      </c>
      <c r="L926" s="29" t="e" cm="1">
        <f t="array" ref="L926">CHOOSE(GetCSVIndex(A2,201+9450)+1,"","Station","Block","","Delay")</f>
        <v>#VALUE!</v>
      </c>
      <c r="M926" s="29" t="str" cm="1">
        <f t="array" ref="M926">GetCSVIndex(A2,202+9450)</f>
        <v/>
      </c>
      <c r="N926" s="27" t="str" cm="1">
        <f t="array" ref="N926">GetCSVIndex(A2,306+9450)</f>
        <v/>
      </c>
      <c r="O926" s="43" t="str" cm="1">
        <f t="array" ref="O926">GetCSVIndex(A2,369+9450)</f>
        <v/>
      </c>
    </row>
    <row r="927" spans="1:15" ht="21" customHeight="1" x14ac:dyDescent="0.25">
      <c r="A927" s="42"/>
      <c r="B927" s="25"/>
      <c r="C927" s="25"/>
      <c r="D927" s="26"/>
      <c r="E927" s="45">
        <v>25</v>
      </c>
      <c r="F927" s="29" t="e" cm="1">
        <f t="array" ref="F927">CHOOSE(GetCSVIndex(A2,108+9450)+1,"","Station","Block","","Delay")</f>
        <v>#VALUE!</v>
      </c>
      <c r="G927" s="29" t="str" cm="1">
        <f t="array" ref="G927">GetCSVIndex(A2,109+9450)</f>
        <v/>
      </c>
      <c r="H927" s="45" t="str" cm="1">
        <f t="array" ref="H927">GetCSVIndex(A2,275+9450)</f>
        <v/>
      </c>
      <c r="I927" s="29" t="str" cm="1">
        <f t="array" ref="I927">GetCSVIndex(A2,338+9450)</f>
        <v/>
      </c>
      <c r="J927" s="26"/>
      <c r="K927" s="45">
        <v>57</v>
      </c>
      <c r="L927" s="29" t="e" cm="1">
        <f t="array" ref="L927">CHOOSE(GetCSVIndex(A2,204+9450)+1,"","Station","Block","","Delay")</f>
        <v>#VALUE!</v>
      </c>
      <c r="M927" s="29" t="str" cm="1">
        <f t="array" ref="M927">GetCSVIndex(A2,205+9450)</f>
        <v/>
      </c>
      <c r="N927" s="27" t="str" cm="1">
        <f t="array" ref="N927">GetCSVIndex(A2,307+9450)</f>
        <v/>
      </c>
      <c r="O927" s="43" t="str" cm="1">
        <f t="array" ref="O927">GetCSVIndex(A2,370+9450)</f>
        <v/>
      </c>
    </row>
    <row r="928" spans="1:15" ht="21" customHeight="1" x14ac:dyDescent="0.25">
      <c r="A928" s="42"/>
      <c r="B928" s="25"/>
      <c r="C928" s="25"/>
      <c r="D928" s="26"/>
      <c r="E928" s="45">
        <v>26</v>
      </c>
      <c r="F928" s="29" t="e" cm="1">
        <f t="array" ref="F928">CHOOSE(GetCSVIndex(A2,111+9450)+1,"","Station","Block","","Delay")</f>
        <v>#VALUE!</v>
      </c>
      <c r="G928" s="29" t="str" cm="1">
        <f t="array" ref="G928">GetCSVIndex(A2,112+9450)</f>
        <v/>
      </c>
      <c r="H928" s="45" t="str" cm="1">
        <f t="array" ref="H928">GetCSVIndex(A2,276+9450)</f>
        <v/>
      </c>
      <c r="I928" s="29" t="str" cm="1">
        <f t="array" ref="I928">GetCSVIndex(A2,339+9450)</f>
        <v/>
      </c>
      <c r="J928" s="26"/>
      <c r="K928" s="45">
        <v>58</v>
      </c>
      <c r="L928" s="29" t="e" cm="1">
        <f t="array" ref="L928">CHOOSE(GetCSVIndex(A2,207+9450)+1,"","Station","Block","","Delay")</f>
        <v>#VALUE!</v>
      </c>
      <c r="M928" s="29" t="str" cm="1">
        <f t="array" ref="M928">GetCSVIndex(A2,208+9450)</f>
        <v/>
      </c>
      <c r="N928" s="27" t="str" cm="1">
        <f t="array" ref="N928">GetCSVIndex(A2,308+9450)</f>
        <v/>
      </c>
      <c r="O928" s="43" t="str" cm="1">
        <f t="array" ref="O928">GetCSVIndex(A2,371+9450)</f>
        <v/>
      </c>
    </row>
    <row r="929" spans="1:15" ht="21" customHeight="1" x14ac:dyDescent="0.25">
      <c r="A929" s="42"/>
      <c r="B929" s="25"/>
      <c r="C929" s="25"/>
      <c r="D929" s="26"/>
      <c r="E929" s="45">
        <v>27</v>
      </c>
      <c r="F929" s="29" t="e" cm="1">
        <f t="array" ref="F929">CHOOSE(GetCSVIndex(A2,114+9450)+1,"","Station","Block","","Delay")</f>
        <v>#VALUE!</v>
      </c>
      <c r="G929" s="29" t="str" cm="1">
        <f t="array" ref="G929">GetCSVIndex(A2,115+9450)</f>
        <v/>
      </c>
      <c r="H929" s="45" t="str" cm="1">
        <f t="array" ref="H929">GetCSVIndex(A2,277+9450)</f>
        <v/>
      </c>
      <c r="I929" s="29" t="str" cm="1">
        <f t="array" ref="I929">GetCSVIndex(A2,340+9450)</f>
        <v/>
      </c>
      <c r="J929" s="26"/>
      <c r="K929" s="45">
        <v>59</v>
      </c>
      <c r="L929" s="29" t="e" cm="1">
        <f t="array" ref="L929">CHOOSE(GetCSVIndex(A2,210+9450)+1,"","Station","Block","","Delay")</f>
        <v>#VALUE!</v>
      </c>
      <c r="M929" s="29" t="str" cm="1">
        <f t="array" ref="M929">GetCSVIndex(A2,211+9450)</f>
        <v/>
      </c>
      <c r="N929" s="27" t="str" cm="1">
        <f t="array" ref="N929">GetCSVIndex(A2,309+9450)</f>
        <v/>
      </c>
      <c r="O929" s="43" t="str" cm="1">
        <f t="array" ref="O929">GetCSVIndex(A2,372+9450)</f>
        <v/>
      </c>
    </row>
    <row r="930" spans="1:15" ht="21" customHeight="1" x14ac:dyDescent="0.25">
      <c r="A930" s="42"/>
      <c r="B930" s="25"/>
      <c r="C930" s="25"/>
      <c r="D930" s="26"/>
      <c r="E930" s="45">
        <v>28</v>
      </c>
      <c r="F930" s="29" t="e" cm="1">
        <f t="array" ref="F930">CHOOSE(GetCSVIndex(A2,117+9450)+1,"","Station","Block","","Delay")</f>
        <v>#VALUE!</v>
      </c>
      <c r="G930" s="29" t="str" cm="1">
        <f t="array" ref="G930">GetCSVIndex(A2,118+9450)</f>
        <v/>
      </c>
      <c r="H930" s="45" t="str" cm="1">
        <f t="array" ref="H930">GetCSVIndex(A2,278+9450)</f>
        <v/>
      </c>
      <c r="I930" s="29" t="str" cm="1">
        <f t="array" ref="I930">GetCSVIndex(A2,341+9450)</f>
        <v/>
      </c>
      <c r="J930" s="26"/>
      <c r="K930" s="45">
        <v>60</v>
      </c>
      <c r="L930" s="29" t="e" cm="1">
        <f t="array" ref="L930">CHOOSE(GetCSVIndex(A2,213+9450)+1,"","Station","Block","","Delay")</f>
        <v>#VALUE!</v>
      </c>
      <c r="M930" s="29" t="str" cm="1">
        <f t="array" ref="M930">GetCSVIndex(A2,214+9450)</f>
        <v/>
      </c>
      <c r="N930" s="27" t="str" cm="1">
        <f t="array" ref="N930">GetCSVIndex(A2,310+9450)</f>
        <v/>
      </c>
      <c r="O930" s="43" t="str" cm="1">
        <f t="array" ref="O930">GetCSVIndex(A2,373+9450)</f>
        <v/>
      </c>
    </row>
    <row r="931" spans="1:15" ht="21" customHeight="1" x14ac:dyDescent="0.25">
      <c r="A931" s="42"/>
      <c r="B931" s="25"/>
      <c r="C931" s="25"/>
      <c r="D931" s="26"/>
      <c r="E931" s="45">
        <v>29</v>
      </c>
      <c r="F931" s="29" t="e" cm="1">
        <f t="array" ref="F931">CHOOSE(GetCSVIndex(A2,120+9450)+1,"","Station","Block","","Delay")</f>
        <v>#VALUE!</v>
      </c>
      <c r="G931" s="29" t="str" cm="1">
        <f t="array" ref="G931">GetCSVIndex(A2,121+9450)</f>
        <v/>
      </c>
      <c r="H931" s="45" t="str" cm="1">
        <f t="array" ref="H931">GetCSVIndex(A2,279+9450)</f>
        <v/>
      </c>
      <c r="I931" s="29" t="str" cm="1">
        <f t="array" ref="I931">GetCSVIndex(A2,342+9450)</f>
        <v/>
      </c>
      <c r="J931" s="26"/>
      <c r="K931" s="45">
        <v>61</v>
      </c>
      <c r="L931" s="29" t="e" cm="1">
        <f t="array" ref="L931">CHOOSE(GetCSVIndex(A2,216+9450)+1,"","Station","Block","","Delay")</f>
        <v>#VALUE!</v>
      </c>
      <c r="M931" s="29" t="str" cm="1">
        <f t="array" ref="M931">GetCSVIndex(A2,217+9450)</f>
        <v/>
      </c>
      <c r="N931" s="27" t="str" cm="1">
        <f t="array" ref="N931">GetCSVIndex(A2,311+9450)</f>
        <v/>
      </c>
      <c r="O931" s="43" t="str" cm="1">
        <f t="array" ref="O931">GetCSVIndex(A2,374+9450)</f>
        <v/>
      </c>
    </row>
    <row r="932" spans="1:15" ht="21" customHeight="1" x14ac:dyDescent="0.25">
      <c r="A932" s="42"/>
      <c r="B932" s="25"/>
      <c r="C932" s="25"/>
      <c r="D932" s="26"/>
      <c r="E932" s="45">
        <v>30</v>
      </c>
      <c r="F932" s="29" t="e" cm="1">
        <f t="array" ref="F932">CHOOSE(GetCSVIndex(A2,123+9450)+1,"","Station","Block","","Delay")</f>
        <v>#VALUE!</v>
      </c>
      <c r="G932" s="29" t="str" cm="1">
        <f t="array" ref="G932">GetCSVIndex(A2,124+9450)</f>
        <v/>
      </c>
      <c r="H932" s="45" t="str" cm="1">
        <f t="array" ref="H932">GetCSVIndex(A2,280+9450)</f>
        <v/>
      </c>
      <c r="I932" s="29" t="str" cm="1">
        <f t="array" ref="I932">GetCSVIndex(A2,343+9450)</f>
        <v/>
      </c>
      <c r="J932" s="26"/>
      <c r="K932" s="45">
        <v>62</v>
      </c>
      <c r="L932" s="29" t="e" cm="1">
        <f t="array" ref="L932">CHOOSE(GetCSVIndex(A2,219+9450)+1,"","Station","Block","","Delay")</f>
        <v>#VALUE!</v>
      </c>
      <c r="M932" s="29" t="str" cm="1">
        <f t="array" ref="M932">GetCSVIndex(A2,220+9450)</f>
        <v/>
      </c>
      <c r="N932" s="27" t="str" cm="1">
        <f t="array" ref="N932">GetCSVIndex(A2,312+9450)</f>
        <v/>
      </c>
      <c r="O932" s="43" t="str" cm="1">
        <f t="array" ref="O932">GetCSVIndex(A2,375+9450)</f>
        <v/>
      </c>
    </row>
    <row r="933" spans="1:15" ht="21" customHeight="1" x14ac:dyDescent="0.25">
      <c r="A933" s="42"/>
      <c r="B933" s="25"/>
      <c r="C933" s="25"/>
      <c r="D933" s="26"/>
      <c r="E933" s="45">
        <v>31</v>
      </c>
      <c r="F933" s="29" t="e" cm="1">
        <f t="array" ref="F933">CHOOSE(GetCSVIndex(A2,126+9450)+1,"","Station","Block","","Delay")</f>
        <v>#VALUE!</v>
      </c>
      <c r="G933" s="29" t="str" cm="1">
        <f t="array" ref="G933">GetCSVIndex(A2,127+9450)</f>
        <v/>
      </c>
      <c r="H933" s="45" t="str" cm="1">
        <f t="array" ref="H933">GetCSVIndex(A2,281+9450)</f>
        <v/>
      </c>
      <c r="I933" s="29" t="str" cm="1">
        <f t="array" ref="I933">GetCSVIndex(A2,344+9450)</f>
        <v/>
      </c>
      <c r="J933" s="26"/>
      <c r="K933" s="45">
        <v>63</v>
      </c>
      <c r="L933" s="29" t="e" cm="1">
        <f t="array" ref="L933">CHOOSE(GetCSVIndex(A2,222+9450)+1,"","Station","Block","","Delay")</f>
        <v>#VALUE!</v>
      </c>
      <c r="M933" s="29" t="str" cm="1">
        <f t="array" ref="M933">GetCSVIndex(A2,223+9450)</f>
        <v/>
      </c>
      <c r="N933" s="27" t="str" cm="1">
        <f t="array" ref="N933">GetCSVIndex(A2,313+9450)</f>
        <v/>
      </c>
      <c r="O933" s="43" t="str" cm="1">
        <f t="array" ref="O933">GetCSVIndex(A2,376+9450)</f>
        <v/>
      </c>
    </row>
    <row r="934" spans="1:15" ht="21" customHeight="1" x14ac:dyDescent="0.25">
      <c r="A934" s="37"/>
      <c r="B934" s="28"/>
      <c r="C934" s="29"/>
      <c r="D934" s="29"/>
      <c r="E934" s="45">
        <v>32</v>
      </c>
      <c r="F934" s="29" t="e" cm="1">
        <f t="array" ref="F934">CHOOSE(GetCSVIndex(A2,129+9450)+1,"","Station","Block","","Delay")</f>
        <v>#VALUE!</v>
      </c>
      <c r="G934" s="29" t="str" cm="1">
        <f t="array" ref="G934">GetCSVIndex(A2,130+9450)</f>
        <v/>
      </c>
      <c r="H934" s="45" t="str" cm="1">
        <f t="array" ref="H934">GetCSVIndex(A2,282+9450)</f>
        <v/>
      </c>
      <c r="I934" s="29" t="str" cm="1">
        <f t="array" ref="I934">GetCSVIndex(A2,345+9450)</f>
        <v/>
      </c>
      <c r="J934" s="29"/>
      <c r="K934" s="45">
        <v>64</v>
      </c>
      <c r="L934" s="29" t="e" cm="1">
        <f t="array" ref="L934">CHOOSE(GetCSVIndex(A2,225+9450)+1,"","Station","Block","","Delay")</f>
        <v>#VALUE!</v>
      </c>
      <c r="M934" s="29" t="str" cm="1">
        <f t="array" ref="M934">GetCSVIndex(A2,226+9450)</f>
        <v/>
      </c>
      <c r="N934" s="27" t="str" cm="1">
        <f t="array" ref="N934">GetCSVIndex(A2,314+9450)</f>
        <v/>
      </c>
      <c r="O934" s="43" t="str" cm="1">
        <f t="array" ref="O934">GetCSVIndex(A2,377+9450)</f>
        <v/>
      </c>
    </row>
    <row r="935" spans="1:15" ht="23.25" customHeight="1" x14ac:dyDescent="0.25">
      <c r="A935" s="51" t="str" cm="1">
        <f t="array" ref="A935">CONCATENATE("Schedule  Program Number : ", GetCSVIndex(A2,5+9828))</f>
        <v xml:space="preserve">Schedule  Program Number : </v>
      </c>
      <c r="B935" s="52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3"/>
    </row>
    <row r="936" spans="1:15" ht="21" customHeight="1" x14ac:dyDescent="0.25">
      <c r="A936" s="20" t="s">
        <v>44</v>
      </c>
      <c r="B936" s="22" t="str" cm="1">
        <f t="array" ref="B936">GetCSVIndex(A2,5+9828)</f>
        <v/>
      </c>
      <c r="C936" s="18"/>
      <c r="D936" s="18"/>
      <c r="E936" s="18"/>
      <c r="F936" s="18"/>
      <c r="G936" s="18" t="s">
        <v>19</v>
      </c>
      <c r="H936" s="18" t="e" cm="1">
        <f t="array" ref="H936">CHOOSE(GetCSVIndex(A2,7+9828)+1, "Days of Week", "Odd/Even", "Interval","Manual")</f>
        <v>#VALUE!</v>
      </c>
      <c r="I936" s="18"/>
      <c r="J936" s="15"/>
      <c r="K936" s="15"/>
      <c r="L936" s="15"/>
      <c r="M936" s="15"/>
      <c r="N936" s="15"/>
      <c r="O936" s="16"/>
    </row>
    <row r="937" spans="1:15" ht="18" customHeight="1" x14ac:dyDescent="0.25">
      <c r="A937" s="21" t="s">
        <v>20</v>
      </c>
      <c r="B937" s="19" t="e" cm="1">
        <f t="array" ref="B937">CHOOSE(GetCSVIndex(A2,24+9828)+1, "Program", "Global", "Monthly","Solar Sync")</f>
        <v>#VALUE!</v>
      </c>
      <c r="C937" s="19"/>
      <c r="D937" s="19"/>
      <c r="E937" s="19"/>
      <c r="F937" s="19" t="s">
        <v>21</v>
      </c>
      <c r="G937" s="19" t="e" cm="1">
        <f t="array" ref="G937">IF(CHOOSE(GetCSVIndex(A2,7+9828)+1,IF(_xlfn.BITAND(GetCSVIndex(A2,8+9828), 2^0)=0, 0, 1),IF(_xlfn.BITAND(GetCSVIndex(A2,9+9828), 2^0)=0, 0, 1),IF(_xlfn.BITAND(GetCSVIndex(A2,10+9828), 2^0)=0, 0, 1)) =1,"Mon","")</f>
        <v>#VALUE!</v>
      </c>
      <c r="H937" s="19" t="e" cm="1">
        <f t="array" ref="H937">CONCATENATE(IF(CHOOSE(GetCSVIndex(A2,7+9828)+1,IF(_xlfn.BITAND(GetCSVIndex(A2,8+9828), 2^1)=0, 0, 1),IF(_xlfn.BITAND(GetCSVIndex(A2,9+9828), 2^1)=0, 0, 1),IF(_xlfn.BITAND(GetCSVIndex(A2,10+9828), 2^1)=0, 0, 1)) =1,"Tue       ","       "),IF(CHOOSE(GetCSVIndex(A2,7+9828)+1,IF(_xlfn.BITAND(GetCSVIndex(A2,8+9828), 2^2)=0, 0, 1),IF(_xlfn.BITAND(GetCSVIndex(A2,9+9828), 2^2)=0, 0, 1),IF(_xlfn.BITAND(GetCSVIndex(A2,10+9828), 2^2)=0, 0, 1)) =1,"Wed",""),IF(CHOOSE(GetCSVIndex(A2,7+9828)+1,IF(_xlfn.BITAND(GetCSVIndex(A2,8+9828), 2^3)=0, 0, 1),IF(_xlfn.BITAND(GetCSVIndex(A2,9+9828), 2^3)=0, 0, 1),IF(_xlfn.BITAND(GetCSVIndex(A2,10+9828), 2^3)=0, 0, 1)) =1,"       Thu","       "))</f>
        <v>#VALUE!</v>
      </c>
      <c r="I937" s="32" t="e" cm="1">
        <f t="array" ref="I937">CONCATENATE(IF(CHOOSE(GetCSVIndex(A2,7+9828)+1,IF(_xlfn.BITAND(GetCSVIndex(A2,8+9828), 2^4)=0, 0, 1),IF(_xlfn.BITAND(GetCSVIndex(A2,9+9828), 2^4)=0, 0, 1),IF(_xlfn.BITAND(GetCSVIndex(A2,10+9828), 2^4)=0, 0, 1)) =1,"Fri       ","       "),IF(CHOOSE(GetCSVIndex(A2,7+9828)+1,IF(_xlfn.BITAND(GetCSVIndex(A2,8+9828), 2^5)=0, 0, 1),IF(_xlfn.BITAND(GetCSVIndex(A2,9+9828), 2^5)=0, 0, 1),IF(_xlfn.BITAND(GetCSVIndex(A2,10+9828), 2^5)=0, 0, 1)) =1,"Sat",""),IF(CHOOSE(GetCSVIndex(A2,7+9828)+1,IF(_xlfn.BITAND(GetCSVIndex(A2,8+9828), 2^6)=0, 0, 1),IF(_xlfn.BITAND(GetCSVIndex(A2,9+9828), 2^6)=0, 0, 1),IF(_xlfn.BITAND(GetCSVIndex(A2,10+9828), 2^6)=0, 0, 1)) =1,"       Sun","       "))</f>
        <v>#VALUE!</v>
      </c>
      <c r="J937" s="19"/>
      <c r="K937" s="19"/>
      <c r="L937" s="32" t="s">
        <v>22</v>
      </c>
      <c r="M937" s="19"/>
      <c r="N937" s="19" t="str" cm="1">
        <f t="array" ref="N937">IF(GetCSVIndex(A2,26+9828)="1","Enable","Disable")</f>
        <v>Disable</v>
      </c>
      <c r="O937" s="24"/>
    </row>
    <row r="938" spans="1:15" ht="18" customHeight="1" x14ac:dyDescent="0.25">
      <c r="A938" s="21" t="str" cm="1">
        <f t="array" ref="A938">CONCATENATE("Program ", GetCSVIndex(A2,5+9828))</f>
        <v xml:space="preserve">Program </v>
      </c>
      <c r="B938" s="23" t="str" cm="1">
        <f t="array" ref="B938">CONCATENATE(GetCSVIndex(A2,25+9828)," %")</f>
        <v xml:space="preserve"> %</v>
      </c>
      <c r="C938" s="19"/>
      <c r="D938" s="19"/>
      <c r="E938" s="19"/>
      <c r="F938" s="19" t="str" cm="1">
        <f t="array" ref="F938">IF(GetCSVIndex(A2,7)="2","Water Every"," ")</f>
        <v xml:space="preserve"> </v>
      </c>
      <c r="G938" s="47" t="str" cm="1">
        <f t="array" ref="G938">IF(GetCSVIndex(A2,7+9828)="2",GetCSVIndex(A2,11+9828)," ")</f>
        <v xml:space="preserve"> </v>
      </c>
      <c r="H938" s="19" t="str" cm="1">
        <f t="array" ref="H938">IF(GetCSVIndex(A2,7+9828)="2","Days"," ")</f>
        <v xml:space="preserve"> </v>
      </c>
      <c r="I938" s="32" t="str" cm="1">
        <f t="array" ref="I938">IF(GetCSVIndex(A2,7+9828)="2","Water After"," ")</f>
        <v xml:space="preserve"> </v>
      </c>
      <c r="J938" s="19"/>
      <c r="K938" s="19" t="str" cm="1">
        <f t="array" ref="K938">IF(GetCSVIndex(A2,7+9828)="2",GetCSVIndex(A2,12+9828)," ")</f>
        <v xml:space="preserve"> </v>
      </c>
      <c r="L938" s="47" t="str" cm="1">
        <f t="array" ref="L938">IF(GetCSVIndex(A2,7+9828)="2","Days"," ")</f>
        <v xml:space="preserve"> </v>
      </c>
      <c r="M938" s="32"/>
      <c r="N938" s="32"/>
      <c r="O938" s="24"/>
    </row>
    <row r="939" spans="1:15" ht="21" customHeight="1" x14ac:dyDescent="0.25">
      <c r="A939" s="20" t="s">
        <v>23</v>
      </c>
      <c r="B939" s="18" t="s">
        <v>24</v>
      </c>
      <c r="C939" s="18" t="str" cm="1">
        <f t="array" ref="C939">CHOOSE(GetCSVIndex(A2,13)+1, "Auto", "Start to End","Manual")</f>
        <v>Start to End</v>
      </c>
      <c r="D939" s="31"/>
      <c r="E939" s="17" t="s">
        <v>38</v>
      </c>
      <c r="F939" s="18" t="s">
        <v>39</v>
      </c>
      <c r="G939" s="18" t="s">
        <v>40</v>
      </c>
      <c r="H939" s="18" t="s">
        <v>41</v>
      </c>
      <c r="I939" s="18" t="s">
        <v>43</v>
      </c>
      <c r="J939" s="31"/>
      <c r="K939" s="17" t="s">
        <v>38</v>
      </c>
      <c r="L939" s="18" t="s">
        <v>39</v>
      </c>
      <c r="M939" s="18" t="s">
        <v>40</v>
      </c>
      <c r="N939" s="22" t="s">
        <v>41</v>
      </c>
      <c r="O939" s="44" t="s">
        <v>42</v>
      </c>
    </row>
    <row r="940" spans="1:15" ht="21" customHeight="1" x14ac:dyDescent="0.25">
      <c r="A940" s="36" t="s">
        <v>25</v>
      </c>
      <c r="B940" s="46" t="str" cm="1">
        <f t="array" ref="B940">IF(GetCSVIndex(A2,6+9828)="1","Over","Stack")</f>
        <v>Stack</v>
      </c>
      <c r="C940" s="26" t="str" cm="1">
        <f t="array" ref="C940">GetCSVIndex(A2,29+9828)</f>
        <v/>
      </c>
      <c r="D940" s="25"/>
      <c r="E940" s="45">
        <v>1</v>
      </c>
      <c r="F940" s="29" t="e" cm="1">
        <f t="array" ref="F940">CHOOSE(GetCSVIndex(A2,36+9828)+1,"","Station","Block","","Delay")</f>
        <v>#VALUE!</v>
      </c>
      <c r="G940" s="29" t="str" cm="1">
        <f t="array" ref="G940">GetCSVIndex(A2,37+9828)</f>
        <v/>
      </c>
      <c r="H940" s="45" t="str" cm="1">
        <f t="array" ref="H940">GetCSVIndex(A2,3+9828)</f>
        <v/>
      </c>
      <c r="I940" s="29" t="str" cm="1">
        <f t="array" ref="I940">GetCSVIndex(A2,1+9828)</f>
        <v/>
      </c>
      <c r="J940" s="25"/>
      <c r="K940" s="45">
        <v>33</v>
      </c>
      <c r="L940" s="29" t="e" cm="1">
        <f t="array" ref="L940">CHOOSE(GetCSVIndex(A2,132+9828)+1,"","Station","Block","","Delay")</f>
        <v>#VALUE!</v>
      </c>
      <c r="M940" s="29" t="str" cm="1">
        <f t="array" ref="M940">GetCSVIndex(A2,133+9828)</f>
        <v/>
      </c>
      <c r="N940" s="27" t="str" cm="1">
        <f t="array" ref="N940">GetCSVIndex(A2,283+9828)</f>
        <v/>
      </c>
      <c r="O940" s="43" t="str" cm="1">
        <f t="array" ref="O940">GetCSVIndex(A2,346+9828)</f>
        <v/>
      </c>
    </row>
    <row r="941" spans="1:15" ht="21" customHeight="1" x14ac:dyDescent="0.25">
      <c r="A941" s="36" t="s">
        <v>26</v>
      </c>
      <c r="B941" s="25" t="str" cm="1">
        <f t="array" ref="B941">IF(GetCSVIndex(A2,2+9828)="1092:15","Not Set",CONCATENATE("From     ",GetCSVIndex(A2,2+9828)))</f>
        <v xml:space="preserve">From     </v>
      </c>
      <c r="C941" s="26" t="str" cm="1">
        <f t="array" ref="C941">IF(GetCSVIndex(C4,1+50)="1092:15","Not Set",CONCATENATE("To     ",GetCSVIndex(C4,1+50)))</f>
        <v xml:space="preserve">To     </v>
      </c>
      <c r="D941" s="25"/>
      <c r="E941" s="45">
        <v>2</v>
      </c>
      <c r="F941" s="29" t="e" cm="1">
        <f t="array" ref="F941">CHOOSE(GetCSVIndex(A2,39+9828)+1,"","Station","Block","","Delay")</f>
        <v>#VALUE!</v>
      </c>
      <c r="G941" s="29" t="str" cm="1">
        <f t="array" ref="G941">GetCSVIndex(A2,40+9828)</f>
        <v/>
      </c>
      <c r="H941" s="45" t="str" cm="1">
        <f t="array" ref="H941">GetCSVIndex(A2,252+9828)</f>
        <v/>
      </c>
      <c r="I941" s="29" t="str" cm="1">
        <f t="array" ref="I941">GetCSVIndex(A2,315+9828)</f>
        <v/>
      </c>
      <c r="J941" s="25"/>
      <c r="K941" s="45">
        <v>34</v>
      </c>
      <c r="L941" s="29" t="e" cm="1">
        <f t="array" ref="L941">CHOOSE(GetCSVIndex(A2,135+9828)+1,"","Station","Block","","Delay")</f>
        <v>#VALUE!</v>
      </c>
      <c r="M941" s="29" t="str" cm="1">
        <f t="array" ref="M941">GetCSVIndex(A2,136+9828)</f>
        <v/>
      </c>
      <c r="N941" s="27" t="str" cm="1">
        <f t="array" ref="N941">GetCSVIndex(A2,284+9828)</f>
        <v/>
      </c>
      <c r="O941" s="43" t="str" cm="1">
        <f t="array" ref="O941">GetCSVIndex(A2,347+9828)</f>
        <v/>
      </c>
    </row>
    <row r="942" spans="1:15" ht="21" customHeight="1" x14ac:dyDescent="0.25">
      <c r="A942" s="36" t="s">
        <v>27</v>
      </c>
      <c r="B942" s="25"/>
      <c r="C942" s="26" t="str" cm="1">
        <f t="array" ref="C942">CONCATENATE(GetCSVIndex(A2,249+9828),":", GetCSVIndex(A2,250+9828),":", GetCSVIndex(A2,251+9828))</f>
        <v>::</v>
      </c>
      <c r="D942" s="26"/>
      <c r="E942" s="45">
        <v>3</v>
      </c>
      <c r="F942" s="29" t="e" cm="1">
        <f t="array" ref="F942">CHOOSE(GetCSVIndex(A2,42+9828)+1,"","Station","Block","","Delay")</f>
        <v>#VALUE!</v>
      </c>
      <c r="G942" s="29" t="str" cm="1">
        <f t="array" ref="G942">GetCSVIndex(A2,43+9828)</f>
        <v/>
      </c>
      <c r="H942" s="45" t="str" cm="1">
        <f t="array" ref="H942">GetCSVIndex(A2,253+9828)</f>
        <v/>
      </c>
      <c r="I942" s="29" t="str" cm="1">
        <f t="array" ref="I942">GetCSVIndex(A2,316+9828)</f>
        <v/>
      </c>
      <c r="J942" s="25"/>
      <c r="K942" s="45">
        <v>35</v>
      </c>
      <c r="L942" s="29" t="e" cm="1">
        <f t="array" ref="L942">CHOOSE(GetCSVIndex(A2,138+9828)+1,"","Station","Block","","Delay")</f>
        <v>#VALUE!</v>
      </c>
      <c r="M942" s="29" t="str" cm="1">
        <f t="array" ref="M942">GetCSVIndex(A2,139+9828)</f>
        <v/>
      </c>
      <c r="N942" s="27" t="str" cm="1">
        <f t="array" ref="N942">GetCSVIndex(A2,285+9828)</f>
        <v/>
      </c>
      <c r="O942" s="43" t="str" cm="1">
        <f t="array" ref="O942">GetCSVIndex(A2,348+9828)</f>
        <v/>
      </c>
    </row>
    <row r="943" spans="1:15" ht="21" customHeight="1" x14ac:dyDescent="0.25">
      <c r="A943" s="36"/>
      <c r="B943" s="25"/>
      <c r="C943" s="25"/>
      <c r="D943" s="25"/>
      <c r="E943" s="45">
        <v>4</v>
      </c>
      <c r="F943" s="29" t="e" cm="1">
        <f t="array" ref="F943">CHOOSE(GetCSVIndex(A2,45+9828)+1,"","Station","Block","","Delay")</f>
        <v>#VALUE!</v>
      </c>
      <c r="G943" s="29" t="str" cm="1">
        <f t="array" ref="G943">GetCSVIndex(A2,46+9828)</f>
        <v/>
      </c>
      <c r="H943" s="45" t="str" cm="1">
        <f t="array" ref="H943">GetCSVIndex(A2,254+9828)</f>
        <v/>
      </c>
      <c r="I943" s="29" t="str" cm="1">
        <f t="array" ref="I943">GetCSVIndex(A2,317+9828)</f>
        <v/>
      </c>
      <c r="J943" s="25"/>
      <c r="K943" s="45">
        <v>36</v>
      </c>
      <c r="L943" s="29" t="e" cm="1">
        <f t="array" ref="L943">CHOOSE(GetCSVIndex(A2,141+9828)+1,"","Station","Block","","Delay")</f>
        <v>#VALUE!</v>
      </c>
      <c r="M943" s="29" t="str" cm="1">
        <f t="array" ref="M943">GetCSVIndex(A2,142+9828)</f>
        <v/>
      </c>
      <c r="N943" s="27" t="str" cm="1">
        <f t="array" ref="N943">GetCSVIndex(A2,286+9828)</f>
        <v/>
      </c>
      <c r="O943" s="43" t="str" cm="1">
        <f t="array" ref="O943">GetCSVIndex(A2,349+9828)</f>
        <v/>
      </c>
    </row>
    <row r="944" spans="1:15" ht="21" customHeight="1" x14ac:dyDescent="0.25">
      <c r="A944" s="37" t="s">
        <v>28</v>
      </c>
      <c r="B944" s="28"/>
      <c r="C944" s="29" t="str" cm="1">
        <f t="array" ref="C944">IF(GetCSVIndex(A2,14+9828)&lt;&gt;"65535",CONCATENATE(GetCSVIndex(A2,229+9828),":", GetCSVIndex(A2,239+9828)),"OFF")</f>
        <v>:</v>
      </c>
      <c r="D944" s="25"/>
      <c r="E944" s="45">
        <v>5</v>
      </c>
      <c r="F944" s="29" t="e" cm="1">
        <f t="array" ref="F944">CHOOSE(GetCSVIndex(A2,48+9828)+1,"","Station","Block","","Delay")</f>
        <v>#VALUE!</v>
      </c>
      <c r="G944" s="29" t="str" cm="1">
        <f t="array" ref="G944">GetCSVIndex(A2,49+9828)</f>
        <v/>
      </c>
      <c r="H944" s="45" t="str" cm="1">
        <f t="array" ref="H944">GetCSVIndex(A2,255+9828)</f>
        <v/>
      </c>
      <c r="I944" s="29" t="str" cm="1">
        <f t="array" ref="I944">GetCSVIndex(A2,318+9828)</f>
        <v/>
      </c>
      <c r="J944" s="25"/>
      <c r="K944" s="45">
        <v>37</v>
      </c>
      <c r="L944" s="29" t="e" cm="1">
        <f t="array" ref="L944">CHOOSE(GetCSVIndex(A2,144+9828)+1,"","Station","Block","","Delay")</f>
        <v>#VALUE!</v>
      </c>
      <c r="M944" s="29" t="str" cm="1">
        <f t="array" ref="M944">GetCSVIndex(A2,145+9828)</f>
        <v/>
      </c>
      <c r="N944" s="27" t="str" cm="1">
        <f t="array" ref="N944">GetCSVIndex(A2,287+9828)</f>
        <v/>
      </c>
      <c r="O944" s="43" t="str" cm="1">
        <f t="array" ref="O944">GetCSVIndex(A2,350+9828)</f>
        <v/>
      </c>
    </row>
    <row r="945" spans="1:15" ht="21" customHeight="1" x14ac:dyDescent="0.25">
      <c r="A945" s="38" t="s">
        <v>29</v>
      </c>
      <c r="B945" s="30"/>
      <c r="C945" s="29" t="str" cm="1">
        <f t="array" ref="C945">IF(GetCSVIndex(A2,15+9828)&lt;&gt;"65535",CONCATENATE(GetCSVIndex(A2,231+9828),":", GetCSVIndex(A2,241+9828)),"OFF")</f>
        <v>:</v>
      </c>
      <c r="D945" s="25"/>
      <c r="E945" s="45">
        <v>6</v>
      </c>
      <c r="F945" s="29" t="e" cm="1">
        <f t="array" ref="F945">CHOOSE(GetCSVIndex(A2,51+9828)+1,"","Station","Block","","Delay")</f>
        <v>#VALUE!</v>
      </c>
      <c r="G945" s="29" t="str" cm="1">
        <f t="array" ref="G945">GetCSVIndex(A2,52+9828)</f>
        <v/>
      </c>
      <c r="H945" s="45" t="str" cm="1">
        <f t="array" ref="H945">GetCSVIndex(A2,256+9828)</f>
        <v/>
      </c>
      <c r="I945" s="29" t="str" cm="1">
        <f t="array" ref="I945">GetCSVIndex(A2,319+9828)</f>
        <v/>
      </c>
      <c r="J945" s="25"/>
      <c r="K945" s="45">
        <v>38</v>
      </c>
      <c r="L945" s="29" t="e" cm="1">
        <f t="array" ref="L945">CHOOSE(GetCSVIndex(A2,147+9828)+1,"","Station","Block","","Delay")</f>
        <v>#VALUE!</v>
      </c>
      <c r="M945" s="29" t="str" cm="1">
        <f t="array" ref="M945">GetCSVIndex(A2,148+9828)</f>
        <v/>
      </c>
      <c r="N945" s="27" t="str" cm="1">
        <f t="array" ref="N945">GetCSVIndex(A2,288+9828)</f>
        <v/>
      </c>
      <c r="O945" s="43" t="str" cm="1">
        <f t="array" ref="O945">GetCSVIndex(A2,351+9828)</f>
        <v/>
      </c>
    </row>
    <row r="946" spans="1:15" ht="21" customHeight="1" x14ac:dyDescent="0.25">
      <c r="A946" s="38" t="s">
        <v>30</v>
      </c>
      <c r="B946" s="30"/>
      <c r="C946" s="29" t="str" cm="1">
        <f t="array" ref="C946">IF(GetCSVIndex(A2,16+9828)&lt;&gt;"65535",CONCATENATE(GetCSVIndex(A2,232+9828),":", GetCSVIndex(A2,242+9828)),"OFF")</f>
        <v>:</v>
      </c>
      <c r="D946" s="25"/>
      <c r="E946" s="45">
        <v>7</v>
      </c>
      <c r="F946" s="29" t="e" cm="1">
        <f t="array" ref="F946">CHOOSE(GetCSVIndex(A2,54+9828)+1,"","Station","Block","","Delay")</f>
        <v>#VALUE!</v>
      </c>
      <c r="G946" s="29" t="str" cm="1">
        <f t="array" ref="G946">GetCSVIndex(A2,55+9828)</f>
        <v/>
      </c>
      <c r="H946" s="45" t="str" cm="1">
        <f t="array" ref="H946">GetCSVIndex(A2,257+9828)</f>
        <v/>
      </c>
      <c r="I946" s="29" t="str" cm="1">
        <f t="array" ref="I946">GetCSVIndex(A2,320+9828)</f>
        <v/>
      </c>
      <c r="J946" s="25"/>
      <c r="K946" s="45">
        <v>39</v>
      </c>
      <c r="L946" s="29" t="e" cm="1">
        <f t="array" ref="L946">CHOOSE(GetCSVIndex(A2,150+9828)+1,"","Station","Block","","Delay")</f>
        <v>#VALUE!</v>
      </c>
      <c r="M946" s="29" t="str" cm="1">
        <f t="array" ref="M946">GetCSVIndex(A2,151+9828)</f>
        <v/>
      </c>
      <c r="N946" s="27" t="str" cm="1">
        <f t="array" ref="N946">GetCSVIndex(A2,289+9828)</f>
        <v/>
      </c>
      <c r="O946" s="43" t="str" cm="1">
        <f t="array" ref="O946">GetCSVIndex(A2,352+9828)</f>
        <v/>
      </c>
    </row>
    <row r="947" spans="1:15" ht="21" customHeight="1" x14ac:dyDescent="0.25">
      <c r="A947" s="38" t="s">
        <v>31</v>
      </c>
      <c r="B947" s="30"/>
      <c r="C947" s="29" t="str" cm="1">
        <f t="array" ref="C947">IF(GetCSVIndex(A2,17+9828)&lt;&gt;"65535",CONCATENATE(GetCSVIndex(A2,233+9828),":", GetCSVIndex(A2,243+9828)),"OFF")</f>
        <v>:</v>
      </c>
      <c r="D947" s="25"/>
      <c r="E947" s="45">
        <v>8</v>
      </c>
      <c r="F947" s="29" t="e" cm="1">
        <f t="array" ref="F947">CHOOSE(GetCSVIndex(A2,57+9828)+1,"","Station","Block","","Delay")</f>
        <v>#VALUE!</v>
      </c>
      <c r="G947" s="29" t="str" cm="1">
        <f t="array" ref="G947">GetCSVIndex(A2,58+9828)</f>
        <v/>
      </c>
      <c r="H947" s="45" t="str" cm="1">
        <f t="array" ref="H947">GetCSVIndex(A2,258+9828)</f>
        <v/>
      </c>
      <c r="I947" s="29" t="str" cm="1">
        <f t="array" ref="I947">GetCSVIndex(A2,321+9828)</f>
        <v/>
      </c>
      <c r="J947" s="25"/>
      <c r="K947" s="45">
        <v>40</v>
      </c>
      <c r="L947" s="29" t="e" cm="1">
        <f t="array" ref="L947">CHOOSE(GetCSVIndex(A2,153+9828)+1,"","Station","Block","","Delay")</f>
        <v>#VALUE!</v>
      </c>
      <c r="M947" s="29" t="str" cm="1">
        <f t="array" ref="M947">GetCSVIndex(A2,154+9828)</f>
        <v/>
      </c>
      <c r="N947" s="27" t="str" cm="1">
        <f t="array" ref="N947">GetCSVIndex(A2,290+9828)</f>
        <v/>
      </c>
      <c r="O947" s="43" t="str" cm="1">
        <f t="array" ref="O947">GetCSVIndex(A2,353+9828)</f>
        <v/>
      </c>
    </row>
    <row r="948" spans="1:15" ht="21" customHeight="1" x14ac:dyDescent="0.25">
      <c r="A948" s="38" t="s">
        <v>32</v>
      </c>
      <c r="B948" s="30"/>
      <c r="C948" s="29" t="str" cm="1">
        <f t="array" ref="C948">IF(GetCSVIndex(A2,18+9828)&lt;&gt;"65535",CONCATENATE(GetCSVIndex(A2,234+9828),":", GetCSVIndex(A2,244+9828)),"OFF")</f>
        <v>:</v>
      </c>
      <c r="D948" s="25"/>
      <c r="E948" s="45">
        <v>9</v>
      </c>
      <c r="F948" s="29" t="e" cm="1">
        <f t="array" ref="F948">CHOOSE(GetCSVIndex(A2,60+9828)+1,"","Station","Block","","Delay")</f>
        <v>#VALUE!</v>
      </c>
      <c r="G948" s="29" t="str" cm="1">
        <f t="array" ref="G948">GetCSVIndex(A2,61+9828)</f>
        <v/>
      </c>
      <c r="H948" s="45" t="str" cm="1">
        <f t="array" ref="H948">GetCSVIndex(A2,259+9828)</f>
        <v/>
      </c>
      <c r="I948" s="29" t="str" cm="1">
        <f t="array" ref="I948">GetCSVIndex(A2,322+9828)</f>
        <v/>
      </c>
      <c r="J948" s="25"/>
      <c r="K948" s="45">
        <v>41</v>
      </c>
      <c r="L948" s="29" t="e" cm="1">
        <f t="array" ref="L948">CHOOSE(GetCSVIndex(A2,156+9828)+1,"","Station","Block","","Delay")</f>
        <v>#VALUE!</v>
      </c>
      <c r="M948" s="29" t="str" cm="1">
        <f t="array" ref="M948">GetCSVIndex(A2,157+9828)</f>
        <v/>
      </c>
      <c r="N948" s="27" t="str" cm="1">
        <f t="array" ref="N948">GetCSVIndex(A2,291+9828)</f>
        <v/>
      </c>
      <c r="O948" s="43" t="str" cm="1">
        <f t="array" ref="O948">GetCSVIndex(A2,354+9828)</f>
        <v/>
      </c>
    </row>
    <row r="949" spans="1:15" ht="21" customHeight="1" x14ac:dyDescent="0.25">
      <c r="A949" s="38" t="s">
        <v>33</v>
      </c>
      <c r="B949" s="30"/>
      <c r="C949" s="29" t="str" cm="1">
        <f t="array" ref="C949">IF(GetCSVIndex(A2,19+9828)&lt;&gt;"65535",CONCATENATE(GetCSVIndex(A2,235+9828),":", GetCSVIndex(A2,245+9828)),"OFF")</f>
        <v>:</v>
      </c>
      <c r="D949" s="25"/>
      <c r="E949" s="45">
        <v>10</v>
      </c>
      <c r="F949" s="29" t="e" cm="1">
        <f t="array" ref="F949">CHOOSE(GetCSVIndex(A2,63+9828)+1,"","Station","Block","","Delay")</f>
        <v>#VALUE!</v>
      </c>
      <c r="G949" s="29" t="str" cm="1">
        <f t="array" ref="G949">GetCSVIndex(A2,64+9828)</f>
        <v/>
      </c>
      <c r="H949" s="45" t="str" cm="1">
        <f t="array" ref="H949">GetCSVIndex(A2,260+9828)</f>
        <v/>
      </c>
      <c r="I949" s="29" t="str" cm="1">
        <f t="array" ref="I949">GetCSVIndex(A2,323+9828)</f>
        <v/>
      </c>
      <c r="J949" s="25"/>
      <c r="K949" s="45">
        <v>42</v>
      </c>
      <c r="L949" s="29" t="e" cm="1">
        <f t="array" ref="L949">CHOOSE(GetCSVIndex(A2,159+9828)+1,"","Station","Block","","Delay")</f>
        <v>#VALUE!</v>
      </c>
      <c r="M949" s="29" t="str" cm="1">
        <f t="array" ref="M949">GetCSVIndex(A2,160+9828)</f>
        <v/>
      </c>
      <c r="N949" s="27" t="str" cm="1">
        <f t="array" ref="N949">GetCSVIndex(A2,292+9828)</f>
        <v/>
      </c>
      <c r="O949" s="43" t="str" cm="1">
        <f t="array" ref="O949">GetCSVIndex(A2,355+9828)</f>
        <v/>
      </c>
    </row>
    <row r="950" spans="1:15" ht="21" customHeight="1" x14ac:dyDescent="0.25">
      <c r="A950" s="38" t="s">
        <v>34</v>
      </c>
      <c r="B950" s="30"/>
      <c r="C950" s="29" t="str" cm="1">
        <f t="array" ref="C950">IF(GetCSVIndex(A2,20+9828)&lt;&gt;"65535",CONCATENATE(GetCSVIndex(A2,236+9828),":", GetCSVIndex(A2,246+9828)),"OFF")</f>
        <v>:</v>
      </c>
      <c r="D950" s="25"/>
      <c r="E950" s="45">
        <v>11</v>
      </c>
      <c r="F950" s="29" t="e" cm="1">
        <f t="array" ref="F950">CHOOSE(GetCSVIndex(A2,66+9828)+1,"","Station","Block","","Delay")</f>
        <v>#VALUE!</v>
      </c>
      <c r="G950" s="29" t="str" cm="1">
        <f t="array" ref="G950">GetCSVIndex(A2,67+9828)</f>
        <v/>
      </c>
      <c r="H950" s="45" t="str" cm="1">
        <f t="array" ref="H950">GetCSVIndex(A2,261+9828)</f>
        <v/>
      </c>
      <c r="I950" s="29" t="str" cm="1">
        <f t="array" ref="I950">GetCSVIndex(A2,324+9828)</f>
        <v/>
      </c>
      <c r="J950" s="25"/>
      <c r="K950" s="45">
        <v>43</v>
      </c>
      <c r="L950" s="29" t="e" cm="1">
        <f t="array" ref="L950">CHOOSE(GetCSVIndex(A2,162+9828)+1,"","Station","Block","","Delay")</f>
        <v>#VALUE!</v>
      </c>
      <c r="M950" s="29" t="str" cm="1">
        <f t="array" ref="M950">GetCSVIndex(A2,163+9828)</f>
        <v/>
      </c>
      <c r="N950" s="27" t="str" cm="1">
        <f t="array" ref="N950">GetCSVIndex(A2,293+9828)</f>
        <v/>
      </c>
      <c r="O950" s="43" t="str" cm="1">
        <f t="array" ref="O950">GetCSVIndex(A2,356+9828)</f>
        <v/>
      </c>
    </row>
    <row r="951" spans="1:15" ht="21" customHeight="1" x14ac:dyDescent="0.25">
      <c r="A951" s="38" t="s">
        <v>35</v>
      </c>
      <c r="B951" s="30"/>
      <c r="C951" s="29" t="str" cm="1">
        <f t="array" ref="C951">IF(GetCSVIndex(A2,21+9828)&lt;&gt;"65535",CONCATENATE(GetCSVIndex(A2,237+9828),":", GetCSVIndex(A2,247+9828)),"OFF")</f>
        <v>:</v>
      </c>
      <c r="D951" s="25"/>
      <c r="E951" s="45">
        <v>12</v>
      </c>
      <c r="F951" s="29" t="e" cm="1">
        <f t="array" ref="F951">CHOOSE(GetCSVIndex(A2,69+9828)+1,"","Station","Block","","Delay")</f>
        <v>#VALUE!</v>
      </c>
      <c r="G951" s="29" t="str" cm="1">
        <f t="array" ref="G951">GetCSVIndex(A2,70+9828)</f>
        <v/>
      </c>
      <c r="H951" s="45" t="str" cm="1">
        <f t="array" ref="H951">GetCSVIndex(A2,262+9828)</f>
        <v/>
      </c>
      <c r="I951" s="29" t="str" cm="1">
        <f t="array" ref="I951">GetCSVIndex(A2,325+9828)</f>
        <v/>
      </c>
      <c r="J951" s="25"/>
      <c r="K951" s="45">
        <v>44</v>
      </c>
      <c r="L951" s="29" t="e" cm="1">
        <f t="array" ref="L951">CHOOSE(GetCSVIndex(A2,165+9828)+1,"","Station","Block","","Delay")</f>
        <v>#VALUE!</v>
      </c>
      <c r="M951" s="29" t="str" cm="1">
        <f t="array" ref="M951">GetCSVIndex(A2,166+9828)</f>
        <v/>
      </c>
      <c r="N951" s="27" t="str" cm="1">
        <f t="array" ref="N951">GetCSVIndex(A2,294+9828)</f>
        <v/>
      </c>
      <c r="O951" s="43" t="str" cm="1">
        <f t="array" ref="O951">GetCSVIndex(A2,357+9828)</f>
        <v/>
      </c>
    </row>
    <row r="952" spans="1:15" ht="21" customHeight="1" x14ac:dyDescent="0.25">
      <c r="A952" s="38" t="s">
        <v>36</v>
      </c>
      <c r="B952" s="30"/>
      <c r="C952" s="29" t="str" cm="1">
        <f t="array" ref="C952">IF(GetCSVIndex(A2,22+9828)&lt;&gt;"65535",CONCATENATE(GetCSVIndex(A2,238+9828),":", GetCSVIndex(A2,248+9828)),"OFF")</f>
        <v>:</v>
      </c>
      <c r="D952" s="25"/>
      <c r="E952" s="45">
        <v>13</v>
      </c>
      <c r="F952" s="29" t="e" cm="1">
        <f t="array" ref="F952">CHOOSE(GetCSVIndex(A2,72+9828)+1,"","Station","Block","","Delay")</f>
        <v>#VALUE!</v>
      </c>
      <c r="G952" s="29" t="str" cm="1">
        <f t="array" ref="G952">GetCSVIndex(A2,73+9828)</f>
        <v/>
      </c>
      <c r="H952" s="45" t="str" cm="1">
        <f t="array" ref="H952">GetCSVIndex(A2,263+9828)</f>
        <v/>
      </c>
      <c r="I952" s="29" t="str" cm="1">
        <f t="array" ref="I952">GetCSVIndex(A2,326+9828)</f>
        <v/>
      </c>
      <c r="J952" s="25"/>
      <c r="K952" s="45">
        <v>45</v>
      </c>
      <c r="L952" s="29" t="e" cm="1">
        <f t="array" ref="L952">CHOOSE(GetCSVIndex(A2,168+9828)+1,"","Station","Block","","Delay")</f>
        <v>#VALUE!</v>
      </c>
      <c r="M952" s="29" t="str" cm="1">
        <f t="array" ref="M952">GetCSVIndex(A2,169+9828)</f>
        <v/>
      </c>
      <c r="N952" s="27" t="str" cm="1">
        <f t="array" ref="N952">GetCSVIndex(A2,295+9828)</f>
        <v/>
      </c>
      <c r="O952" s="43" t="str" cm="1">
        <f t="array" ref="O952">GetCSVIndex(A2,358+9828)</f>
        <v/>
      </c>
    </row>
    <row r="953" spans="1:15" ht="21" customHeight="1" x14ac:dyDescent="0.25">
      <c r="A953" s="36" t="s">
        <v>37</v>
      </c>
      <c r="B953" s="25"/>
      <c r="C953" s="29" t="str" cm="1">
        <f t="array" ref="C953">IF(GetCSVIndex(A2,23+9828)&lt;&gt;"65535",CONCATENATE(GetCSVIndex(A2,230+9828),":", GetCSVIndex(A2,240+9828)),"OFF")</f>
        <v>:</v>
      </c>
      <c r="D953" s="25"/>
      <c r="E953" s="45">
        <v>14</v>
      </c>
      <c r="F953" s="29" t="e" cm="1">
        <f t="array" ref="F953">CHOOSE(GetCSVIndex(A2,75+9828)+1,"","Station","Block","","Delay")</f>
        <v>#VALUE!</v>
      </c>
      <c r="G953" s="29" t="str" cm="1">
        <f t="array" ref="G953">GetCSVIndex(A2,76+9828)</f>
        <v/>
      </c>
      <c r="H953" s="45" t="str" cm="1">
        <f t="array" ref="H953">GetCSVIndex(A2,264+9828)</f>
        <v/>
      </c>
      <c r="I953" s="29" t="str" cm="1">
        <f t="array" ref="I953">GetCSVIndex(A2,327+9828)</f>
        <v/>
      </c>
      <c r="J953" s="25"/>
      <c r="K953" s="45">
        <v>46</v>
      </c>
      <c r="L953" s="29" t="e" cm="1">
        <f t="array" ref="L953">CHOOSE(GetCSVIndex(A2,171+9828)+1,"","Station","Block","","Delay")</f>
        <v>#VALUE!</v>
      </c>
      <c r="M953" s="29" t="str" cm="1">
        <f t="array" ref="M953">GetCSVIndex(A2,172+9828)</f>
        <v/>
      </c>
      <c r="N953" s="27" t="str" cm="1">
        <f t="array" ref="N953">GetCSVIndex(A2,296+9828)</f>
        <v/>
      </c>
      <c r="O953" s="43" t="str" cm="1">
        <f t="array" ref="O953">GetCSVIndex(A2,359+9828)</f>
        <v/>
      </c>
    </row>
    <row r="954" spans="1:15" ht="21" customHeight="1" x14ac:dyDescent="0.25">
      <c r="A954" s="39"/>
      <c r="B954" s="40"/>
      <c r="C954" s="41"/>
      <c r="D954" s="26"/>
      <c r="E954" s="45">
        <v>15</v>
      </c>
      <c r="F954" s="29" t="e" cm="1">
        <f t="array" ref="F954">CHOOSE(GetCSVIndex(A2,78+9828)+1,"","Station","Block","","Delay")</f>
        <v>#VALUE!</v>
      </c>
      <c r="G954" s="29" t="str" cm="1">
        <f t="array" ref="G954">GetCSVIndex(A2,79+9828)</f>
        <v/>
      </c>
      <c r="H954" s="45" t="str" cm="1">
        <f t="array" ref="H954">GetCSVIndex(A2,265+9828)</f>
        <v/>
      </c>
      <c r="I954" s="29" t="str" cm="1">
        <f t="array" ref="I954">GetCSVIndex(A2,328+9828)</f>
        <v/>
      </c>
      <c r="J954" s="26"/>
      <c r="K954" s="45">
        <v>47</v>
      </c>
      <c r="L954" s="29" t="e" cm="1">
        <f t="array" ref="L954">CHOOSE(GetCSVIndex(A2,174+9828)+1,"","Station","Block","","Delay")</f>
        <v>#VALUE!</v>
      </c>
      <c r="M954" s="29" t="str" cm="1">
        <f t="array" ref="M954">GetCSVIndex(A2,175+9828)</f>
        <v/>
      </c>
      <c r="N954" s="27" t="str" cm="1">
        <f t="array" ref="N954">GetCSVIndex(A2,297+9828)</f>
        <v/>
      </c>
      <c r="O954" s="43" t="str" cm="1">
        <f t="array" ref="O954">GetCSVIndex(A2,360+9828)</f>
        <v/>
      </c>
    </row>
    <row r="955" spans="1:15" ht="21" customHeight="1" x14ac:dyDescent="0.25">
      <c r="A955" s="42"/>
      <c r="B955" s="25"/>
      <c r="C955" s="25"/>
      <c r="D955" s="26"/>
      <c r="E955" s="45">
        <v>16</v>
      </c>
      <c r="F955" s="29" t="e" cm="1">
        <f t="array" ref="F955">CHOOSE(GetCSVIndex(A2,81+9828)+1,"","Station","Block","","Delay")</f>
        <v>#VALUE!</v>
      </c>
      <c r="G955" s="29" t="str" cm="1">
        <f t="array" ref="G955">GetCSVIndex(A2,82+9828)</f>
        <v/>
      </c>
      <c r="H955" s="45" t="str" cm="1">
        <f t="array" ref="H955">GetCSVIndex(A2,266+9828)</f>
        <v/>
      </c>
      <c r="I955" s="29" t="str" cm="1">
        <f t="array" ref="I955">GetCSVIndex(A2,329+9828)</f>
        <v/>
      </c>
      <c r="J955" s="25"/>
      <c r="K955" s="45">
        <v>48</v>
      </c>
      <c r="L955" s="29" t="e" cm="1">
        <f t="array" ref="L955">CHOOSE(GetCSVIndex(A2,177+9828)+1,"","Station","Block","","Delay")</f>
        <v>#VALUE!</v>
      </c>
      <c r="M955" s="29" t="str" cm="1">
        <f t="array" ref="M955">GetCSVIndex(A2,178+9828)</f>
        <v/>
      </c>
      <c r="N955" s="27" t="str" cm="1">
        <f t="array" ref="N955">GetCSVIndex(A2,298+9828)</f>
        <v/>
      </c>
      <c r="O955" s="43" t="str" cm="1">
        <f t="array" ref="O955">GetCSVIndex(A2,361+9828)</f>
        <v/>
      </c>
    </row>
    <row r="956" spans="1:15" ht="21" customHeight="1" x14ac:dyDescent="0.25">
      <c r="A956" s="42"/>
      <c r="B956" s="25"/>
      <c r="C956" s="25"/>
      <c r="D956" s="26"/>
      <c r="E956" s="45">
        <v>17</v>
      </c>
      <c r="F956" s="29" t="e" cm="1">
        <f t="array" ref="F956">CHOOSE(GetCSVIndex(A2,84+9828)+1,"","Station","Block","","Delay")</f>
        <v>#VALUE!</v>
      </c>
      <c r="G956" s="29" t="str" cm="1">
        <f t="array" ref="G956">GetCSVIndex(A2,85+9828)</f>
        <v/>
      </c>
      <c r="H956" s="45" t="str" cm="1">
        <f t="array" ref="H956">GetCSVIndex(A2,267+9828)</f>
        <v/>
      </c>
      <c r="I956" s="29" t="str" cm="1">
        <f t="array" ref="I956">GetCSVIndex(A2,330+9828)</f>
        <v/>
      </c>
      <c r="J956" s="26"/>
      <c r="K956" s="45">
        <v>49</v>
      </c>
      <c r="L956" s="29" t="e" cm="1">
        <f t="array" ref="L956">CHOOSE(GetCSVIndex(A2,180+9828)+1,"","Station","Block","","Delay")</f>
        <v>#VALUE!</v>
      </c>
      <c r="M956" s="29" t="str" cm="1">
        <f t="array" ref="M956">GetCSVIndex(A2,181+9828)</f>
        <v/>
      </c>
      <c r="N956" s="27" t="str" cm="1">
        <f t="array" ref="N956">GetCSVIndex(A2,299+9828)</f>
        <v/>
      </c>
      <c r="O956" s="43" t="str" cm="1">
        <f t="array" ref="O956">GetCSVIndex(A2,362+9828)</f>
        <v/>
      </c>
    </row>
    <row r="957" spans="1:15" ht="21" customHeight="1" x14ac:dyDescent="0.25">
      <c r="A957" s="42"/>
      <c r="B957" s="25"/>
      <c r="C957" s="25"/>
      <c r="D957" s="26"/>
      <c r="E957" s="45">
        <v>18</v>
      </c>
      <c r="F957" s="29" t="e" cm="1">
        <f t="array" ref="F957">CHOOSE(GetCSVIndex(A2,87+9828)+1,"","Station","Block","","Delay")</f>
        <v>#VALUE!</v>
      </c>
      <c r="G957" s="29" t="str" cm="1">
        <f t="array" ref="G957">GetCSVIndex(A2,88+9828)</f>
        <v/>
      </c>
      <c r="H957" s="45" t="str" cm="1">
        <f t="array" ref="H957">GetCSVIndex(A2,268+9828)</f>
        <v/>
      </c>
      <c r="I957" s="29" t="str" cm="1">
        <f t="array" ref="I957">GetCSVIndex(A2,331+9828)</f>
        <v/>
      </c>
      <c r="J957" s="26"/>
      <c r="K957" s="45">
        <v>50</v>
      </c>
      <c r="L957" s="29" t="e" cm="1">
        <f t="array" ref="L957">CHOOSE(GetCSVIndex(A2,183+9828)+1,"","Station","Block","","Delay")</f>
        <v>#VALUE!</v>
      </c>
      <c r="M957" s="29" t="str" cm="1">
        <f t="array" ref="M957">GetCSVIndex(A2,184+9828)</f>
        <v/>
      </c>
      <c r="N957" s="27" t="str" cm="1">
        <f t="array" ref="N957">GetCSVIndex(A2,300+9828)</f>
        <v/>
      </c>
      <c r="O957" s="43" t="str" cm="1">
        <f t="array" ref="O957">GetCSVIndex(A2,363+9828)</f>
        <v/>
      </c>
    </row>
    <row r="958" spans="1:15" ht="21" customHeight="1" x14ac:dyDescent="0.25">
      <c r="A958" s="42"/>
      <c r="B958" s="25"/>
      <c r="C958" s="25"/>
      <c r="D958" s="26"/>
      <c r="E958" s="45">
        <v>19</v>
      </c>
      <c r="F958" s="29" t="e" cm="1">
        <f t="array" ref="F958">CHOOSE(GetCSVIndex(A2,90+9828)+1,"","Station","Block","","Delay")</f>
        <v>#VALUE!</v>
      </c>
      <c r="G958" s="29" t="str" cm="1">
        <f t="array" ref="G958">GetCSVIndex(A2,91+9828)</f>
        <v/>
      </c>
      <c r="H958" s="45" t="str" cm="1">
        <f t="array" ref="H958">GetCSVIndex(A2,269+9828)</f>
        <v/>
      </c>
      <c r="I958" s="29" t="str" cm="1">
        <f t="array" ref="I958">GetCSVIndex(A2,332+9828)</f>
        <v/>
      </c>
      <c r="J958" s="26"/>
      <c r="K958" s="45">
        <v>51</v>
      </c>
      <c r="L958" s="29" t="e" cm="1">
        <f t="array" ref="L958">CHOOSE(GetCSVIndex(A2,186+9828)+1,"","Station","Block","","Delay")</f>
        <v>#VALUE!</v>
      </c>
      <c r="M958" s="29" t="str" cm="1">
        <f t="array" ref="M958">GetCSVIndex(A2,187+9828)</f>
        <v/>
      </c>
      <c r="N958" s="27" t="str" cm="1">
        <f t="array" ref="N958">GetCSVIndex(A2,301+9828)</f>
        <v/>
      </c>
      <c r="O958" s="43" t="str" cm="1">
        <f t="array" ref="O958">GetCSVIndex(A2,364+9828)</f>
        <v/>
      </c>
    </row>
    <row r="959" spans="1:15" ht="21" customHeight="1" x14ac:dyDescent="0.25">
      <c r="A959" s="42"/>
      <c r="B959" s="25"/>
      <c r="C959" s="25"/>
      <c r="D959" s="26"/>
      <c r="E959" s="45">
        <v>20</v>
      </c>
      <c r="F959" s="29" t="e" cm="1">
        <f t="array" ref="F959">CHOOSE(GetCSVIndex(A2,93+9828)+1,"","Station","Block","","Delay")</f>
        <v>#VALUE!</v>
      </c>
      <c r="G959" s="29" t="str" cm="1">
        <f t="array" ref="G959">GetCSVIndex(A2,94+9828)</f>
        <v/>
      </c>
      <c r="H959" s="45" t="str" cm="1">
        <f t="array" ref="H959">GetCSVIndex(A2,270+9828)</f>
        <v/>
      </c>
      <c r="I959" s="29" t="str" cm="1">
        <f t="array" ref="I959">GetCSVIndex(A2,333+9828)</f>
        <v/>
      </c>
      <c r="J959" s="26"/>
      <c r="K959" s="45">
        <v>52</v>
      </c>
      <c r="L959" s="29" t="e" cm="1">
        <f t="array" ref="L959">CHOOSE(GetCSVIndex(A2,189+9828)+1,"","Station","Block","","Delay")</f>
        <v>#VALUE!</v>
      </c>
      <c r="M959" s="29" t="str" cm="1">
        <f t="array" ref="M959">GetCSVIndex(A2,190+9828)</f>
        <v/>
      </c>
      <c r="N959" s="27" t="str" cm="1">
        <f t="array" ref="N959">GetCSVIndex(A2,302+9828)</f>
        <v/>
      </c>
      <c r="O959" s="43" t="str" cm="1">
        <f t="array" ref="O959">GetCSVIndex(A2,365+9828)</f>
        <v/>
      </c>
    </row>
    <row r="960" spans="1:15" ht="21" customHeight="1" x14ac:dyDescent="0.25">
      <c r="A960" s="42"/>
      <c r="B960" s="25"/>
      <c r="C960" s="25"/>
      <c r="D960" s="26"/>
      <c r="E960" s="45">
        <v>21</v>
      </c>
      <c r="F960" s="29" t="e" cm="1">
        <f t="array" ref="F960">CHOOSE(GetCSVIndex(A2,96+9828)+1,"","Station","Block","","Delay")</f>
        <v>#VALUE!</v>
      </c>
      <c r="G960" s="29" t="str" cm="1">
        <f t="array" ref="G960">GetCSVIndex(A2,97+9828)</f>
        <v/>
      </c>
      <c r="H960" s="45" t="str" cm="1">
        <f t="array" ref="H960">GetCSVIndex(A2,271+9828)</f>
        <v/>
      </c>
      <c r="I960" s="29" t="str" cm="1">
        <f t="array" ref="I960">GetCSVIndex(A2,334+9828)</f>
        <v/>
      </c>
      <c r="J960" s="26"/>
      <c r="K960" s="45">
        <v>53</v>
      </c>
      <c r="L960" s="29" t="e" cm="1">
        <f t="array" ref="L960">CHOOSE(GetCSVIndex(A2,192+9828)+1,"","Station","Block","","Delay")</f>
        <v>#VALUE!</v>
      </c>
      <c r="M960" s="29" t="str" cm="1">
        <f t="array" ref="M960">GetCSVIndex(A2,193+9828)</f>
        <v/>
      </c>
      <c r="N960" s="27" t="str" cm="1">
        <f t="array" ref="N960">GetCSVIndex(A2,303+9828)</f>
        <v/>
      </c>
      <c r="O960" s="43" t="str" cm="1">
        <f t="array" ref="O960">GetCSVIndex(A2,366+9828)</f>
        <v/>
      </c>
    </row>
    <row r="961" spans="1:15" ht="21" customHeight="1" x14ac:dyDescent="0.25">
      <c r="A961" s="42"/>
      <c r="B961" s="25"/>
      <c r="C961" s="25"/>
      <c r="D961" s="26"/>
      <c r="E961" s="45">
        <v>22</v>
      </c>
      <c r="F961" s="29" t="e" cm="1">
        <f t="array" ref="F961">CHOOSE(GetCSVIndex(A2,99+9828)+1,"","Station","Block","","Delay")</f>
        <v>#VALUE!</v>
      </c>
      <c r="G961" s="29" t="str" cm="1">
        <f t="array" ref="G961">GetCSVIndex(A2,100+9828)</f>
        <v/>
      </c>
      <c r="H961" s="45" t="str" cm="1">
        <f t="array" ref="H961">GetCSVIndex(A2,272+9828)</f>
        <v/>
      </c>
      <c r="I961" s="29" t="str" cm="1">
        <f t="array" ref="I961">GetCSVIndex(A2,335+9828)</f>
        <v/>
      </c>
      <c r="J961" s="26"/>
      <c r="K961" s="45">
        <v>54</v>
      </c>
      <c r="L961" s="29" t="e" cm="1">
        <f t="array" ref="L961">CHOOSE(GetCSVIndex(A2,195+9828)+1,"","Station","Block","","Delay")</f>
        <v>#VALUE!</v>
      </c>
      <c r="M961" s="29" t="str" cm="1">
        <f t="array" ref="M961">GetCSVIndex(A2,196+9828)</f>
        <v/>
      </c>
      <c r="N961" s="27" t="str" cm="1">
        <f t="array" ref="N961">GetCSVIndex(A2,304+9828)</f>
        <v/>
      </c>
      <c r="O961" s="43" t="str" cm="1">
        <f t="array" ref="O961">GetCSVIndex(A2,367+9828)</f>
        <v/>
      </c>
    </row>
    <row r="962" spans="1:15" ht="21" customHeight="1" x14ac:dyDescent="0.25">
      <c r="A962" s="42"/>
      <c r="B962" s="25"/>
      <c r="C962" s="25"/>
      <c r="D962" s="26"/>
      <c r="E962" s="45">
        <v>23</v>
      </c>
      <c r="F962" s="29" t="e" cm="1">
        <f t="array" ref="F962">CHOOSE(GetCSVIndex(A2,102+9828)+1,"","Station","Block","","Delay")</f>
        <v>#VALUE!</v>
      </c>
      <c r="G962" s="29" t="str" cm="1">
        <f t="array" ref="G962">GetCSVIndex(A2,103+9828)</f>
        <v/>
      </c>
      <c r="H962" s="45" t="str" cm="1">
        <f t="array" ref="H962">GetCSVIndex(A2,273+9828)</f>
        <v/>
      </c>
      <c r="I962" s="29" t="str" cm="1">
        <f t="array" ref="I962">GetCSVIndex(A2,336+9828)</f>
        <v/>
      </c>
      <c r="J962" s="26"/>
      <c r="K962" s="45">
        <v>55</v>
      </c>
      <c r="L962" s="29" t="e" cm="1">
        <f t="array" ref="L962">CHOOSE(GetCSVIndex(A2,198+9828)+1,"","Station","Block","","Delay")</f>
        <v>#VALUE!</v>
      </c>
      <c r="M962" s="29" t="str" cm="1">
        <f t="array" ref="M962">GetCSVIndex(A2,199+9828)</f>
        <v/>
      </c>
      <c r="N962" s="27" t="str" cm="1">
        <f t="array" ref="N962">GetCSVIndex(A2,305+9828)</f>
        <v/>
      </c>
      <c r="O962" s="43" t="str" cm="1">
        <f t="array" ref="O962">GetCSVIndex(A2,368+9828)</f>
        <v/>
      </c>
    </row>
    <row r="963" spans="1:15" ht="21" customHeight="1" x14ac:dyDescent="0.25">
      <c r="A963" s="42"/>
      <c r="B963" s="25"/>
      <c r="C963" s="25"/>
      <c r="D963" s="26"/>
      <c r="E963" s="45">
        <v>24</v>
      </c>
      <c r="F963" s="29" t="e" cm="1">
        <f t="array" ref="F963">CHOOSE(GetCSVIndex(A2,105+9828)+1,"","Station","Block","","Delay")</f>
        <v>#VALUE!</v>
      </c>
      <c r="G963" s="29" t="str" cm="1">
        <f t="array" ref="G963">GetCSVIndex(A2,106+9828)</f>
        <v/>
      </c>
      <c r="H963" s="45" t="str" cm="1">
        <f t="array" ref="H963">GetCSVIndex(A2,274+9828)</f>
        <v/>
      </c>
      <c r="I963" s="29" t="str" cm="1">
        <f t="array" ref="I963">GetCSVIndex(A2,337+9828)</f>
        <v/>
      </c>
      <c r="J963" s="26"/>
      <c r="K963" s="45">
        <v>56</v>
      </c>
      <c r="L963" s="29" t="e" cm="1">
        <f t="array" ref="L963">CHOOSE(GetCSVIndex(A2,201+9828)+1,"","Station","Block","","Delay")</f>
        <v>#VALUE!</v>
      </c>
      <c r="M963" s="29" t="str" cm="1">
        <f t="array" ref="M963">GetCSVIndex(A2,202+9828)</f>
        <v/>
      </c>
      <c r="N963" s="27" t="str" cm="1">
        <f t="array" ref="N963">GetCSVIndex(A2,306+9828)</f>
        <v/>
      </c>
      <c r="O963" s="43" t="str" cm="1">
        <f t="array" ref="O963">GetCSVIndex(A2,369+9828)</f>
        <v/>
      </c>
    </row>
    <row r="964" spans="1:15" ht="21" customHeight="1" x14ac:dyDescent="0.25">
      <c r="A964" s="42"/>
      <c r="B964" s="25"/>
      <c r="C964" s="25"/>
      <c r="D964" s="26"/>
      <c r="E964" s="45">
        <v>25</v>
      </c>
      <c r="F964" s="29" t="e" cm="1">
        <f t="array" ref="F964">CHOOSE(GetCSVIndex(A2,108+9828)+1,"","Station","Block","","Delay")</f>
        <v>#VALUE!</v>
      </c>
      <c r="G964" s="29" t="str" cm="1">
        <f t="array" ref="G964">GetCSVIndex(A2,109+9828)</f>
        <v/>
      </c>
      <c r="H964" s="45" t="str" cm="1">
        <f t="array" ref="H964">GetCSVIndex(A2,275+9828)</f>
        <v/>
      </c>
      <c r="I964" s="29" t="str" cm="1">
        <f t="array" ref="I964">GetCSVIndex(A2,338+9828)</f>
        <v/>
      </c>
      <c r="J964" s="26"/>
      <c r="K964" s="45">
        <v>57</v>
      </c>
      <c r="L964" s="29" t="e" cm="1">
        <f t="array" ref="L964">CHOOSE(GetCSVIndex(A2,204+9828)+1,"","Station","Block","","Delay")</f>
        <v>#VALUE!</v>
      </c>
      <c r="M964" s="29" t="str" cm="1">
        <f t="array" ref="M964">GetCSVIndex(A2,205+9828)</f>
        <v/>
      </c>
      <c r="N964" s="27" t="str" cm="1">
        <f t="array" ref="N964">GetCSVIndex(A2,307+9828)</f>
        <v/>
      </c>
      <c r="O964" s="43" t="str" cm="1">
        <f t="array" ref="O964">GetCSVIndex(A2,370+9828)</f>
        <v/>
      </c>
    </row>
    <row r="965" spans="1:15" ht="21" customHeight="1" x14ac:dyDescent="0.25">
      <c r="A965" s="42"/>
      <c r="B965" s="25"/>
      <c r="C965" s="25"/>
      <c r="D965" s="26"/>
      <c r="E965" s="45">
        <v>26</v>
      </c>
      <c r="F965" s="29" t="e" cm="1">
        <f t="array" ref="F965">CHOOSE(GetCSVIndex(A2,111+9828)+1,"","Station","Block","","Delay")</f>
        <v>#VALUE!</v>
      </c>
      <c r="G965" s="29" t="str" cm="1">
        <f t="array" ref="G965">GetCSVIndex(A2,112+9828)</f>
        <v/>
      </c>
      <c r="H965" s="45" t="str" cm="1">
        <f t="array" ref="H965">GetCSVIndex(A2,276+9828)</f>
        <v/>
      </c>
      <c r="I965" s="29" t="str" cm="1">
        <f t="array" ref="I965">GetCSVIndex(A2,339+9828)</f>
        <v/>
      </c>
      <c r="J965" s="26"/>
      <c r="K965" s="45">
        <v>58</v>
      </c>
      <c r="L965" s="29" t="e" cm="1">
        <f t="array" ref="L965">CHOOSE(GetCSVIndex(A2,207+9828)+1,"","Station","Block","","Delay")</f>
        <v>#VALUE!</v>
      </c>
      <c r="M965" s="29" t="str" cm="1">
        <f t="array" ref="M965">GetCSVIndex(A2,208+9828)</f>
        <v/>
      </c>
      <c r="N965" s="27" t="str" cm="1">
        <f t="array" ref="N965">GetCSVIndex(A2,308+9828)</f>
        <v/>
      </c>
      <c r="O965" s="43" t="str" cm="1">
        <f t="array" ref="O965">GetCSVIndex(A2,371+9828)</f>
        <v/>
      </c>
    </row>
    <row r="966" spans="1:15" ht="21" customHeight="1" x14ac:dyDescent="0.25">
      <c r="A966" s="42"/>
      <c r="B966" s="25"/>
      <c r="C966" s="25"/>
      <c r="D966" s="26"/>
      <c r="E966" s="45">
        <v>27</v>
      </c>
      <c r="F966" s="29" t="e" cm="1">
        <f t="array" ref="F966">CHOOSE(GetCSVIndex(A2,114+9828)+1,"","Station","Block","","Delay")</f>
        <v>#VALUE!</v>
      </c>
      <c r="G966" s="29" t="str" cm="1">
        <f t="array" ref="G966">GetCSVIndex(A2,115+9828)</f>
        <v/>
      </c>
      <c r="H966" s="45" t="str" cm="1">
        <f t="array" ref="H966">GetCSVIndex(A2,277+9828)</f>
        <v/>
      </c>
      <c r="I966" s="29" t="str" cm="1">
        <f t="array" ref="I966">GetCSVIndex(A2,340+9828)</f>
        <v/>
      </c>
      <c r="J966" s="26"/>
      <c r="K966" s="45">
        <v>59</v>
      </c>
      <c r="L966" s="29" t="e" cm="1">
        <f t="array" ref="L966">CHOOSE(GetCSVIndex(A2,210+9828)+1,"","Station","Block","","Delay")</f>
        <v>#VALUE!</v>
      </c>
      <c r="M966" s="29" t="str" cm="1">
        <f t="array" ref="M966">GetCSVIndex(A2,211+9828)</f>
        <v/>
      </c>
      <c r="N966" s="27" t="str" cm="1">
        <f t="array" ref="N966">GetCSVIndex(A2,309+9828)</f>
        <v/>
      </c>
      <c r="O966" s="43" t="str" cm="1">
        <f t="array" ref="O966">GetCSVIndex(A2,372+9828)</f>
        <v/>
      </c>
    </row>
    <row r="967" spans="1:15" ht="21" customHeight="1" x14ac:dyDescent="0.25">
      <c r="A967" s="42"/>
      <c r="B967" s="25"/>
      <c r="C967" s="25"/>
      <c r="D967" s="26"/>
      <c r="E967" s="45">
        <v>28</v>
      </c>
      <c r="F967" s="29" t="e" cm="1">
        <f t="array" ref="F967">CHOOSE(GetCSVIndex(A2,117+9828)+1,"","Station","Block","","Delay")</f>
        <v>#VALUE!</v>
      </c>
      <c r="G967" s="29" t="str" cm="1">
        <f t="array" ref="G967">GetCSVIndex(A2,118+9828)</f>
        <v/>
      </c>
      <c r="H967" s="45" t="str" cm="1">
        <f t="array" ref="H967">GetCSVIndex(A2,278+9828)</f>
        <v/>
      </c>
      <c r="I967" s="29" t="str" cm="1">
        <f t="array" ref="I967">GetCSVIndex(A2,341+9828)</f>
        <v/>
      </c>
      <c r="J967" s="26"/>
      <c r="K967" s="45">
        <v>60</v>
      </c>
      <c r="L967" s="29" t="e" cm="1">
        <f t="array" ref="L967">CHOOSE(GetCSVIndex(A2,213+9828)+1,"","Station","Block","","Delay")</f>
        <v>#VALUE!</v>
      </c>
      <c r="M967" s="29" t="str" cm="1">
        <f t="array" ref="M967">GetCSVIndex(A2,214+9828)</f>
        <v/>
      </c>
      <c r="N967" s="27" t="str" cm="1">
        <f t="array" ref="N967">GetCSVIndex(A2,310+9828)</f>
        <v/>
      </c>
      <c r="O967" s="43" t="str" cm="1">
        <f t="array" ref="O967">GetCSVIndex(A2,373+9828)</f>
        <v/>
      </c>
    </row>
    <row r="968" spans="1:15" ht="21" customHeight="1" x14ac:dyDescent="0.25">
      <c r="A968" s="42"/>
      <c r="B968" s="25"/>
      <c r="C968" s="25"/>
      <c r="D968" s="26"/>
      <c r="E968" s="45">
        <v>29</v>
      </c>
      <c r="F968" s="29" t="e" cm="1">
        <f t="array" ref="F968">CHOOSE(GetCSVIndex(A2,120+9828)+1,"","Station","Block","","Delay")</f>
        <v>#VALUE!</v>
      </c>
      <c r="G968" s="29" t="str" cm="1">
        <f t="array" ref="G968">GetCSVIndex(A2,121+9828)</f>
        <v/>
      </c>
      <c r="H968" s="45" t="str" cm="1">
        <f t="array" ref="H968">GetCSVIndex(A2,279+9828)</f>
        <v/>
      </c>
      <c r="I968" s="29" t="str" cm="1">
        <f t="array" ref="I968">GetCSVIndex(A2,342+9828)</f>
        <v/>
      </c>
      <c r="J968" s="26"/>
      <c r="K968" s="45">
        <v>61</v>
      </c>
      <c r="L968" s="29" t="e" cm="1">
        <f t="array" ref="L968">CHOOSE(GetCSVIndex(A2,216+9828)+1,"","Station","Block","","Delay")</f>
        <v>#VALUE!</v>
      </c>
      <c r="M968" s="29" t="str" cm="1">
        <f t="array" ref="M968">GetCSVIndex(A2,217+9828)</f>
        <v/>
      </c>
      <c r="N968" s="27" t="str" cm="1">
        <f t="array" ref="N968">GetCSVIndex(A2,311+9828)</f>
        <v/>
      </c>
      <c r="O968" s="43" t="str" cm="1">
        <f t="array" ref="O968">GetCSVIndex(A2,374+9828)</f>
        <v/>
      </c>
    </row>
    <row r="969" spans="1:15" ht="21" customHeight="1" x14ac:dyDescent="0.25">
      <c r="A969" s="42"/>
      <c r="B969" s="25"/>
      <c r="C969" s="25"/>
      <c r="D969" s="26"/>
      <c r="E969" s="45">
        <v>30</v>
      </c>
      <c r="F969" s="29" t="e" cm="1">
        <f t="array" ref="F969">CHOOSE(GetCSVIndex(A2,123+9828)+1,"","Station","Block","","Delay")</f>
        <v>#VALUE!</v>
      </c>
      <c r="G969" s="29" t="str" cm="1">
        <f t="array" ref="G969">GetCSVIndex(A2,124+9828)</f>
        <v/>
      </c>
      <c r="H969" s="45" t="str" cm="1">
        <f t="array" ref="H969">GetCSVIndex(A2,280+9828)</f>
        <v/>
      </c>
      <c r="I969" s="29" t="str" cm="1">
        <f t="array" ref="I969">GetCSVIndex(A2,343+9828)</f>
        <v/>
      </c>
      <c r="J969" s="26"/>
      <c r="K969" s="45">
        <v>62</v>
      </c>
      <c r="L969" s="29" t="e" cm="1">
        <f t="array" ref="L969">CHOOSE(GetCSVIndex(A2,219+9828)+1,"","Station","Block","","Delay")</f>
        <v>#VALUE!</v>
      </c>
      <c r="M969" s="29" t="str" cm="1">
        <f t="array" ref="M969">GetCSVIndex(A2,220+9828)</f>
        <v/>
      </c>
      <c r="N969" s="27" t="str" cm="1">
        <f t="array" ref="N969">GetCSVIndex(A2,312+9828)</f>
        <v/>
      </c>
      <c r="O969" s="43" t="str" cm="1">
        <f t="array" ref="O969">GetCSVIndex(A2,375+9828)</f>
        <v/>
      </c>
    </row>
    <row r="970" spans="1:15" ht="21" customHeight="1" x14ac:dyDescent="0.25">
      <c r="A970" s="42"/>
      <c r="B970" s="25"/>
      <c r="C970" s="25"/>
      <c r="D970" s="26"/>
      <c r="E970" s="45">
        <v>31</v>
      </c>
      <c r="F970" s="29" t="e" cm="1">
        <f t="array" ref="F970">CHOOSE(GetCSVIndex(A2,126+9828)+1,"","Station","Block","","Delay")</f>
        <v>#VALUE!</v>
      </c>
      <c r="G970" s="29" t="str" cm="1">
        <f t="array" ref="G970">GetCSVIndex(A2,127+9828)</f>
        <v/>
      </c>
      <c r="H970" s="45" t="str" cm="1">
        <f t="array" ref="H970">GetCSVIndex(A2,281+9828)</f>
        <v/>
      </c>
      <c r="I970" s="29" t="str" cm="1">
        <f t="array" ref="I970">GetCSVIndex(A2,344+9828)</f>
        <v/>
      </c>
      <c r="J970" s="26"/>
      <c r="K970" s="45">
        <v>63</v>
      </c>
      <c r="L970" s="29" t="e" cm="1">
        <f t="array" ref="L970">CHOOSE(GetCSVIndex(A2,222+9828)+1,"","Station","Block","","Delay")</f>
        <v>#VALUE!</v>
      </c>
      <c r="M970" s="29" t="str" cm="1">
        <f t="array" ref="M970">GetCSVIndex(A2,223+9828)</f>
        <v/>
      </c>
      <c r="N970" s="27" t="str" cm="1">
        <f t="array" ref="N970">GetCSVIndex(A2,313+9828)</f>
        <v/>
      </c>
      <c r="O970" s="43" t="str" cm="1">
        <f t="array" ref="O970">GetCSVIndex(A2,376+9828)</f>
        <v/>
      </c>
    </row>
    <row r="971" spans="1:15" ht="21" customHeight="1" x14ac:dyDescent="0.25">
      <c r="A971" s="37"/>
      <c r="B971" s="28"/>
      <c r="C971" s="29"/>
      <c r="D971" s="29"/>
      <c r="E971" s="45">
        <v>32</v>
      </c>
      <c r="F971" s="29" t="e" cm="1">
        <f t="array" ref="F971">CHOOSE(GetCSVIndex(A2,129+9828)+1,"","Station","Block","","Delay")</f>
        <v>#VALUE!</v>
      </c>
      <c r="G971" s="29" t="str" cm="1">
        <f t="array" ref="G971">GetCSVIndex(A2,130+9828)</f>
        <v/>
      </c>
      <c r="H971" s="45" t="str" cm="1">
        <f t="array" ref="H971">GetCSVIndex(A2,282+9828)</f>
        <v/>
      </c>
      <c r="I971" s="29" t="str" cm="1">
        <f t="array" ref="I971">GetCSVIndex(A2,345+9828)</f>
        <v/>
      </c>
      <c r="J971" s="29"/>
      <c r="K971" s="45">
        <v>64</v>
      </c>
      <c r="L971" s="29" t="e" cm="1">
        <f t="array" ref="L971">CHOOSE(GetCSVIndex(A2,225+9828)+1,"","Station","Block","","Delay")</f>
        <v>#VALUE!</v>
      </c>
      <c r="M971" s="29" t="str" cm="1">
        <f t="array" ref="M971">GetCSVIndex(A2,226+9828)</f>
        <v/>
      </c>
      <c r="N971" s="27" t="str" cm="1">
        <f t="array" ref="N971">GetCSVIndex(A2,314+9828)</f>
        <v/>
      </c>
      <c r="O971" s="43" t="str" cm="1">
        <f t="array" ref="O971">GetCSVIndex(A2,377+9828)</f>
        <v/>
      </c>
    </row>
    <row r="972" spans="1:15" ht="23.25" customHeight="1" x14ac:dyDescent="0.25">
      <c r="A972" s="51" t="str" cm="1">
        <f t="array" ref="A972">CONCATENATE("Schedule  Program Number : ", GetCSVIndex(A2,5+10206))</f>
        <v xml:space="preserve">Schedule  Program Number : </v>
      </c>
      <c r="B972" s="52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3"/>
    </row>
    <row r="973" spans="1:15" ht="21" customHeight="1" x14ac:dyDescent="0.25">
      <c r="A973" s="20" t="s">
        <v>44</v>
      </c>
      <c r="B973" s="22" t="str" cm="1">
        <f t="array" ref="B973">GetCSVIndex(A2,5+10206)</f>
        <v/>
      </c>
      <c r="C973" s="18"/>
      <c r="D973" s="18"/>
      <c r="E973" s="18"/>
      <c r="F973" s="18"/>
      <c r="G973" s="18" t="s">
        <v>19</v>
      </c>
      <c r="H973" s="18" t="e" cm="1">
        <f t="array" ref="H973">CHOOSE(GetCSVIndex(A2,7+10206)+1, "Days of Week", "Odd/Even", "Interval","Manual")</f>
        <v>#VALUE!</v>
      </c>
      <c r="I973" s="18"/>
      <c r="J973" s="15"/>
      <c r="K973" s="15"/>
      <c r="L973" s="15"/>
      <c r="M973" s="15"/>
      <c r="N973" s="15"/>
      <c r="O973" s="16"/>
    </row>
    <row r="974" spans="1:15" ht="18" customHeight="1" x14ac:dyDescent="0.25">
      <c r="A974" s="21" t="s">
        <v>20</v>
      </c>
      <c r="B974" s="19" t="e" cm="1">
        <f t="array" ref="B974">CHOOSE(GetCSVIndex(A2,24+10206)+1, "Program", "Global", "Monthly","Solar Sync")</f>
        <v>#VALUE!</v>
      </c>
      <c r="C974" s="19"/>
      <c r="D974" s="19"/>
      <c r="E974" s="19"/>
      <c r="F974" s="19" t="s">
        <v>21</v>
      </c>
      <c r="G974" s="19" t="e" cm="1">
        <f t="array" ref="G974">IF(CHOOSE(GetCSVIndex(A2,7+10206)+1,IF(_xlfn.BITAND(GetCSVIndex(A2,8+10206), 2^0)=0, 0, 1),IF(_xlfn.BITAND(GetCSVIndex(A2,9+10206), 2^0)=0, 0, 1),IF(_xlfn.BITAND(GetCSVIndex(A2,10+10206), 2^0)=0, 0, 1)) =1,"Mon","")</f>
        <v>#VALUE!</v>
      </c>
      <c r="H974" s="19" t="e" cm="1">
        <f t="array" ref="H974">CONCATENATE(IF(CHOOSE(GetCSVIndex(A2,7+10206)+1,IF(_xlfn.BITAND(GetCSVIndex(A2,8+10206), 2^1)=0, 0, 1),IF(_xlfn.BITAND(GetCSVIndex(A2,9+10206), 2^1)=0, 0, 1),IF(_xlfn.BITAND(GetCSVIndex(A2,10+10206), 2^1)=0, 0, 1)) =1,"Tue       ","       "),IF(CHOOSE(GetCSVIndex(A2,7+10206)+1,IF(_xlfn.BITAND(GetCSVIndex(A2,8+10206), 2^2)=0, 0, 1),IF(_xlfn.BITAND(GetCSVIndex(A2,9+10206), 2^2)=0, 0, 1),IF(_xlfn.BITAND(GetCSVIndex(A2,10+10206), 2^2)=0, 0, 1)) =1,"Wed",""),IF(CHOOSE(GetCSVIndex(A2,7+10206)+1,IF(_xlfn.BITAND(GetCSVIndex(A2,8+10206), 2^3)=0, 0, 1),IF(_xlfn.BITAND(GetCSVIndex(A2,9+10206), 2^3)=0, 0, 1),IF(_xlfn.BITAND(GetCSVIndex(A2,10+10206), 2^3)=0, 0, 1)) =1,"       Thu","       "))</f>
        <v>#VALUE!</v>
      </c>
      <c r="I974" s="32" t="e" cm="1">
        <f t="array" ref="I974">CONCATENATE(IF(CHOOSE(GetCSVIndex(A2,7+10206)+1,IF(_xlfn.BITAND(GetCSVIndex(A2,8+10206), 2^4)=0, 0, 1),IF(_xlfn.BITAND(GetCSVIndex(A2,9+10206), 2^4)=0, 0, 1),IF(_xlfn.BITAND(GetCSVIndex(A2,10+10206), 2^4)=0, 0, 1)) =1,"Fri       ","       "),IF(CHOOSE(GetCSVIndex(A2,7+10206)+1,IF(_xlfn.BITAND(GetCSVIndex(A2,8+10206), 2^5)=0, 0, 1),IF(_xlfn.BITAND(GetCSVIndex(A2,9+10206), 2^5)=0, 0, 1),IF(_xlfn.BITAND(GetCSVIndex(A2,10+10206), 2^5)=0, 0, 1)) =1,"Sat",""),IF(CHOOSE(GetCSVIndex(A2,7+10206)+1,IF(_xlfn.BITAND(GetCSVIndex(A2,8+10206), 2^6)=0, 0, 1),IF(_xlfn.BITAND(GetCSVIndex(A2,9+10206), 2^6)=0, 0, 1),IF(_xlfn.BITAND(GetCSVIndex(A2,10+10206), 2^6)=0, 0, 1)) =1,"       Sun","       "))</f>
        <v>#VALUE!</v>
      </c>
      <c r="J974" s="19"/>
      <c r="K974" s="19"/>
      <c r="L974" s="32" t="s">
        <v>22</v>
      </c>
      <c r="M974" s="19"/>
      <c r="N974" s="19" t="str" cm="1">
        <f t="array" ref="N974">IF(GetCSVIndex(A2,26+10206)="1","Enable","Disable")</f>
        <v>Disable</v>
      </c>
      <c r="O974" s="24"/>
    </row>
    <row r="975" spans="1:15" ht="18" customHeight="1" x14ac:dyDescent="0.25">
      <c r="A975" s="21" t="str" cm="1">
        <f t="array" ref="A975">CONCATENATE("Program ", GetCSVIndex(A2,5+10206))</f>
        <v xml:space="preserve">Program </v>
      </c>
      <c r="B975" s="23" t="str" cm="1">
        <f t="array" ref="B975">CONCATENATE(GetCSVIndex(A2,25+10206)," %")</f>
        <v xml:space="preserve"> %</v>
      </c>
      <c r="C975" s="19"/>
      <c r="D975" s="19"/>
      <c r="E975" s="19"/>
      <c r="F975" s="19" t="str" cm="1">
        <f t="array" ref="F975">IF(GetCSVIndex(A2,7)="2","Water Every"," ")</f>
        <v xml:space="preserve"> </v>
      </c>
      <c r="G975" s="47" t="str" cm="1">
        <f t="array" ref="G975">IF(GetCSVIndex(A2,7+10206)="2",GetCSVIndex(A2,11+10206)," ")</f>
        <v xml:space="preserve"> </v>
      </c>
      <c r="H975" s="19" t="str" cm="1">
        <f t="array" ref="H975">IF(GetCSVIndex(A2,7+10206)="2","Days"," ")</f>
        <v xml:space="preserve"> </v>
      </c>
      <c r="I975" s="32" t="str" cm="1">
        <f t="array" ref="I975">IF(GetCSVIndex(A2,7+10206)="2","Water After"," ")</f>
        <v xml:space="preserve"> </v>
      </c>
      <c r="J975" s="19"/>
      <c r="K975" s="19" t="str" cm="1">
        <f t="array" ref="K975">IF(GetCSVIndex(A2,7+10206)="2",GetCSVIndex(A2,12+10206)," ")</f>
        <v xml:space="preserve"> </v>
      </c>
      <c r="L975" s="47" t="str" cm="1">
        <f t="array" ref="L975">IF(GetCSVIndex(A2,7+10206)="2","Days"," ")</f>
        <v xml:space="preserve"> </v>
      </c>
      <c r="M975" s="32"/>
      <c r="N975" s="32"/>
      <c r="O975" s="24"/>
    </row>
    <row r="976" spans="1:15" ht="21" customHeight="1" x14ac:dyDescent="0.25">
      <c r="A976" s="20" t="s">
        <v>23</v>
      </c>
      <c r="B976" s="18" t="s">
        <v>24</v>
      </c>
      <c r="C976" s="18" t="str" cm="1">
        <f t="array" ref="C976">CHOOSE(GetCSVIndex(A2,13)+1, "Auto", "Start to End","Manual")</f>
        <v>Start to End</v>
      </c>
      <c r="D976" s="31"/>
      <c r="E976" s="17" t="s">
        <v>38</v>
      </c>
      <c r="F976" s="18" t="s">
        <v>39</v>
      </c>
      <c r="G976" s="18" t="s">
        <v>40</v>
      </c>
      <c r="H976" s="18" t="s">
        <v>41</v>
      </c>
      <c r="I976" s="18" t="s">
        <v>43</v>
      </c>
      <c r="J976" s="31"/>
      <c r="K976" s="17" t="s">
        <v>38</v>
      </c>
      <c r="L976" s="18" t="s">
        <v>39</v>
      </c>
      <c r="M976" s="18" t="s">
        <v>40</v>
      </c>
      <c r="N976" s="22" t="s">
        <v>41</v>
      </c>
      <c r="O976" s="44" t="s">
        <v>42</v>
      </c>
    </row>
    <row r="977" spans="1:15" ht="21" customHeight="1" x14ac:dyDescent="0.25">
      <c r="A977" s="36" t="s">
        <v>25</v>
      </c>
      <c r="B977" s="46" t="str" cm="1">
        <f t="array" ref="B977">IF(GetCSVIndex(A2,6+10206)="1","Over","Stack")</f>
        <v>Stack</v>
      </c>
      <c r="C977" s="26" t="str" cm="1">
        <f t="array" ref="C977">GetCSVIndex(A2,29+10206)</f>
        <v/>
      </c>
      <c r="D977" s="25"/>
      <c r="E977" s="45">
        <v>1</v>
      </c>
      <c r="F977" s="29" t="e" cm="1">
        <f t="array" ref="F977">CHOOSE(GetCSVIndex(A2,36+10206)+1,"","Station","Block","","Delay")</f>
        <v>#VALUE!</v>
      </c>
      <c r="G977" s="29" t="str" cm="1">
        <f t="array" ref="G977">GetCSVIndex(A2,37+10206)</f>
        <v/>
      </c>
      <c r="H977" s="45" t="str" cm="1">
        <f t="array" ref="H977">GetCSVIndex(A2,3+10206)</f>
        <v/>
      </c>
      <c r="I977" s="29" t="str" cm="1">
        <f t="array" ref="I977">GetCSVIndex(A2,1+10206)</f>
        <v/>
      </c>
      <c r="J977" s="25"/>
      <c r="K977" s="45">
        <v>33</v>
      </c>
      <c r="L977" s="29" t="e" cm="1">
        <f t="array" ref="L977">CHOOSE(GetCSVIndex(A2,132+10206)+1,"","Station","Block","","Delay")</f>
        <v>#VALUE!</v>
      </c>
      <c r="M977" s="29" t="str" cm="1">
        <f t="array" ref="M977">GetCSVIndex(A2,133+10206)</f>
        <v/>
      </c>
      <c r="N977" s="27" t="str" cm="1">
        <f t="array" ref="N977">GetCSVIndex(A2,283+10206)</f>
        <v/>
      </c>
      <c r="O977" s="43" t="str" cm="1">
        <f t="array" ref="O977">GetCSVIndex(A2,346+10206)</f>
        <v/>
      </c>
    </row>
    <row r="978" spans="1:15" ht="21" customHeight="1" x14ac:dyDescent="0.25">
      <c r="A978" s="36" t="s">
        <v>26</v>
      </c>
      <c r="B978" s="25" t="str" cm="1">
        <f t="array" ref="B978">IF(GetCSVIndex(A2,2+10206)="1092:15","Not Set",CONCATENATE("From     ",GetCSVIndex(A2,2+10206)))</f>
        <v xml:space="preserve">From     </v>
      </c>
      <c r="C978" s="26" t="str" cm="1">
        <f t="array" ref="C978">IF(GetCSVIndex(C4,1+52)="1092:15","Not Set",CONCATENATE("To     ",GetCSVIndex(C4,1+52)))</f>
        <v xml:space="preserve">To     </v>
      </c>
      <c r="D978" s="25"/>
      <c r="E978" s="45">
        <v>2</v>
      </c>
      <c r="F978" s="29" t="e" cm="1">
        <f t="array" ref="F978">CHOOSE(GetCSVIndex(A2,39+10206)+1,"","Station","Block","","Delay")</f>
        <v>#VALUE!</v>
      </c>
      <c r="G978" s="29" t="str" cm="1">
        <f t="array" ref="G978">GetCSVIndex(A2,40+10206)</f>
        <v/>
      </c>
      <c r="H978" s="45" t="str" cm="1">
        <f t="array" ref="H978">GetCSVIndex(A2,252+10206)</f>
        <v/>
      </c>
      <c r="I978" s="29" t="str" cm="1">
        <f t="array" ref="I978">GetCSVIndex(A2,315+10206)</f>
        <v/>
      </c>
      <c r="J978" s="25"/>
      <c r="K978" s="45">
        <v>34</v>
      </c>
      <c r="L978" s="29" t="e" cm="1">
        <f t="array" ref="L978">CHOOSE(GetCSVIndex(A2,135+10206)+1,"","Station","Block","","Delay")</f>
        <v>#VALUE!</v>
      </c>
      <c r="M978" s="29" t="str" cm="1">
        <f t="array" ref="M978">GetCSVIndex(A2,136+10206)</f>
        <v/>
      </c>
      <c r="N978" s="27" t="str" cm="1">
        <f t="array" ref="N978">GetCSVIndex(A2,284+10206)</f>
        <v/>
      </c>
      <c r="O978" s="43" t="str" cm="1">
        <f t="array" ref="O978">GetCSVIndex(A2,347+10206)</f>
        <v/>
      </c>
    </row>
    <row r="979" spans="1:15" ht="21" customHeight="1" x14ac:dyDescent="0.25">
      <c r="A979" s="36" t="s">
        <v>27</v>
      </c>
      <c r="B979" s="25"/>
      <c r="C979" s="26" t="str" cm="1">
        <f t="array" ref="C979">CONCATENATE(GetCSVIndex(A2,249+10206),":", GetCSVIndex(A2,250+10206),":", GetCSVIndex(A2,251+10206))</f>
        <v>::</v>
      </c>
      <c r="D979" s="26"/>
      <c r="E979" s="45">
        <v>3</v>
      </c>
      <c r="F979" s="29" t="e" cm="1">
        <f t="array" ref="F979">CHOOSE(GetCSVIndex(A2,42+10206)+1,"","Station","Block","","Delay")</f>
        <v>#VALUE!</v>
      </c>
      <c r="G979" s="29" t="str" cm="1">
        <f t="array" ref="G979">GetCSVIndex(A2,43+10206)</f>
        <v/>
      </c>
      <c r="H979" s="45" t="str" cm="1">
        <f t="array" ref="H979">GetCSVIndex(A2,253+10206)</f>
        <v/>
      </c>
      <c r="I979" s="29" t="str" cm="1">
        <f t="array" ref="I979">GetCSVIndex(A2,316+10206)</f>
        <v/>
      </c>
      <c r="J979" s="25"/>
      <c r="K979" s="45">
        <v>35</v>
      </c>
      <c r="L979" s="29" t="e" cm="1">
        <f t="array" ref="L979">CHOOSE(GetCSVIndex(A2,138+10206)+1,"","Station","Block","","Delay")</f>
        <v>#VALUE!</v>
      </c>
      <c r="M979" s="29" t="str" cm="1">
        <f t="array" ref="M979">GetCSVIndex(A2,139+10206)</f>
        <v/>
      </c>
      <c r="N979" s="27" t="str" cm="1">
        <f t="array" ref="N979">GetCSVIndex(A2,285+10206)</f>
        <v/>
      </c>
      <c r="O979" s="43" t="str" cm="1">
        <f t="array" ref="O979">GetCSVIndex(A2,348+10206)</f>
        <v/>
      </c>
    </row>
    <row r="980" spans="1:15" ht="21" customHeight="1" x14ac:dyDescent="0.25">
      <c r="A980" s="36"/>
      <c r="B980" s="25"/>
      <c r="C980" s="25"/>
      <c r="D980" s="25"/>
      <c r="E980" s="45">
        <v>4</v>
      </c>
      <c r="F980" s="29" t="e" cm="1">
        <f t="array" ref="F980">CHOOSE(GetCSVIndex(A2,45+10206)+1,"","Station","Block","","Delay")</f>
        <v>#VALUE!</v>
      </c>
      <c r="G980" s="29" t="str" cm="1">
        <f t="array" ref="G980">GetCSVIndex(A2,46+10206)</f>
        <v/>
      </c>
      <c r="H980" s="45" t="str" cm="1">
        <f t="array" ref="H980">GetCSVIndex(A2,254+10206)</f>
        <v/>
      </c>
      <c r="I980" s="29" t="str" cm="1">
        <f t="array" ref="I980">GetCSVIndex(A2,317+10206)</f>
        <v/>
      </c>
      <c r="J980" s="25"/>
      <c r="K980" s="45">
        <v>36</v>
      </c>
      <c r="L980" s="29" t="e" cm="1">
        <f t="array" ref="L980">CHOOSE(GetCSVIndex(A2,141+10206)+1,"","Station","Block","","Delay")</f>
        <v>#VALUE!</v>
      </c>
      <c r="M980" s="29" t="str" cm="1">
        <f t="array" ref="M980">GetCSVIndex(A2,142+10206)</f>
        <v/>
      </c>
      <c r="N980" s="27" t="str" cm="1">
        <f t="array" ref="N980">GetCSVIndex(A2,286+10206)</f>
        <v/>
      </c>
      <c r="O980" s="43" t="str" cm="1">
        <f t="array" ref="O980">GetCSVIndex(A2,349+10206)</f>
        <v/>
      </c>
    </row>
    <row r="981" spans="1:15" ht="21" customHeight="1" x14ac:dyDescent="0.25">
      <c r="A981" s="37" t="s">
        <v>28</v>
      </c>
      <c r="B981" s="28"/>
      <c r="C981" s="29" t="str" cm="1">
        <f t="array" ref="C981">IF(GetCSVIndex(A2,14+10206)&lt;&gt;"65535",CONCATENATE(GetCSVIndex(A2,229+10206),":", GetCSVIndex(A2,239+10206)),"OFF")</f>
        <v>:</v>
      </c>
      <c r="D981" s="25"/>
      <c r="E981" s="45">
        <v>5</v>
      </c>
      <c r="F981" s="29" t="e" cm="1">
        <f t="array" ref="F981">CHOOSE(GetCSVIndex(A2,48+10206)+1,"","Station","Block","","Delay")</f>
        <v>#VALUE!</v>
      </c>
      <c r="G981" s="29" t="str" cm="1">
        <f t="array" ref="G981">GetCSVIndex(A2,49+10206)</f>
        <v/>
      </c>
      <c r="H981" s="45" t="str" cm="1">
        <f t="array" ref="H981">GetCSVIndex(A2,255+10206)</f>
        <v/>
      </c>
      <c r="I981" s="29" t="str" cm="1">
        <f t="array" ref="I981">GetCSVIndex(A2,318+10206)</f>
        <v/>
      </c>
      <c r="J981" s="25"/>
      <c r="K981" s="45">
        <v>37</v>
      </c>
      <c r="L981" s="29" t="e" cm="1">
        <f t="array" ref="L981">CHOOSE(GetCSVIndex(A2,144+10206)+1,"","Station","Block","","Delay")</f>
        <v>#VALUE!</v>
      </c>
      <c r="M981" s="29" t="str" cm="1">
        <f t="array" ref="M981">GetCSVIndex(A2,145+10206)</f>
        <v/>
      </c>
      <c r="N981" s="27" t="str" cm="1">
        <f t="array" ref="N981">GetCSVIndex(A2,287+10206)</f>
        <v/>
      </c>
      <c r="O981" s="43" t="str" cm="1">
        <f t="array" ref="O981">GetCSVIndex(A2,350+10206)</f>
        <v/>
      </c>
    </row>
    <row r="982" spans="1:15" ht="21" customHeight="1" x14ac:dyDescent="0.25">
      <c r="A982" s="38" t="s">
        <v>29</v>
      </c>
      <c r="B982" s="30"/>
      <c r="C982" s="29" t="str" cm="1">
        <f t="array" ref="C982">IF(GetCSVIndex(A2,15+10206)&lt;&gt;"65535",CONCATENATE(GetCSVIndex(A2,231+10206),":", GetCSVIndex(A2,241+10206)),"OFF")</f>
        <v>:</v>
      </c>
      <c r="D982" s="25"/>
      <c r="E982" s="45">
        <v>6</v>
      </c>
      <c r="F982" s="29" t="e" cm="1">
        <f t="array" ref="F982">CHOOSE(GetCSVIndex(A2,51+10206)+1,"","Station","Block","","Delay")</f>
        <v>#VALUE!</v>
      </c>
      <c r="G982" s="29" t="str" cm="1">
        <f t="array" ref="G982">GetCSVIndex(A2,52+10206)</f>
        <v/>
      </c>
      <c r="H982" s="45" t="str" cm="1">
        <f t="array" ref="H982">GetCSVIndex(A2,256+10206)</f>
        <v/>
      </c>
      <c r="I982" s="29" t="str" cm="1">
        <f t="array" ref="I982">GetCSVIndex(A2,319+10206)</f>
        <v/>
      </c>
      <c r="J982" s="25"/>
      <c r="K982" s="45">
        <v>38</v>
      </c>
      <c r="L982" s="29" t="e" cm="1">
        <f t="array" ref="L982">CHOOSE(GetCSVIndex(A2,147+10206)+1,"","Station","Block","","Delay")</f>
        <v>#VALUE!</v>
      </c>
      <c r="M982" s="29" t="str" cm="1">
        <f t="array" ref="M982">GetCSVIndex(A2,148+10206)</f>
        <v/>
      </c>
      <c r="N982" s="27" t="str" cm="1">
        <f t="array" ref="N982">GetCSVIndex(A2,288+10206)</f>
        <v/>
      </c>
      <c r="O982" s="43" t="str" cm="1">
        <f t="array" ref="O982">GetCSVIndex(A2,351+10206)</f>
        <v/>
      </c>
    </row>
    <row r="983" spans="1:15" ht="21" customHeight="1" x14ac:dyDescent="0.25">
      <c r="A983" s="38" t="s">
        <v>30</v>
      </c>
      <c r="B983" s="30"/>
      <c r="C983" s="29" t="str" cm="1">
        <f t="array" ref="C983">IF(GetCSVIndex(A2,16+10206)&lt;&gt;"65535",CONCATENATE(GetCSVIndex(A2,232+10206),":", GetCSVIndex(A2,242+10206)),"OFF")</f>
        <v>:</v>
      </c>
      <c r="D983" s="25"/>
      <c r="E983" s="45">
        <v>7</v>
      </c>
      <c r="F983" s="29" t="e" cm="1">
        <f t="array" ref="F983">CHOOSE(GetCSVIndex(A2,54+10206)+1,"","Station","Block","","Delay")</f>
        <v>#VALUE!</v>
      </c>
      <c r="G983" s="29" t="str" cm="1">
        <f t="array" ref="G983">GetCSVIndex(A2,55+10206)</f>
        <v/>
      </c>
      <c r="H983" s="45" t="str" cm="1">
        <f t="array" ref="H983">GetCSVIndex(A2,257+10206)</f>
        <v/>
      </c>
      <c r="I983" s="29" t="str" cm="1">
        <f t="array" ref="I983">GetCSVIndex(A2,320+10206)</f>
        <v/>
      </c>
      <c r="J983" s="25"/>
      <c r="K983" s="45">
        <v>39</v>
      </c>
      <c r="L983" s="29" t="e" cm="1">
        <f t="array" ref="L983">CHOOSE(GetCSVIndex(A2,150+10206)+1,"","Station","Block","","Delay")</f>
        <v>#VALUE!</v>
      </c>
      <c r="M983" s="29" t="str" cm="1">
        <f t="array" ref="M983">GetCSVIndex(A2,151+10206)</f>
        <v/>
      </c>
      <c r="N983" s="27" t="str" cm="1">
        <f t="array" ref="N983">GetCSVIndex(A2,289+10206)</f>
        <v/>
      </c>
      <c r="O983" s="43" t="str" cm="1">
        <f t="array" ref="O983">GetCSVIndex(A2,352+10206)</f>
        <v/>
      </c>
    </row>
    <row r="984" spans="1:15" ht="21" customHeight="1" x14ac:dyDescent="0.25">
      <c r="A984" s="38" t="s">
        <v>31</v>
      </c>
      <c r="B984" s="30"/>
      <c r="C984" s="29" t="str" cm="1">
        <f t="array" ref="C984">IF(GetCSVIndex(A2,17+10206)&lt;&gt;"65535",CONCATENATE(GetCSVIndex(A2,233+10206),":", GetCSVIndex(A2,243+10206)),"OFF")</f>
        <v>:</v>
      </c>
      <c r="D984" s="25"/>
      <c r="E984" s="45">
        <v>8</v>
      </c>
      <c r="F984" s="29" t="e" cm="1">
        <f t="array" ref="F984">CHOOSE(GetCSVIndex(A2,57+10206)+1,"","Station","Block","","Delay")</f>
        <v>#VALUE!</v>
      </c>
      <c r="G984" s="29" t="str" cm="1">
        <f t="array" ref="G984">GetCSVIndex(A2,58+10206)</f>
        <v/>
      </c>
      <c r="H984" s="45" t="str" cm="1">
        <f t="array" ref="H984">GetCSVIndex(A2,258+10206)</f>
        <v/>
      </c>
      <c r="I984" s="29" t="str" cm="1">
        <f t="array" ref="I984">GetCSVIndex(A2,321+10206)</f>
        <v/>
      </c>
      <c r="J984" s="25"/>
      <c r="K984" s="45">
        <v>40</v>
      </c>
      <c r="L984" s="29" t="e" cm="1">
        <f t="array" ref="L984">CHOOSE(GetCSVIndex(A2,153+10206)+1,"","Station","Block","","Delay")</f>
        <v>#VALUE!</v>
      </c>
      <c r="M984" s="29" t="str" cm="1">
        <f t="array" ref="M984">GetCSVIndex(A2,154+10206)</f>
        <v/>
      </c>
      <c r="N984" s="27" t="str" cm="1">
        <f t="array" ref="N984">GetCSVIndex(A2,290+10206)</f>
        <v/>
      </c>
      <c r="O984" s="43" t="str" cm="1">
        <f t="array" ref="O984">GetCSVIndex(A2,353+10206)</f>
        <v/>
      </c>
    </row>
    <row r="985" spans="1:15" ht="21" customHeight="1" x14ac:dyDescent="0.25">
      <c r="A985" s="38" t="s">
        <v>32</v>
      </c>
      <c r="B985" s="30"/>
      <c r="C985" s="29" t="str" cm="1">
        <f t="array" ref="C985">IF(GetCSVIndex(A2,18+10206)&lt;&gt;"65535",CONCATENATE(GetCSVIndex(A2,234+10206),":", GetCSVIndex(A2,244+10206)),"OFF")</f>
        <v>:</v>
      </c>
      <c r="D985" s="25"/>
      <c r="E985" s="45">
        <v>9</v>
      </c>
      <c r="F985" s="29" t="e" cm="1">
        <f t="array" ref="F985">CHOOSE(GetCSVIndex(A2,60+10206)+1,"","Station","Block","","Delay")</f>
        <v>#VALUE!</v>
      </c>
      <c r="G985" s="29" t="str" cm="1">
        <f t="array" ref="G985">GetCSVIndex(A2,61+10206)</f>
        <v/>
      </c>
      <c r="H985" s="45" t="str" cm="1">
        <f t="array" ref="H985">GetCSVIndex(A2,259+10206)</f>
        <v/>
      </c>
      <c r="I985" s="29" t="str" cm="1">
        <f t="array" ref="I985">GetCSVIndex(A2,322+10206)</f>
        <v/>
      </c>
      <c r="J985" s="25"/>
      <c r="K985" s="45">
        <v>41</v>
      </c>
      <c r="L985" s="29" t="e" cm="1">
        <f t="array" ref="L985">CHOOSE(GetCSVIndex(A2,156+10206)+1,"","Station","Block","","Delay")</f>
        <v>#VALUE!</v>
      </c>
      <c r="M985" s="29" t="str" cm="1">
        <f t="array" ref="M985">GetCSVIndex(A2,157+10206)</f>
        <v/>
      </c>
      <c r="N985" s="27" t="str" cm="1">
        <f t="array" ref="N985">GetCSVIndex(A2,291+10206)</f>
        <v/>
      </c>
      <c r="O985" s="43" t="str" cm="1">
        <f t="array" ref="O985">GetCSVIndex(A2,354+10206)</f>
        <v/>
      </c>
    </row>
    <row r="986" spans="1:15" ht="21" customHeight="1" x14ac:dyDescent="0.25">
      <c r="A986" s="38" t="s">
        <v>33</v>
      </c>
      <c r="B986" s="30"/>
      <c r="C986" s="29" t="str" cm="1">
        <f t="array" ref="C986">IF(GetCSVIndex(A2,19+10206)&lt;&gt;"65535",CONCATENATE(GetCSVIndex(A2,235+10206),":", GetCSVIndex(A2,245+10206)),"OFF")</f>
        <v>:</v>
      </c>
      <c r="D986" s="25"/>
      <c r="E986" s="45">
        <v>10</v>
      </c>
      <c r="F986" s="29" t="e" cm="1">
        <f t="array" ref="F986">CHOOSE(GetCSVIndex(A2,63+10206)+1,"","Station","Block","","Delay")</f>
        <v>#VALUE!</v>
      </c>
      <c r="G986" s="29" t="str" cm="1">
        <f t="array" ref="G986">GetCSVIndex(A2,64+10206)</f>
        <v/>
      </c>
      <c r="H986" s="45" t="str" cm="1">
        <f t="array" ref="H986">GetCSVIndex(A2,260+10206)</f>
        <v/>
      </c>
      <c r="I986" s="29" t="str" cm="1">
        <f t="array" ref="I986">GetCSVIndex(A2,323+10206)</f>
        <v/>
      </c>
      <c r="J986" s="25"/>
      <c r="K986" s="45">
        <v>42</v>
      </c>
      <c r="L986" s="29" t="e" cm="1">
        <f t="array" ref="L986">CHOOSE(GetCSVIndex(A2,159+10206)+1,"","Station","Block","","Delay")</f>
        <v>#VALUE!</v>
      </c>
      <c r="M986" s="29" t="str" cm="1">
        <f t="array" ref="M986">GetCSVIndex(A2,160+10206)</f>
        <v/>
      </c>
      <c r="N986" s="27" t="str" cm="1">
        <f t="array" ref="N986">GetCSVIndex(A2,292+10206)</f>
        <v/>
      </c>
      <c r="O986" s="43" t="str" cm="1">
        <f t="array" ref="O986">GetCSVIndex(A2,355+10206)</f>
        <v/>
      </c>
    </row>
    <row r="987" spans="1:15" ht="21" customHeight="1" x14ac:dyDescent="0.25">
      <c r="A987" s="38" t="s">
        <v>34</v>
      </c>
      <c r="B987" s="30"/>
      <c r="C987" s="29" t="str" cm="1">
        <f t="array" ref="C987">IF(GetCSVIndex(A2,20+10206)&lt;&gt;"65535",CONCATENATE(GetCSVIndex(A2,236+10206),":", GetCSVIndex(A2,246+10206)),"OFF")</f>
        <v>:</v>
      </c>
      <c r="D987" s="25"/>
      <c r="E987" s="45">
        <v>11</v>
      </c>
      <c r="F987" s="29" t="e" cm="1">
        <f t="array" ref="F987">CHOOSE(GetCSVIndex(A2,66+10206)+1,"","Station","Block","","Delay")</f>
        <v>#VALUE!</v>
      </c>
      <c r="G987" s="29" t="str" cm="1">
        <f t="array" ref="G987">GetCSVIndex(A2,67+10206)</f>
        <v/>
      </c>
      <c r="H987" s="45" t="str" cm="1">
        <f t="array" ref="H987">GetCSVIndex(A2,261+10206)</f>
        <v/>
      </c>
      <c r="I987" s="29" t="str" cm="1">
        <f t="array" ref="I987">GetCSVIndex(A2,324+10206)</f>
        <v/>
      </c>
      <c r="J987" s="25"/>
      <c r="K987" s="45">
        <v>43</v>
      </c>
      <c r="L987" s="29" t="e" cm="1">
        <f t="array" ref="L987">CHOOSE(GetCSVIndex(A2,162+10206)+1,"","Station","Block","","Delay")</f>
        <v>#VALUE!</v>
      </c>
      <c r="M987" s="29" t="str" cm="1">
        <f t="array" ref="M987">GetCSVIndex(A2,163+10206)</f>
        <v/>
      </c>
      <c r="N987" s="27" t="str" cm="1">
        <f t="array" ref="N987">GetCSVIndex(A2,293+10206)</f>
        <v/>
      </c>
      <c r="O987" s="43" t="str" cm="1">
        <f t="array" ref="O987">GetCSVIndex(A2,356+10206)</f>
        <v/>
      </c>
    </row>
    <row r="988" spans="1:15" ht="21" customHeight="1" x14ac:dyDescent="0.25">
      <c r="A988" s="38" t="s">
        <v>35</v>
      </c>
      <c r="B988" s="30"/>
      <c r="C988" s="29" t="str" cm="1">
        <f t="array" ref="C988">IF(GetCSVIndex(A2,21+10206)&lt;&gt;"65535",CONCATENATE(GetCSVIndex(A2,237+10206),":", GetCSVIndex(A2,247+10206)),"OFF")</f>
        <v>:</v>
      </c>
      <c r="D988" s="25"/>
      <c r="E988" s="45">
        <v>12</v>
      </c>
      <c r="F988" s="29" t="e" cm="1">
        <f t="array" ref="F988">CHOOSE(GetCSVIndex(A2,69+10206)+1,"","Station","Block","","Delay")</f>
        <v>#VALUE!</v>
      </c>
      <c r="G988" s="29" t="str" cm="1">
        <f t="array" ref="G988">GetCSVIndex(A2,70+10206)</f>
        <v/>
      </c>
      <c r="H988" s="45" t="str" cm="1">
        <f t="array" ref="H988">GetCSVIndex(A2,262+10206)</f>
        <v/>
      </c>
      <c r="I988" s="29" t="str" cm="1">
        <f t="array" ref="I988">GetCSVIndex(A2,325+10206)</f>
        <v/>
      </c>
      <c r="J988" s="25"/>
      <c r="K988" s="45">
        <v>44</v>
      </c>
      <c r="L988" s="29" t="e" cm="1">
        <f t="array" ref="L988">CHOOSE(GetCSVIndex(A2,165+10206)+1,"","Station","Block","","Delay")</f>
        <v>#VALUE!</v>
      </c>
      <c r="M988" s="29" t="str" cm="1">
        <f t="array" ref="M988">GetCSVIndex(A2,166+10206)</f>
        <v/>
      </c>
      <c r="N988" s="27" t="str" cm="1">
        <f t="array" ref="N988">GetCSVIndex(A2,294+10206)</f>
        <v/>
      </c>
      <c r="O988" s="43" t="str" cm="1">
        <f t="array" ref="O988">GetCSVIndex(A2,357+10206)</f>
        <v/>
      </c>
    </row>
    <row r="989" spans="1:15" ht="21" customHeight="1" x14ac:dyDescent="0.25">
      <c r="A989" s="38" t="s">
        <v>36</v>
      </c>
      <c r="B989" s="30"/>
      <c r="C989" s="29" t="str" cm="1">
        <f t="array" ref="C989">IF(GetCSVIndex(A2,22+10206)&lt;&gt;"65535",CONCATENATE(GetCSVIndex(A2,238+10206),":", GetCSVIndex(A2,248+10206)),"OFF")</f>
        <v>:</v>
      </c>
      <c r="D989" s="25"/>
      <c r="E989" s="45">
        <v>13</v>
      </c>
      <c r="F989" s="29" t="e" cm="1">
        <f t="array" ref="F989">CHOOSE(GetCSVIndex(A2,72+10206)+1,"","Station","Block","","Delay")</f>
        <v>#VALUE!</v>
      </c>
      <c r="G989" s="29" t="str" cm="1">
        <f t="array" ref="G989">GetCSVIndex(A2,73+10206)</f>
        <v/>
      </c>
      <c r="H989" s="45" t="str" cm="1">
        <f t="array" ref="H989">GetCSVIndex(A2,263+10206)</f>
        <v/>
      </c>
      <c r="I989" s="29" t="str" cm="1">
        <f t="array" ref="I989">GetCSVIndex(A2,326+10206)</f>
        <v/>
      </c>
      <c r="J989" s="25"/>
      <c r="K989" s="45">
        <v>45</v>
      </c>
      <c r="L989" s="29" t="e" cm="1">
        <f t="array" ref="L989">CHOOSE(GetCSVIndex(A2,168+10206)+1,"","Station","Block","","Delay")</f>
        <v>#VALUE!</v>
      </c>
      <c r="M989" s="29" t="str" cm="1">
        <f t="array" ref="M989">GetCSVIndex(A2,169+10206)</f>
        <v/>
      </c>
      <c r="N989" s="27" t="str" cm="1">
        <f t="array" ref="N989">GetCSVIndex(A2,295+10206)</f>
        <v/>
      </c>
      <c r="O989" s="43" t="str" cm="1">
        <f t="array" ref="O989">GetCSVIndex(A2,358+10206)</f>
        <v/>
      </c>
    </row>
    <row r="990" spans="1:15" ht="21" customHeight="1" x14ac:dyDescent="0.25">
      <c r="A990" s="36" t="s">
        <v>37</v>
      </c>
      <c r="B990" s="25"/>
      <c r="C990" s="29" t="str" cm="1">
        <f t="array" ref="C990">IF(GetCSVIndex(A2,23+10206)&lt;&gt;"65535",CONCATENATE(GetCSVIndex(A2,230+10206),":", GetCSVIndex(A2,240+10206)),"OFF")</f>
        <v>:</v>
      </c>
      <c r="D990" s="25"/>
      <c r="E990" s="45">
        <v>14</v>
      </c>
      <c r="F990" s="29" t="e" cm="1">
        <f t="array" ref="F990">CHOOSE(GetCSVIndex(A2,75+10206)+1,"","Station","Block","","Delay")</f>
        <v>#VALUE!</v>
      </c>
      <c r="G990" s="29" t="str" cm="1">
        <f t="array" ref="G990">GetCSVIndex(A2,76+10206)</f>
        <v/>
      </c>
      <c r="H990" s="45" t="str" cm="1">
        <f t="array" ref="H990">GetCSVIndex(A2,264+10206)</f>
        <v/>
      </c>
      <c r="I990" s="29" t="str" cm="1">
        <f t="array" ref="I990">GetCSVIndex(A2,327+10206)</f>
        <v/>
      </c>
      <c r="J990" s="25"/>
      <c r="K990" s="45">
        <v>46</v>
      </c>
      <c r="L990" s="29" t="e" cm="1">
        <f t="array" ref="L990">CHOOSE(GetCSVIndex(A2,171+10206)+1,"","Station","Block","","Delay")</f>
        <v>#VALUE!</v>
      </c>
      <c r="M990" s="29" t="str" cm="1">
        <f t="array" ref="M990">GetCSVIndex(A2,172+10206)</f>
        <v/>
      </c>
      <c r="N990" s="27" t="str" cm="1">
        <f t="array" ref="N990">GetCSVIndex(A2,296+10206)</f>
        <v/>
      </c>
      <c r="O990" s="43" t="str" cm="1">
        <f t="array" ref="O990">GetCSVIndex(A2,359+10206)</f>
        <v/>
      </c>
    </row>
    <row r="991" spans="1:15" ht="21" customHeight="1" x14ac:dyDescent="0.25">
      <c r="A991" s="39"/>
      <c r="B991" s="40"/>
      <c r="C991" s="41"/>
      <c r="D991" s="26"/>
      <c r="E991" s="45">
        <v>15</v>
      </c>
      <c r="F991" s="29" t="e" cm="1">
        <f t="array" ref="F991">CHOOSE(GetCSVIndex(A2,78+10206)+1,"","Station","Block","","Delay")</f>
        <v>#VALUE!</v>
      </c>
      <c r="G991" s="29" t="str" cm="1">
        <f t="array" ref="G991">GetCSVIndex(A2,79+10206)</f>
        <v/>
      </c>
      <c r="H991" s="45" t="str" cm="1">
        <f t="array" ref="H991">GetCSVIndex(A2,265+10206)</f>
        <v/>
      </c>
      <c r="I991" s="29" t="str" cm="1">
        <f t="array" ref="I991">GetCSVIndex(A2,328+10206)</f>
        <v/>
      </c>
      <c r="J991" s="26"/>
      <c r="K991" s="45">
        <v>47</v>
      </c>
      <c r="L991" s="29" t="e" cm="1">
        <f t="array" ref="L991">CHOOSE(GetCSVIndex(A2,174+10206)+1,"","Station","Block","","Delay")</f>
        <v>#VALUE!</v>
      </c>
      <c r="M991" s="29" t="str" cm="1">
        <f t="array" ref="M991">GetCSVIndex(A2,175+10206)</f>
        <v/>
      </c>
      <c r="N991" s="27" t="str" cm="1">
        <f t="array" ref="N991">GetCSVIndex(A2,297+10206)</f>
        <v/>
      </c>
      <c r="O991" s="43" t="str" cm="1">
        <f t="array" ref="O991">GetCSVIndex(A2,360+10206)</f>
        <v/>
      </c>
    </row>
    <row r="992" spans="1:15" ht="21" customHeight="1" x14ac:dyDescent="0.25">
      <c r="A992" s="42"/>
      <c r="B992" s="25"/>
      <c r="C992" s="25"/>
      <c r="D992" s="26"/>
      <c r="E992" s="45">
        <v>16</v>
      </c>
      <c r="F992" s="29" t="e" cm="1">
        <f t="array" ref="F992">CHOOSE(GetCSVIndex(A2,81+10206)+1,"","Station","Block","","Delay")</f>
        <v>#VALUE!</v>
      </c>
      <c r="G992" s="29" t="str" cm="1">
        <f t="array" ref="G992">GetCSVIndex(A2,82+10206)</f>
        <v/>
      </c>
      <c r="H992" s="45" t="str" cm="1">
        <f t="array" ref="H992">GetCSVIndex(A2,266+10206)</f>
        <v/>
      </c>
      <c r="I992" s="29" t="str" cm="1">
        <f t="array" ref="I992">GetCSVIndex(A2,329+10206)</f>
        <v/>
      </c>
      <c r="J992" s="25"/>
      <c r="K992" s="45">
        <v>48</v>
      </c>
      <c r="L992" s="29" t="e" cm="1">
        <f t="array" ref="L992">CHOOSE(GetCSVIndex(A2,177+10206)+1,"","Station","Block","","Delay")</f>
        <v>#VALUE!</v>
      </c>
      <c r="M992" s="29" t="str" cm="1">
        <f t="array" ref="M992">GetCSVIndex(A2,178+10206)</f>
        <v/>
      </c>
      <c r="N992" s="27" t="str" cm="1">
        <f t="array" ref="N992">GetCSVIndex(A2,298+10206)</f>
        <v/>
      </c>
      <c r="O992" s="43" t="str" cm="1">
        <f t="array" ref="O992">GetCSVIndex(A2,361+10206)</f>
        <v/>
      </c>
    </row>
    <row r="993" spans="1:15" ht="21" customHeight="1" x14ac:dyDescent="0.25">
      <c r="A993" s="42"/>
      <c r="B993" s="25"/>
      <c r="C993" s="25"/>
      <c r="D993" s="26"/>
      <c r="E993" s="45">
        <v>17</v>
      </c>
      <c r="F993" s="29" t="e" cm="1">
        <f t="array" ref="F993">CHOOSE(GetCSVIndex(A2,84+10206)+1,"","Station","Block","","Delay")</f>
        <v>#VALUE!</v>
      </c>
      <c r="G993" s="29" t="str" cm="1">
        <f t="array" ref="G993">GetCSVIndex(A2,85+10206)</f>
        <v/>
      </c>
      <c r="H993" s="45" t="str" cm="1">
        <f t="array" ref="H993">GetCSVIndex(A2,267+10206)</f>
        <v/>
      </c>
      <c r="I993" s="29" t="str" cm="1">
        <f t="array" ref="I993">GetCSVIndex(A2,330+10206)</f>
        <v/>
      </c>
      <c r="J993" s="26"/>
      <c r="K993" s="45">
        <v>49</v>
      </c>
      <c r="L993" s="29" t="e" cm="1">
        <f t="array" ref="L993">CHOOSE(GetCSVIndex(A2,180+10206)+1,"","Station","Block","","Delay")</f>
        <v>#VALUE!</v>
      </c>
      <c r="M993" s="29" t="str" cm="1">
        <f t="array" ref="M993">GetCSVIndex(A2,181+10206)</f>
        <v/>
      </c>
      <c r="N993" s="27" t="str" cm="1">
        <f t="array" ref="N993">GetCSVIndex(A2,299+10206)</f>
        <v/>
      </c>
      <c r="O993" s="43" t="str" cm="1">
        <f t="array" ref="O993">GetCSVIndex(A2,362+10206)</f>
        <v/>
      </c>
    </row>
    <row r="994" spans="1:15" ht="21" customHeight="1" x14ac:dyDescent="0.25">
      <c r="A994" s="42"/>
      <c r="B994" s="25"/>
      <c r="C994" s="25"/>
      <c r="D994" s="26"/>
      <c r="E994" s="45">
        <v>18</v>
      </c>
      <c r="F994" s="29" t="e" cm="1">
        <f t="array" ref="F994">CHOOSE(GetCSVIndex(A2,87+10206)+1,"","Station","Block","","Delay")</f>
        <v>#VALUE!</v>
      </c>
      <c r="G994" s="29" t="str" cm="1">
        <f t="array" ref="G994">GetCSVIndex(A2,88+10206)</f>
        <v/>
      </c>
      <c r="H994" s="45" t="str" cm="1">
        <f t="array" ref="H994">GetCSVIndex(A2,268+10206)</f>
        <v/>
      </c>
      <c r="I994" s="29" t="str" cm="1">
        <f t="array" ref="I994">GetCSVIndex(A2,331+10206)</f>
        <v/>
      </c>
      <c r="J994" s="26"/>
      <c r="K994" s="45">
        <v>50</v>
      </c>
      <c r="L994" s="29" t="e" cm="1">
        <f t="array" ref="L994">CHOOSE(GetCSVIndex(A2,183+10206)+1,"","Station","Block","","Delay")</f>
        <v>#VALUE!</v>
      </c>
      <c r="M994" s="29" t="str" cm="1">
        <f t="array" ref="M994">GetCSVIndex(A2,184+10206)</f>
        <v/>
      </c>
      <c r="N994" s="27" t="str" cm="1">
        <f t="array" ref="N994">GetCSVIndex(A2,300+10206)</f>
        <v/>
      </c>
      <c r="O994" s="43" t="str" cm="1">
        <f t="array" ref="O994">GetCSVIndex(A2,363+10206)</f>
        <v/>
      </c>
    </row>
    <row r="995" spans="1:15" ht="21" customHeight="1" x14ac:dyDescent="0.25">
      <c r="A995" s="42"/>
      <c r="B995" s="25"/>
      <c r="C995" s="25"/>
      <c r="D995" s="26"/>
      <c r="E995" s="45">
        <v>19</v>
      </c>
      <c r="F995" s="29" t="e" cm="1">
        <f t="array" ref="F995">CHOOSE(GetCSVIndex(A2,90+10206)+1,"","Station","Block","","Delay")</f>
        <v>#VALUE!</v>
      </c>
      <c r="G995" s="29" t="str" cm="1">
        <f t="array" ref="G995">GetCSVIndex(A2,91+10206)</f>
        <v/>
      </c>
      <c r="H995" s="45" t="str" cm="1">
        <f t="array" ref="H995">GetCSVIndex(A2,269+10206)</f>
        <v/>
      </c>
      <c r="I995" s="29" t="str" cm="1">
        <f t="array" ref="I995">GetCSVIndex(A2,332+10206)</f>
        <v/>
      </c>
      <c r="J995" s="26"/>
      <c r="K995" s="45">
        <v>51</v>
      </c>
      <c r="L995" s="29" t="e" cm="1">
        <f t="array" ref="L995">CHOOSE(GetCSVIndex(A2,186+10206)+1,"","Station","Block","","Delay")</f>
        <v>#VALUE!</v>
      </c>
      <c r="M995" s="29" t="str" cm="1">
        <f t="array" ref="M995">GetCSVIndex(A2,187+10206)</f>
        <v/>
      </c>
      <c r="N995" s="27" t="str" cm="1">
        <f t="array" ref="N995">GetCSVIndex(A2,301+10206)</f>
        <v/>
      </c>
      <c r="O995" s="43" t="str" cm="1">
        <f t="array" ref="O995">GetCSVIndex(A2,364+10206)</f>
        <v/>
      </c>
    </row>
    <row r="996" spans="1:15" ht="21" customHeight="1" x14ac:dyDescent="0.25">
      <c r="A996" s="42"/>
      <c r="B996" s="25"/>
      <c r="C996" s="25"/>
      <c r="D996" s="26"/>
      <c r="E996" s="45">
        <v>20</v>
      </c>
      <c r="F996" s="29" t="e" cm="1">
        <f t="array" ref="F996">CHOOSE(GetCSVIndex(A2,93+10206)+1,"","Station","Block","","Delay")</f>
        <v>#VALUE!</v>
      </c>
      <c r="G996" s="29" t="str" cm="1">
        <f t="array" ref="G996">GetCSVIndex(A2,94+10206)</f>
        <v/>
      </c>
      <c r="H996" s="45" t="str" cm="1">
        <f t="array" ref="H996">GetCSVIndex(A2,270+10206)</f>
        <v/>
      </c>
      <c r="I996" s="29" t="str" cm="1">
        <f t="array" ref="I996">GetCSVIndex(A2,333+10206)</f>
        <v/>
      </c>
      <c r="J996" s="26"/>
      <c r="K996" s="45">
        <v>52</v>
      </c>
      <c r="L996" s="29" t="e" cm="1">
        <f t="array" ref="L996">CHOOSE(GetCSVIndex(A2,189+10206)+1,"","Station","Block","","Delay")</f>
        <v>#VALUE!</v>
      </c>
      <c r="M996" s="29" t="str" cm="1">
        <f t="array" ref="M996">GetCSVIndex(A2,190+10206)</f>
        <v/>
      </c>
      <c r="N996" s="27" t="str" cm="1">
        <f t="array" ref="N996">GetCSVIndex(A2,302+10206)</f>
        <v/>
      </c>
      <c r="O996" s="43" t="str" cm="1">
        <f t="array" ref="O996">GetCSVIndex(A2,365+10206)</f>
        <v/>
      </c>
    </row>
    <row r="997" spans="1:15" ht="21" customHeight="1" x14ac:dyDescent="0.25">
      <c r="A997" s="42"/>
      <c r="B997" s="25"/>
      <c r="C997" s="25"/>
      <c r="D997" s="26"/>
      <c r="E997" s="45">
        <v>21</v>
      </c>
      <c r="F997" s="29" t="e" cm="1">
        <f t="array" ref="F997">CHOOSE(GetCSVIndex(A2,96+10206)+1,"","Station","Block","","Delay")</f>
        <v>#VALUE!</v>
      </c>
      <c r="G997" s="29" t="str" cm="1">
        <f t="array" ref="G997">GetCSVIndex(A2,97+10206)</f>
        <v/>
      </c>
      <c r="H997" s="45" t="str" cm="1">
        <f t="array" ref="H997">GetCSVIndex(A2,271+10206)</f>
        <v/>
      </c>
      <c r="I997" s="29" t="str" cm="1">
        <f t="array" ref="I997">GetCSVIndex(A2,334+10206)</f>
        <v/>
      </c>
      <c r="J997" s="26"/>
      <c r="K997" s="45">
        <v>53</v>
      </c>
      <c r="L997" s="29" t="e" cm="1">
        <f t="array" ref="L997">CHOOSE(GetCSVIndex(A2,192+10206)+1,"","Station","Block","","Delay")</f>
        <v>#VALUE!</v>
      </c>
      <c r="M997" s="29" t="str" cm="1">
        <f t="array" ref="M997">GetCSVIndex(A2,193+10206)</f>
        <v/>
      </c>
      <c r="N997" s="27" t="str" cm="1">
        <f t="array" ref="N997">GetCSVIndex(A2,303+10206)</f>
        <v/>
      </c>
      <c r="O997" s="43" t="str" cm="1">
        <f t="array" ref="O997">GetCSVIndex(A2,366+10206)</f>
        <v/>
      </c>
    </row>
    <row r="998" spans="1:15" ht="21" customHeight="1" x14ac:dyDescent="0.25">
      <c r="A998" s="42"/>
      <c r="B998" s="25"/>
      <c r="C998" s="25"/>
      <c r="D998" s="26"/>
      <c r="E998" s="45">
        <v>22</v>
      </c>
      <c r="F998" s="29" t="e" cm="1">
        <f t="array" ref="F998">CHOOSE(GetCSVIndex(A2,99+10206)+1,"","Station","Block","","Delay")</f>
        <v>#VALUE!</v>
      </c>
      <c r="G998" s="29" t="str" cm="1">
        <f t="array" ref="G998">GetCSVIndex(A2,100+10206)</f>
        <v/>
      </c>
      <c r="H998" s="45" t="str" cm="1">
        <f t="array" ref="H998">GetCSVIndex(A2,272+10206)</f>
        <v/>
      </c>
      <c r="I998" s="29" t="str" cm="1">
        <f t="array" ref="I998">GetCSVIndex(A2,335+10206)</f>
        <v/>
      </c>
      <c r="J998" s="26"/>
      <c r="K998" s="45">
        <v>54</v>
      </c>
      <c r="L998" s="29" t="e" cm="1">
        <f t="array" ref="L998">CHOOSE(GetCSVIndex(A2,195+10206)+1,"","Station","Block","","Delay")</f>
        <v>#VALUE!</v>
      </c>
      <c r="M998" s="29" t="str" cm="1">
        <f t="array" ref="M998">GetCSVIndex(A2,196+10206)</f>
        <v/>
      </c>
      <c r="N998" s="27" t="str" cm="1">
        <f t="array" ref="N998">GetCSVIndex(A2,304+10206)</f>
        <v/>
      </c>
      <c r="O998" s="43" t="str" cm="1">
        <f t="array" ref="O998">GetCSVIndex(A2,367+10206)</f>
        <v/>
      </c>
    </row>
    <row r="999" spans="1:15" ht="21" customHeight="1" x14ac:dyDescent="0.25">
      <c r="A999" s="42"/>
      <c r="B999" s="25"/>
      <c r="C999" s="25"/>
      <c r="D999" s="26"/>
      <c r="E999" s="45">
        <v>23</v>
      </c>
      <c r="F999" s="29" t="e" cm="1">
        <f t="array" ref="F999">CHOOSE(GetCSVIndex(A2,102+10206)+1,"","Station","Block","","Delay")</f>
        <v>#VALUE!</v>
      </c>
      <c r="G999" s="29" t="str" cm="1">
        <f t="array" ref="G999">GetCSVIndex(A2,103+10206)</f>
        <v/>
      </c>
      <c r="H999" s="45" t="str" cm="1">
        <f t="array" ref="H999">GetCSVIndex(A2,273+10206)</f>
        <v/>
      </c>
      <c r="I999" s="29" t="str" cm="1">
        <f t="array" ref="I999">GetCSVIndex(A2,336+10206)</f>
        <v/>
      </c>
      <c r="J999" s="26"/>
      <c r="K999" s="45">
        <v>55</v>
      </c>
      <c r="L999" s="29" t="e" cm="1">
        <f t="array" ref="L999">CHOOSE(GetCSVIndex(A2,198+10206)+1,"","Station","Block","","Delay")</f>
        <v>#VALUE!</v>
      </c>
      <c r="M999" s="29" t="str" cm="1">
        <f t="array" ref="M999">GetCSVIndex(A2,199+10206)</f>
        <v/>
      </c>
      <c r="N999" s="27" t="str" cm="1">
        <f t="array" ref="N999">GetCSVIndex(A2,305+10206)</f>
        <v/>
      </c>
      <c r="O999" s="43" t="str" cm="1">
        <f t="array" ref="O999">GetCSVIndex(A2,368+10206)</f>
        <v/>
      </c>
    </row>
    <row r="1000" spans="1:15" ht="21" customHeight="1" x14ac:dyDescent="0.25">
      <c r="A1000" s="42"/>
      <c r="B1000" s="25"/>
      <c r="C1000" s="25"/>
      <c r="D1000" s="26"/>
      <c r="E1000" s="45">
        <v>24</v>
      </c>
      <c r="F1000" s="29" t="e" cm="1">
        <f t="array" ref="F1000">CHOOSE(GetCSVIndex(A2,105+10206)+1,"","Station","Block","","Delay")</f>
        <v>#VALUE!</v>
      </c>
      <c r="G1000" s="29" t="str" cm="1">
        <f t="array" ref="G1000">GetCSVIndex(A2,106+10206)</f>
        <v/>
      </c>
      <c r="H1000" s="45" t="str" cm="1">
        <f t="array" ref="H1000">GetCSVIndex(A2,274+10206)</f>
        <v/>
      </c>
      <c r="I1000" s="29" t="str" cm="1">
        <f t="array" ref="I1000">GetCSVIndex(A2,337+10206)</f>
        <v/>
      </c>
      <c r="J1000" s="26"/>
      <c r="K1000" s="45">
        <v>56</v>
      </c>
      <c r="L1000" s="29" t="e" cm="1">
        <f t="array" ref="L1000">CHOOSE(GetCSVIndex(A2,201+10206)+1,"","Station","Block","","Delay")</f>
        <v>#VALUE!</v>
      </c>
      <c r="M1000" s="29" t="str" cm="1">
        <f t="array" ref="M1000">GetCSVIndex(A2,202+10206)</f>
        <v/>
      </c>
      <c r="N1000" s="27" t="str" cm="1">
        <f t="array" ref="N1000">GetCSVIndex(A2,306+10206)</f>
        <v/>
      </c>
      <c r="O1000" s="43" t="str" cm="1">
        <f t="array" ref="O1000">GetCSVIndex(A2,369+10206)</f>
        <v/>
      </c>
    </row>
    <row r="1001" spans="1:15" ht="21" customHeight="1" x14ac:dyDescent="0.25">
      <c r="A1001" s="42"/>
      <c r="B1001" s="25"/>
      <c r="C1001" s="25"/>
      <c r="D1001" s="26"/>
      <c r="E1001" s="45">
        <v>25</v>
      </c>
      <c r="F1001" s="29" t="e" cm="1">
        <f t="array" ref="F1001">CHOOSE(GetCSVIndex(A2,108+10206)+1,"","Station","Block","","Delay")</f>
        <v>#VALUE!</v>
      </c>
      <c r="G1001" s="29" t="str" cm="1">
        <f t="array" ref="G1001">GetCSVIndex(A2,109+10206)</f>
        <v/>
      </c>
      <c r="H1001" s="45" t="str" cm="1">
        <f t="array" ref="H1001">GetCSVIndex(A2,275+10206)</f>
        <v/>
      </c>
      <c r="I1001" s="29" t="str" cm="1">
        <f t="array" ref="I1001">GetCSVIndex(A2,338+10206)</f>
        <v/>
      </c>
      <c r="J1001" s="26"/>
      <c r="K1001" s="45">
        <v>57</v>
      </c>
      <c r="L1001" s="29" t="e" cm="1">
        <f t="array" ref="L1001">CHOOSE(GetCSVIndex(A2,204+10206)+1,"","Station","Block","","Delay")</f>
        <v>#VALUE!</v>
      </c>
      <c r="M1001" s="29" t="str" cm="1">
        <f t="array" ref="M1001">GetCSVIndex(A2,205+10206)</f>
        <v/>
      </c>
      <c r="N1001" s="27" t="str" cm="1">
        <f t="array" ref="N1001">GetCSVIndex(A2,307+10206)</f>
        <v/>
      </c>
      <c r="O1001" s="43" t="str" cm="1">
        <f t="array" ref="O1001">GetCSVIndex(A2,370+10206)</f>
        <v/>
      </c>
    </row>
    <row r="1002" spans="1:15" ht="21" customHeight="1" x14ac:dyDescent="0.25">
      <c r="A1002" s="42"/>
      <c r="B1002" s="25"/>
      <c r="C1002" s="25"/>
      <c r="D1002" s="26"/>
      <c r="E1002" s="45">
        <v>26</v>
      </c>
      <c r="F1002" s="29" t="e" cm="1">
        <f t="array" ref="F1002">CHOOSE(GetCSVIndex(A2,111+10206)+1,"","Station","Block","","Delay")</f>
        <v>#VALUE!</v>
      </c>
      <c r="G1002" s="29" t="str" cm="1">
        <f t="array" ref="G1002">GetCSVIndex(A2,112+10206)</f>
        <v/>
      </c>
      <c r="H1002" s="45" t="str" cm="1">
        <f t="array" ref="H1002">GetCSVIndex(A2,276+10206)</f>
        <v/>
      </c>
      <c r="I1002" s="29" t="str" cm="1">
        <f t="array" ref="I1002">GetCSVIndex(A2,339+10206)</f>
        <v/>
      </c>
      <c r="J1002" s="26"/>
      <c r="K1002" s="45">
        <v>58</v>
      </c>
      <c r="L1002" s="29" t="e" cm="1">
        <f t="array" ref="L1002">CHOOSE(GetCSVIndex(A2,207+10206)+1,"","Station","Block","","Delay")</f>
        <v>#VALUE!</v>
      </c>
      <c r="M1002" s="29" t="str" cm="1">
        <f t="array" ref="M1002">GetCSVIndex(A2,208+10206)</f>
        <v/>
      </c>
      <c r="N1002" s="27" t="str" cm="1">
        <f t="array" ref="N1002">GetCSVIndex(A2,308+10206)</f>
        <v/>
      </c>
      <c r="O1002" s="43" t="str" cm="1">
        <f t="array" ref="O1002">GetCSVIndex(A2,371+10206)</f>
        <v/>
      </c>
    </row>
    <row r="1003" spans="1:15" ht="21" customHeight="1" x14ac:dyDescent="0.25">
      <c r="A1003" s="42"/>
      <c r="B1003" s="25"/>
      <c r="C1003" s="25"/>
      <c r="D1003" s="26"/>
      <c r="E1003" s="45">
        <v>27</v>
      </c>
      <c r="F1003" s="29" t="e" cm="1">
        <f t="array" ref="F1003">CHOOSE(GetCSVIndex(A2,114+10206)+1,"","Station","Block","","Delay")</f>
        <v>#VALUE!</v>
      </c>
      <c r="G1003" s="29" t="str" cm="1">
        <f t="array" ref="G1003">GetCSVIndex(A2,115+10206)</f>
        <v/>
      </c>
      <c r="H1003" s="45" t="str" cm="1">
        <f t="array" ref="H1003">GetCSVIndex(A2,277+10206)</f>
        <v/>
      </c>
      <c r="I1003" s="29" t="str" cm="1">
        <f t="array" ref="I1003">GetCSVIndex(A2,340+10206)</f>
        <v/>
      </c>
      <c r="J1003" s="26"/>
      <c r="K1003" s="45">
        <v>59</v>
      </c>
      <c r="L1003" s="29" t="e" cm="1">
        <f t="array" ref="L1003">CHOOSE(GetCSVIndex(A2,210+10206)+1,"","Station","Block","","Delay")</f>
        <v>#VALUE!</v>
      </c>
      <c r="M1003" s="29" t="str" cm="1">
        <f t="array" ref="M1003">GetCSVIndex(A2,211+10206)</f>
        <v/>
      </c>
      <c r="N1003" s="27" t="str" cm="1">
        <f t="array" ref="N1003">GetCSVIndex(A2,309+10206)</f>
        <v/>
      </c>
      <c r="O1003" s="43" t="str" cm="1">
        <f t="array" ref="O1003">GetCSVIndex(A2,372+10206)</f>
        <v/>
      </c>
    </row>
    <row r="1004" spans="1:15" ht="21" customHeight="1" x14ac:dyDescent="0.25">
      <c r="A1004" s="42"/>
      <c r="B1004" s="25"/>
      <c r="C1004" s="25"/>
      <c r="D1004" s="26"/>
      <c r="E1004" s="45">
        <v>28</v>
      </c>
      <c r="F1004" s="29" t="e" cm="1">
        <f t="array" ref="F1004">CHOOSE(GetCSVIndex(A2,117+10206)+1,"","Station","Block","","Delay")</f>
        <v>#VALUE!</v>
      </c>
      <c r="G1004" s="29" t="str" cm="1">
        <f t="array" ref="G1004">GetCSVIndex(A2,118+10206)</f>
        <v/>
      </c>
      <c r="H1004" s="45" t="str" cm="1">
        <f t="array" ref="H1004">GetCSVIndex(A2,278+10206)</f>
        <v/>
      </c>
      <c r="I1004" s="29" t="str" cm="1">
        <f t="array" ref="I1004">GetCSVIndex(A2,341+10206)</f>
        <v/>
      </c>
      <c r="J1004" s="26"/>
      <c r="K1004" s="45">
        <v>60</v>
      </c>
      <c r="L1004" s="29" t="e" cm="1">
        <f t="array" ref="L1004">CHOOSE(GetCSVIndex(A2,213+10206)+1,"","Station","Block","","Delay")</f>
        <v>#VALUE!</v>
      </c>
      <c r="M1004" s="29" t="str" cm="1">
        <f t="array" ref="M1004">GetCSVIndex(A2,214+10206)</f>
        <v/>
      </c>
      <c r="N1004" s="27" t="str" cm="1">
        <f t="array" ref="N1004">GetCSVIndex(A2,310+10206)</f>
        <v/>
      </c>
      <c r="O1004" s="43" t="str" cm="1">
        <f t="array" ref="O1004">GetCSVIndex(A2,373+10206)</f>
        <v/>
      </c>
    </row>
    <row r="1005" spans="1:15" ht="21" customHeight="1" x14ac:dyDescent="0.25">
      <c r="A1005" s="42"/>
      <c r="B1005" s="25"/>
      <c r="C1005" s="25"/>
      <c r="D1005" s="26"/>
      <c r="E1005" s="45">
        <v>29</v>
      </c>
      <c r="F1005" s="29" t="e" cm="1">
        <f t="array" ref="F1005">CHOOSE(GetCSVIndex(A2,120+10206)+1,"","Station","Block","","Delay")</f>
        <v>#VALUE!</v>
      </c>
      <c r="G1005" s="29" t="str" cm="1">
        <f t="array" ref="G1005">GetCSVIndex(A2,121+10206)</f>
        <v/>
      </c>
      <c r="H1005" s="45" t="str" cm="1">
        <f t="array" ref="H1005">GetCSVIndex(A2,279+10206)</f>
        <v/>
      </c>
      <c r="I1005" s="29" t="str" cm="1">
        <f t="array" ref="I1005">GetCSVIndex(A2,342+10206)</f>
        <v/>
      </c>
      <c r="J1005" s="26"/>
      <c r="K1005" s="45">
        <v>61</v>
      </c>
      <c r="L1005" s="29" t="e" cm="1">
        <f t="array" ref="L1005">CHOOSE(GetCSVIndex(A2,216+10206)+1,"","Station","Block","","Delay")</f>
        <v>#VALUE!</v>
      </c>
      <c r="M1005" s="29" t="str" cm="1">
        <f t="array" ref="M1005">GetCSVIndex(A2,217+10206)</f>
        <v/>
      </c>
      <c r="N1005" s="27" t="str" cm="1">
        <f t="array" ref="N1005">GetCSVIndex(A2,311+10206)</f>
        <v/>
      </c>
      <c r="O1005" s="43" t="str" cm="1">
        <f t="array" ref="O1005">GetCSVIndex(A2,374+10206)</f>
        <v/>
      </c>
    </row>
    <row r="1006" spans="1:15" ht="21" customHeight="1" x14ac:dyDescent="0.25">
      <c r="A1006" s="42"/>
      <c r="B1006" s="25"/>
      <c r="C1006" s="25"/>
      <c r="D1006" s="26"/>
      <c r="E1006" s="45">
        <v>30</v>
      </c>
      <c r="F1006" s="29" t="e" cm="1">
        <f t="array" ref="F1006">CHOOSE(GetCSVIndex(A2,123+10206)+1,"","Station","Block","","Delay")</f>
        <v>#VALUE!</v>
      </c>
      <c r="G1006" s="29" t="str" cm="1">
        <f t="array" ref="G1006">GetCSVIndex(A2,124+10206)</f>
        <v/>
      </c>
      <c r="H1006" s="45" t="str" cm="1">
        <f t="array" ref="H1006">GetCSVIndex(A2,280+10206)</f>
        <v/>
      </c>
      <c r="I1006" s="29" t="str" cm="1">
        <f t="array" ref="I1006">GetCSVIndex(A2,343+10206)</f>
        <v/>
      </c>
      <c r="J1006" s="26"/>
      <c r="K1006" s="45">
        <v>62</v>
      </c>
      <c r="L1006" s="29" t="e" cm="1">
        <f t="array" ref="L1006">CHOOSE(GetCSVIndex(A2,219+10206)+1,"","Station","Block","","Delay")</f>
        <v>#VALUE!</v>
      </c>
      <c r="M1006" s="29" t="str" cm="1">
        <f t="array" ref="M1006">GetCSVIndex(A2,220+10206)</f>
        <v/>
      </c>
      <c r="N1006" s="27" t="str" cm="1">
        <f t="array" ref="N1006">GetCSVIndex(A2,312+10206)</f>
        <v/>
      </c>
      <c r="O1006" s="43" t="str" cm="1">
        <f t="array" ref="O1006">GetCSVIndex(A2,375+10206)</f>
        <v/>
      </c>
    </row>
    <row r="1007" spans="1:15" ht="21" customHeight="1" x14ac:dyDescent="0.25">
      <c r="A1007" s="42"/>
      <c r="B1007" s="25"/>
      <c r="C1007" s="25"/>
      <c r="D1007" s="26"/>
      <c r="E1007" s="45">
        <v>31</v>
      </c>
      <c r="F1007" s="29" t="e" cm="1">
        <f t="array" ref="F1007">CHOOSE(GetCSVIndex(A2,126+10206)+1,"","Station","Block","","Delay")</f>
        <v>#VALUE!</v>
      </c>
      <c r="G1007" s="29" t="str" cm="1">
        <f t="array" ref="G1007">GetCSVIndex(A2,127+10206)</f>
        <v/>
      </c>
      <c r="H1007" s="45" t="str" cm="1">
        <f t="array" ref="H1007">GetCSVIndex(A2,281+10206)</f>
        <v/>
      </c>
      <c r="I1007" s="29" t="str" cm="1">
        <f t="array" ref="I1007">GetCSVIndex(A2,344+10206)</f>
        <v/>
      </c>
      <c r="J1007" s="26"/>
      <c r="K1007" s="45">
        <v>63</v>
      </c>
      <c r="L1007" s="29" t="e" cm="1">
        <f t="array" ref="L1007">CHOOSE(GetCSVIndex(A2,222+10206)+1,"","Station","Block","","Delay")</f>
        <v>#VALUE!</v>
      </c>
      <c r="M1007" s="29" t="str" cm="1">
        <f t="array" ref="M1007">GetCSVIndex(A2,223+10206)</f>
        <v/>
      </c>
      <c r="N1007" s="27" t="str" cm="1">
        <f t="array" ref="N1007">GetCSVIndex(A2,313+10206)</f>
        <v/>
      </c>
      <c r="O1007" s="43" t="str" cm="1">
        <f t="array" ref="O1007">GetCSVIndex(A2,376+10206)</f>
        <v/>
      </c>
    </row>
    <row r="1008" spans="1:15" ht="21" customHeight="1" x14ac:dyDescent="0.25">
      <c r="A1008" s="37"/>
      <c r="B1008" s="28"/>
      <c r="C1008" s="29"/>
      <c r="D1008" s="29"/>
      <c r="E1008" s="45">
        <v>32</v>
      </c>
      <c r="F1008" s="29" t="e" cm="1">
        <f t="array" ref="F1008">CHOOSE(GetCSVIndex(A2,129+10206)+1,"","Station","Block","","Delay")</f>
        <v>#VALUE!</v>
      </c>
      <c r="G1008" s="29" t="str" cm="1">
        <f t="array" ref="G1008">GetCSVIndex(A2,130+10206)</f>
        <v/>
      </c>
      <c r="H1008" s="45" t="str" cm="1">
        <f t="array" ref="H1008">GetCSVIndex(A2,282+10206)</f>
        <v/>
      </c>
      <c r="I1008" s="29" t="str" cm="1">
        <f t="array" ref="I1008">GetCSVIndex(A2,345+10206)</f>
        <v/>
      </c>
      <c r="J1008" s="29"/>
      <c r="K1008" s="45">
        <v>64</v>
      </c>
      <c r="L1008" s="29" t="e" cm="1">
        <f t="array" ref="L1008">CHOOSE(GetCSVIndex(A2,225+10206)+1,"","Station","Block","","Delay")</f>
        <v>#VALUE!</v>
      </c>
      <c r="M1008" s="29" t="str" cm="1">
        <f t="array" ref="M1008">GetCSVIndex(A2,226+10206)</f>
        <v/>
      </c>
      <c r="N1008" s="27" t="str" cm="1">
        <f t="array" ref="N1008">GetCSVIndex(A2,314+10206)</f>
        <v/>
      </c>
      <c r="O1008" s="43" t="str" cm="1">
        <f t="array" ref="O1008">GetCSVIndex(A2,377+10206)</f>
        <v/>
      </c>
    </row>
    <row r="1009" spans="1:15" ht="23.25" customHeight="1" x14ac:dyDescent="0.25">
      <c r="A1009" s="51" t="str" cm="1">
        <f t="array" ref="A1009">CONCATENATE("Schedule  Program Number : ", GetCSVIndex(A2,5+10584))</f>
        <v xml:space="preserve">Schedule  Program Number : </v>
      </c>
      <c r="B1009" s="52"/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3"/>
    </row>
    <row r="1010" spans="1:15" ht="21" customHeight="1" x14ac:dyDescent="0.25">
      <c r="A1010" s="20" t="s">
        <v>44</v>
      </c>
      <c r="B1010" s="22" t="str" cm="1">
        <f t="array" ref="B1010">GetCSVIndex(A2,5+10584)</f>
        <v/>
      </c>
      <c r="C1010" s="18"/>
      <c r="D1010" s="18"/>
      <c r="E1010" s="18"/>
      <c r="F1010" s="18"/>
      <c r="G1010" s="18" t="s">
        <v>19</v>
      </c>
      <c r="H1010" s="18" t="e" cm="1">
        <f t="array" ref="H1010">CHOOSE(GetCSVIndex(A2,7+10584)+1, "Days of Week", "Odd/Even", "Interval","Manual")</f>
        <v>#VALUE!</v>
      </c>
      <c r="I1010" s="18"/>
      <c r="J1010" s="15"/>
      <c r="K1010" s="15"/>
      <c r="L1010" s="15"/>
      <c r="M1010" s="15"/>
      <c r="N1010" s="15"/>
      <c r="O1010" s="16"/>
    </row>
    <row r="1011" spans="1:15" ht="18" customHeight="1" x14ac:dyDescent="0.25">
      <c r="A1011" s="21" t="s">
        <v>20</v>
      </c>
      <c r="B1011" s="19" t="e" cm="1">
        <f t="array" ref="B1011">CHOOSE(GetCSVIndex(A2,24+10584)+1, "Program", "Global", "Monthly","Solar Sync")</f>
        <v>#VALUE!</v>
      </c>
      <c r="C1011" s="19"/>
      <c r="D1011" s="19"/>
      <c r="E1011" s="19"/>
      <c r="F1011" s="19" t="s">
        <v>21</v>
      </c>
      <c r="G1011" s="19" t="e" cm="1">
        <f t="array" ref="G1011">IF(CHOOSE(GetCSVIndex(A2,7+10584)+1,IF(_xlfn.BITAND(GetCSVIndex(A2,8+10584), 2^0)=0, 0, 1),IF(_xlfn.BITAND(GetCSVIndex(A2,9+10584), 2^0)=0, 0, 1),IF(_xlfn.BITAND(GetCSVIndex(A2,10+10584), 2^0)=0, 0, 1)) =1,"Mon","")</f>
        <v>#VALUE!</v>
      </c>
      <c r="H1011" s="19" t="e" cm="1">
        <f t="array" ref="H1011">CONCATENATE(IF(CHOOSE(GetCSVIndex(A2,7+10584)+1,IF(_xlfn.BITAND(GetCSVIndex(A2,8+10584), 2^1)=0, 0, 1),IF(_xlfn.BITAND(GetCSVIndex(A2,9+10584), 2^1)=0, 0, 1),IF(_xlfn.BITAND(GetCSVIndex(A2,10+10584), 2^1)=0, 0, 1)) =1,"Tue       ","       "),IF(CHOOSE(GetCSVIndex(A2,7+10584)+1,IF(_xlfn.BITAND(GetCSVIndex(A2,8+10584), 2^2)=0, 0, 1),IF(_xlfn.BITAND(GetCSVIndex(A2,9+10584), 2^2)=0, 0, 1),IF(_xlfn.BITAND(GetCSVIndex(A2,10+10584), 2^2)=0, 0, 1)) =1,"Wed",""),IF(CHOOSE(GetCSVIndex(A2,7+10584)+1,IF(_xlfn.BITAND(GetCSVIndex(A2,8+10584), 2^3)=0, 0, 1),IF(_xlfn.BITAND(GetCSVIndex(A2,9+10584), 2^3)=0, 0, 1),IF(_xlfn.BITAND(GetCSVIndex(A2,10+10584), 2^3)=0, 0, 1)) =1,"       Thu","       "))</f>
        <v>#VALUE!</v>
      </c>
      <c r="I1011" s="32" t="e" cm="1">
        <f t="array" ref="I1011">CONCATENATE(IF(CHOOSE(GetCSVIndex(A2,7+10584)+1,IF(_xlfn.BITAND(GetCSVIndex(A2,8+10584), 2^4)=0, 0, 1),IF(_xlfn.BITAND(GetCSVIndex(A2,9+10584), 2^4)=0, 0, 1),IF(_xlfn.BITAND(GetCSVIndex(A2,10+10584), 2^4)=0, 0, 1)) =1,"Fri       ","       "),IF(CHOOSE(GetCSVIndex(A2,7+10584)+1,IF(_xlfn.BITAND(GetCSVIndex(A2,8+10584), 2^5)=0, 0, 1),IF(_xlfn.BITAND(GetCSVIndex(A2,9+10584), 2^5)=0, 0, 1),IF(_xlfn.BITAND(GetCSVIndex(A2,10+10584), 2^5)=0, 0, 1)) =1,"Sat",""),IF(CHOOSE(GetCSVIndex(A2,7+10584)+1,IF(_xlfn.BITAND(GetCSVIndex(A2,8+10584), 2^6)=0, 0, 1),IF(_xlfn.BITAND(GetCSVIndex(A2,9+10584), 2^6)=0, 0, 1),IF(_xlfn.BITAND(GetCSVIndex(A2,10+10584), 2^6)=0, 0, 1)) =1,"       Sun","       "))</f>
        <v>#VALUE!</v>
      </c>
      <c r="J1011" s="19"/>
      <c r="K1011" s="19"/>
      <c r="L1011" s="32" t="s">
        <v>22</v>
      </c>
      <c r="M1011" s="19"/>
      <c r="N1011" s="19" t="str" cm="1">
        <f t="array" ref="N1011">IF(GetCSVIndex(A2,26+10584)="1","Enable","Disable")</f>
        <v>Disable</v>
      </c>
      <c r="O1011" s="24"/>
    </row>
    <row r="1012" spans="1:15" ht="18" customHeight="1" x14ac:dyDescent="0.25">
      <c r="A1012" s="21" t="str" cm="1">
        <f t="array" ref="A1012">CONCATENATE("Program ", GetCSVIndex(A2,5+10584))</f>
        <v xml:space="preserve">Program </v>
      </c>
      <c r="B1012" s="23" t="str" cm="1">
        <f t="array" ref="B1012">CONCATENATE(GetCSVIndex(A2,25+10584)," %")</f>
        <v xml:space="preserve"> %</v>
      </c>
      <c r="C1012" s="19"/>
      <c r="D1012" s="19"/>
      <c r="E1012" s="19"/>
      <c r="F1012" s="19" t="str" cm="1">
        <f t="array" ref="F1012">IF(GetCSVIndex(A2,7)="2","Water Every"," ")</f>
        <v xml:space="preserve"> </v>
      </c>
      <c r="G1012" s="47" t="str" cm="1">
        <f t="array" ref="G1012">IF(GetCSVIndex(A2,7+10584)="2",GetCSVIndex(A2,11+10584)," ")</f>
        <v xml:space="preserve"> </v>
      </c>
      <c r="H1012" s="19" t="str" cm="1">
        <f t="array" ref="H1012">IF(GetCSVIndex(A2,7+10584)="2","Days"," ")</f>
        <v xml:space="preserve"> </v>
      </c>
      <c r="I1012" s="32" t="str" cm="1">
        <f t="array" ref="I1012">IF(GetCSVIndex(A2,7+10584)="2","Water After"," ")</f>
        <v xml:space="preserve"> </v>
      </c>
      <c r="J1012" s="19"/>
      <c r="K1012" s="19" t="str" cm="1">
        <f t="array" ref="K1012">IF(GetCSVIndex(A2,7+10584)="2",GetCSVIndex(A2,12+10584)," ")</f>
        <v xml:space="preserve"> </v>
      </c>
      <c r="L1012" s="47" t="str" cm="1">
        <f t="array" ref="L1012">IF(GetCSVIndex(A2,7+10584)="2","Days"," ")</f>
        <v xml:space="preserve"> </v>
      </c>
      <c r="M1012" s="32"/>
      <c r="N1012" s="32"/>
      <c r="O1012" s="24"/>
    </row>
    <row r="1013" spans="1:15" ht="21" customHeight="1" x14ac:dyDescent="0.25">
      <c r="A1013" s="20" t="s">
        <v>23</v>
      </c>
      <c r="B1013" s="18" t="s">
        <v>24</v>
      </c>
      <c r="C1013" s="18" t="str" cm="1">
        <f t="array" ref="C1013">CHOOSE(GetCSVIndex(A2,13)+1, "Auto", "Start to End","Manual")</f>
        <v>Start to End</v>
      </c>
      <c r="D1013" s="31"/>
      <c r="E1013" s="17" t="s">
        <v>38</v>
      </c>
      <c r="F1013" s="18" t="s">
        <v>39</v>
      </c>
      <c r="G1013" s="18" t="s">
        <v>40</v>
      </c>
      <c r="H1013" s="18" t="s">
        <v>41</v>
      </c>
      <c r="I1013" s="18" t="s">
        <v>43</v>
      </c>
      <c r="J1013" s="31"/>
      <c r="K1013" s="17" t="s">
        <v>38</v>
      </c>
      <c r="L1013" s="18" t="s">
        <v>39</v>
      </c>
      <c r="M1013" s="18" t="s">
        <v>40</v>
      </c>
      <c r="N1013" s="22" t="s">
        <v>41</v>
      </c>
      <c r="O1013" s="44" t="s">
        <v>42</v>
      </c>
    </row>
    <row r="1014" spans="1:15" ht="21" customHeight="1" x14ac:dyDescent="0.25">
      <c r="A1014" s="36" t="s">
        <v>25</v>
      </c>
      <c r="B1014" s="46" t="str" cm="1">
        <f t="array" ref="B1014">IF(GetCSVIndex(A2,6+10584)="1","Over","Stack")</f>
        <v>Stack</v>
      </c>
      <c r="C1014" s="26" t="str" cm="1">
        <f t="array" ref="C1014">GetCSVIndex(A2,29+10584)</f>
        <v/>
      </c>
      <c r="D1014" s="25"/>
      <c r="E1014" s="45">
        <v>1</v>
      </c>
      <c r="F1014" s="29" t="e" cm="1">
        <f t="array" ref="F1014">CHOOSE(GetCSVIndex(A2,36+10584)+1,"","Station","Block","","Delay")</f>
        <v>#VALUE!</v>
      </c>
      <c r="G1014" s="29" t="str" cm="1">
        <f t="array" ref="G1014">GetCSVIndex(A2,37+10584)</f>
        <v/>
      </c>
      <c r="H1014" s="45" t="str" cm="1">
        <f t="array" ref="H1014">GetCSVIndex(A2,3+10584)</f>
        <v/>
      </c>
      <c r="I1014" s="29" t="str" cm="1">
        <f t="array" ref="I1014">GetCSVIndex(A2,1+10584)</f>
        <v/>
      </c>
      <c r="J1014" s="25"/>
      <c r="K1014" s="45">
        <v>33</v>
      </c>
      <c r="L1014" s="29" t="e" cm="1">
        <f t="array" ref="L1014">CHOOSE(GetCSVIndex(A2,132+10584)+1,"","Station","Block","","Delay")</f>
        <v>#VALUE!</v>
      </c>
      <c r="M1014" s="29" t="str" cm="1">
        <f t="array" ref="M1014">GetCSVIndex(A2,133+10584)</f>
        <v/>
      </c>
      <c r="N1014" s="27" t="str" cm="1">
        <f t="array" ref="N1014">GetCSVIndex(A2,283+10584)</f>
        <v/>
      </c>
      <c r="O1014" s="43" t="str" cm="1">
        <f t="array" ref="O1014">GetCSVIndex(A2,346+10584)</f>
        <v/>
      </c>
    </row>
    <row r="1015" spans="1:15" ht="21" customHeight="1" x14ac:dyDescent="0.25">
      <c r="A1015" s="36" t="s">
        <v>26</v>
      </c>
      <c r="B1015" s="25" t="str" cm="1">
        <f t="array" ref="B1015">IF(GetCSVIndex(A2,2+10584)="1092:15","Not Set",CONCATENATE("From     ",GetCSVIndex(A2,2+10584)))</f>
        <v xml:space="preserve">From     </v>
      </c>
      <c r="C1015" s="26" t="str" cm="1">
        <f t="array" ref="C1015">IF(GetCSVIndex(C4,1+54)="1092:15","Not Set",CONCATENATE("To     ",GetCSVIndex(C4,1+54)))</f>
        <v xml:space="preserve">To     </v>
      </c>
      <c r="D1015" s="25"/>
      <c r="E1015" s="45">
        <v>2</v>
      </c>
      <c r="F1015" s="29" t="e" cm="1">
        <f t="array" ref="F1015">CHOOSE(GetCSVIndex(A2,39+10584)+1,"","Station","Block","","Delay")</f>
        <v>#VALUE!</v>
      </c>
      <c r="G1015" s="29" t="str" cm="1">
        <f t="array" ref="G1015">GetCSVIndex(A2,40+10584)</f>
        <v/>
      </c>
      <c r="H1015" s="45" t="str" cm="1">
        <f t="array" ref="H1015">GetCSVIndex(A2,252+10584)</f>
        <v/>
      </c>
      <c r="I1015" s="29" t="str" cm="1">
        <f t="array" ref="I1015">GetCSVIndex(A2,315+10584)</f>
        <v/>
      </c>
      <c r="J1015" s="25"/>
      <c r="K1015" s="45">
        <v>34</v>
      </c>
      <c r="L1015" s="29" t="e" cm="1">
        <f t="array" ref="L1015">CHOOSE(GetCSVIndex(A2,135+10584)+1,"","Station","Block","","Delay")</f>
        <v>#VALUE!</v>
      </c>
      <c r="M1015" s="29" t="str" cm="1">
        <f t="array" ref="M1015">GetCSVIndex(A2,136+10584)</f>
        <v/>
      </c>
      <c r="N1015" s="27" t="str" cm="1">
        <f t="array" ref="N1015">GetCSVIndex(A2,284+10584)</f>
        <v/>
      </c>
      <c r="O1015" s="43" t="str" cm="1">
        <f t="array" ref="O1015">GetCSVIndex(A2,347+10584)</f>
        <v/>
      </c>
    </row>
    <row r="1016" spans="1:15" ht="21" customHeight="1" x14ac:dyDescent="0.25">
      <c r="A1016" s="36" t="s">
        <v>27</v>
      </c>
      <c r="B1016" s="25"/>
      <c r="C1016" s="26" t="str" cm="1">
        <f t="array" ref="C1016">CONCATENATE(GetCSVIndex(A2,249+10584),":", GetCSVIndex(A2,250+10584),":", GetCSVIndex(A2,251+10584))</f>
        <v>::</v>
      </c>
      <c r="D1016" s="26"/>
      <c r="E1016" s="45">
        <v>3</v>
      </c>
      <c r="F1016" s="29" t="e" cm="1">
        <f t="array" ref="F1016">CHOOSE(GetCSVIndex(A2,42+10584)+1,"","Station","Block","","Delay")</f>
        <v>#VALUE!</v>
      </c>
      <c r="G1016" s="29" t="str" cm="1">
        <f t="array" ref="G1016">GetCSVIndex(A2,43+10584)</f>
        <v/>
      </c>
      <c r="H1016" s="45" t="str" cm="1">
        <f t="array" ref="H1016">GetCSVIndex(A2,253+10584)</f>
        <v/>
      </c>
      <c r="I1016" s="29" t="str" cm="1">
        <f t="array" ref="I1016">GetCSVIndex(A2,316+10584)</f>
        <v/>
      </c>
      <c r="J1016" s="25"/>
      <c r="K1016" s="45">
        <v>35</v>
      </c>
      <c r="L1016" s="29" t="e" cm="1">
        <f t="array" ref="L1016">CHOOSE(GetCSVIndex(A2,138+10584)+1,"","Station","Block","","Delay")</f>
        <v>#VALUE!</v>
      </c>
      <c r="M1016" s="29" t="str" cm="1">
        <f t="array" ref="M1016">GetCSVIndex(A2,139+10584)</f>
        <v/>
      </c>
      <c r="N1016" s="27" t="str" cm="1">
        <f t="array" ref="N1016">GetCSVIndex(A2,285+10584)</f>
        <v/>
      </c>
      <c r="O1016" s="43" t="str" cm="1">
        <f t="array" ref="O1016">GetCSVIndex(A2,348+10584)</f>
        <v/>
      </c>
    </row>
    <row r="1017" spans="1:15" ht="21" customHeight="1" x14ac:dyDescent="0.25">
      <c r="A1017" s="36"/>
      <c r="B1017" s="25"/>
      <c r="C1017" s="25"/>
      <c r="D1017" s="25"/>
      <c r="E1017" s="45">
        <v>4</v>
      </c>
      <c r="F1017" s="29" t="e" cm="1">
        <f t="array" ref="F1017">CHOOSE(GetCSVIndex(A2,45+10584)+1,"","Station","Block","","Delay")</f>
        <v>#VALUE!</v>
      </c>
      <c r="G1017" s="29" t="str" cm="1">
        <f t="array" ref="G1017">GetCSVIndex(A2,46+10584)</f>
        <v/>
      </c>
      <c r="H1017" s="45" t="str" cm="1">
        <f t="array" ref="H1017">GetCSVIndex(A2,254+10584)</f>
        <v/>
      </c>
      <c r="I1017" s="29" t="str" cm="1">
        <f t="array" ref="I1017">GetCSVIndex(A2,317+10584)</f>
        <v/>
      </c>
      <c r="J1017" s="25"/>
      <c r="K1017" s="45">
        <v>36</v>
      </c>
      <c r="L1017" s="29" t="e" cm="1">
        <f t="array" ref="L1017">CHOOSE(GetCSVIndex(A2,141+10584)+1,"","Station","Block","","Delay")</f>
        <v>#VALUE!</v>
      </c>
      <c r="M1017" s="29" t="str" cm="1">
        <f t="array" ref="M1017">GetCSVIndex(A2,142+10584)</f>
        <v/>
      </c>
      <c r="N1017" s="27" t="str" cm="1">
        <f t="array" ref="N1017">GetCSVIndex(A2,286+10584)</f>
        <v/>
      </c>
      <c r="O1017" s="43" t="str" cm="1">
        <f t="array" ref="O1017">GetCSVIndex(A2,349+10584)</f>
        <v/>
      </c>
    </row>
    <row r="1018" spans="1:15" ht="21" customHeight="1" x14ac:dyDescent="0.25">
      <c r="A1018" s="37" t="s">
        <v>28</v>
      </c>
      <c r="B1018" s="28"/>
      <c r="C1018" s="29" t="str" cm="1">
        <f t="array" ref="C1018">IF(GetCSVIndex(A2,14+10584)&lt;&gt;"65535",CONCATENATE(GetCSVIndex(A2,229+10584),":", GetCSVIndex(A2,239+10584)),"OFF")</f>
        <v>:</v>
      </c>
      <c r="D1018" s="25"/>
      <c r="E1018" s="45">
        <v>5</v>
      </c>
      <c r="F1018" s="29" t="e" cm="1">
        <f t="array" ref="F1018">CHOOSE(GetCSVIndex(A2,48+10584)+1,"","Station","Block","","Delay")</f>
        <v>#VALUE!</v>
      </c>
      <c r="G1018" s="29" t="str" cm="1">
        <f t="array" ref="G1018">GetCSVIndex(A2,49+10584)</f>
        <v/>
      </c>
      <c r="H1018" s="45" t="str" cm="1">
        <f t="array" ref="H1018">GetCSVIndex(A2,255+10584)</f>
        <v/>
      </c>
      <c r="I1018" s="29" t="str" cm="1">
        <f t="array" ref="I1018">GetCSVIndex(A2,318+10584)</f>
        <v/>
      </c>
      <c r="J1018" s="25"/>
      <c r="K1018" s="45">
        <v>37</v>
      </c>
      <c r="L1018" s="29" t="e" cm="1">
        <f t="array" ref="L1018">CHOOSE(GetCSVIndex(A2,144+10584)+1,"","Station","Block","","Delay")</f>
        <v>#VALUE!</v>
      </c>
      <c r="M1018" s="29" t="str" cm="1">
        <f t="array" ref="M1018">GetCSVIndex(A2,145+10584)</f>
        <v/>
      </c>
      <c r="N1018" s="27" t="str" cm="1">
        <f t="array" ref="N1018">GetCSVIndex(A2,287+10584)</f>
        <v/>
      </c>
      <c r="O1018" s="43" t="str" cm="1">
        <f t="array" ref="O1018">GetCSVIndex(A2,350+10584)</f>
        <v/>
      </c>
    </row>
    <row r="1019" spans="1:15" ht="21" customHeight="1" x14ac:dyDescent="0.25">
      <c r="A1019" s="38" t="s">
        <v>29</v>
      </c>
      <c r="B1019" s="30"/>
      <c r="C1019" s="29" t="str" cm="1">
        <f t="array" ref="C1019">IF(GetCSVIndex(A2,15+10584)&lt;&gt;"65535",CONCATENATE(GetCSVIndex(A2,231+10584),":", GetCSVIndex(A2,241+10584)),"OFF")</f>
        <v>:</v>
      </c>
      <c r="D1019" s="25"/>
      <c r="E1019" s="45">
        <v>6</v>
      </c>
      <c r="F1019" s="29" t="e" cm="1">
        <f t="array" ref="F1019">CHOOSE(GetCSVIndex(A2,51+10584)+1,"","Station","Block","","Delay")</f>
        <v>#VALUE!</v>
      </c>
      <c r="G1019" s="29" t="str" cm="1">
        <f t="array" ref="G1019">GetCSVIndex(A2,52+10584)</f>
        <v/>
      </c>
      <c r="H1019" s="45" t="str" cm="1">
        <f t="array" ref="H1019">GetCSVIndex(A2,256+10584)</f>
        <v/>
      </c>
      <c r="I1019" s="29" t="str" cm="1">
        <f t="array" ref="I1019">GetCSVIndex(A2,319+10584)</f>
        <v/>
      </c>
      <c r="J1019" s="25"/>
      <c r="K1019" s="45">
        <v>38</v>
      </c>
      <c r="L1019" s="29" t="e" cm="1">
        <f t="array" ref="L1019">CHOOSE(GetCSVIndex(A2,147+10584)+1,"","Station","Block","","Delay")</f>
        <v>#VALUE!</v>
      </c>
      <c r="M1019" s="29" t="str" cm="1">
        <f t="array" ref="M1019">GetCSVIndex(A2,148+10584)</f>
        <v/>
      </c>
      <c r="N1019" s="27" t="str" cm="1">
        <f t="array" ref="N1019">GetCSVIndex(A2,288+10584)</f>
        <v/>
      </c>
      <c r="O1019" s="43" t="str" cm="1">
        <f t="array" ref="O1019">GetCSVIndex(A2,351+10584)</f>
        <v/>
      </c>
    </row>
    <row r="1020" spans="1:15" ht="21" customHeight="1" x14ac:dyDescent="0.25">
      <c r="A1020" s="38" t="s">
        <v>30</v>
      </c>
      <c r="B1020" s="30"/>
      <c r="C1020" s="29" t="str" cm="1">
        <f t="array" ref="C1020">IF(GetCSVIndex(A2,16+10584)&lt;&gt;"65535",CONCATENATE(GetCSVIndex(A2,232+10584),":", GetCSVIndex(A2,242+10584)),"OFF")</f>
        <v>:</v>
      </c>
      <c r="D1020" s="25"/>
      <c r="E1020" s="45">
        <v>7</v>
      </c>
      <c r="F1020" s="29" t="e" cm="1">
        <f t="array" ref="F1020">CHOOSE(GetCSVIndex(A2,54+10584)+1,"","Station","Block","","Delay")</f>
        <v>#VALUE!</v>
      </c>
      <c r="G1020" s="29" t="str" cm="1">
        <f t="array" ref="G1020">GetCSVIndex(A2,55+10584)</f>
        <v/>
      </c>
      <c r="H1020" s="45" t="str" cm="1">
        <f t="array" ref="H1020">GetCSVIndex(A2,257+10584)</f>
        <v/>
      </c>
      <c r="I1020" s="29" t="str" cm="1">
        <f t="array" ref="I1020">GetCSVIndex(A2,320+10584)</f>
        <v/>
      </c>
      <c r="J1020" s="25"/>
      <c r="K1020" s="45">
        <v>39</v>
      </c>
      <c r="L1020" s="29" t="e" cm="1">
        <f t="array" ref="L1020">CHOOSE(GetCSVIndex(A2,150+10584)+1,"","Station","Block","","Delay")</f>
        <v>#VALUE!</v>
      </c>
      <c r="M1020" s="29" t="str" cm="1">
        <f t="array" ref="M1020">GetCSVIndex(A2,151+10584)</f>
        <v/>
      </c>
      <c r="N1020" s="27" t="str" cm="1">
        <f t="array" ref="N1020">GetCSVIndex(A2,289+10584)</f>
        <v/>
      </c>
      <c r="O1020" s="43" t="str" cm="1">
        <f t="array" ref="O1020">GetCSVIndex(A2,352+10584)</f>
        <v/>
      </c>
    </row>
    <row r="1021" spans="1:15" ht="21" customHeight="1" x14ac:dyDescent="0.25">
      <c r="A1021" s="38" t="s">
        <v>31</v>
      </c>
      <c r="B1021" s="30"/>
      <c r="C1021" s="29" t="str" cm="1">
        <f t="array" ref="C1021">IF(GetCSVIndex(A2,17+10584)&lt;&gt;"65535",CONCATENATE(GetCSVIndex(A2,233+10584),":", GetCSVIndex(A2,243+10584)),"OFF")</f>
        <v>:</v>
      </c>
      <c r="D1021" s="25"/>
      <c r="E1021" s="45">
        <v>8</v>
      </c>
      <c r="F1021" s="29" t="e" cm="1">
        <f t="array" ref="F1021">CHOOSE(GetCSVIndex(A2,57+10584)+1,"","Station","Block","","Delay")</f>
        <v>#VALUE!</v>
      </c>
      <c r="G1021" s="29" t="str" cm="1">
        <f t="array" ref="G1021">GetCSVIndex(A2,58+10584)</f>
        <v/>
      </c>
      <c r="H1021" s="45" t="str" cm="1">
        <f t="array" ref="H1021">GetCSVIndex(A2,258+10584)</f>
        <v/>
      </c>
      <c r="I1021" s="29" t="str" cm="1">
        <f t="array" ref="I1021">GetCSVIndex(A2,321+10584)</f>
        <v/>
      </c>
      <c r="J1021" s="25"/>
      <c r="K1021" s="45">
        <v>40</v>
      </c>
      <c r="L1021" s="29" t="e" cm="1">
        <f t="array" ref="L1021">CHOOSE(GetCSVIndex(A2,153+10584)+1,"","Station","Block","","Delay")</f>
        <v>#VALUE!</v>
      </c>
      <c r="M1021" s="29" t="str" cm="1">
        <f t="array" ref="M1021">GetCSVIndex(A2,154+10584)</f>
        <v/>
      </c>
      <c r="N1021" s="27" t="str" cm="1">
        <f t="array" ref="N1021">GetCSVIndex(A2,290+10584)</f>
        <v/>
      </c>
      <c r="O1021" s="43" t="str" cm="1">
        <f t="array" ref="O1021">GetCSVIndex(A2,353+10584)</f>
        <v/>
      </c>
    </row>
    <row r="1022" spans="1:15" ht="21" customHeight="1" x14ac:dyDescent="0.25">
      <c r="A1022" s="38" t="s">
        <v>32</v>
      </c>
      <c r="B1022" s="30"/>
      <c r="C1022" s="29" t="str" cm="1">
        <f t="array" ref="C1022">IF(GetCSVIndex(A2,18+10584)&lt;&gt;"65535",CONCATENATE(GetCSVIndex(A2,234+10584),":", GetCSVIndex(A2,244+10584)),"OFF")</f>
        <v>:</v>
      </c>
      <c r="D1022" s="25"/>
      <c r="E1022" s="45">
        <v>9</v>
      </c>
      <c r="F1022" s="29" t="e" cm="1">
        <f t="array" ref="F1022">CHOOSE(GetCSVIndex(A2,60+10584)+1,"","Station","Block","","Delay")</f>
        <v>#VALUE!</v>
      </c>
      <c r="G1022" s="29" t="str" cm="1">
        <f t="array" ref="G1022">GetCSVIndex(A2,61+10584)</f>
        <v/>
      </c>
      <c r="H1022" s="45" t="str" cm="1">
        <f t="array" ref="H1022">GetCSVIndex(A2,259+10584)</f>
        <v/>
      </c>
      <c r="I1022" s="29" t="str" cm="1">
        <f t="array" ref="I1022">GetCSVIndex(A2,322+10584)</f>
        <v/>
      </c>
      <c r="J1022" s="25"/>
      <c r="K1022" s="45">
        <v>41</v>
      </c>
      <c r="L1022" s="29" t="e" cm="1">
        <f t="array" ref="L1022">CHOOSE(GetCSVIndex(A2,156+10584)+1,"","Station","Block","","Delay")</f>
        <v>#VALUE!</v>
      </c>
      <c r="M1022" s="29" t="str" cm="1">
        <f t="array" ref="M1022">GetCSVIndex(A2,157+10584)</f>
        <v/>
      </c>
      <c r="N1022" s="27" t="str" cm="1">
        <f t="array" ref="N1022">GetCSVIndex(A2,291+10584)</f>
        <v/>
      </c>
      <c r="O1022" s="43" t="str" cm="1">
        <f t="array" ref="O1022">GetCSVIndex(A2,354+10584)</f>
        <v/>
      </c>
    </row>
    <row r="1023" spans="1:15" ht="21" customHeight="1" x14ac:dyDescent="0.25">
      <c r="A1023" s="38" t="s">
        <v>33</v>
      </c>
      <c r="B1023" s="30"/>
      <c r="C1023" s="29" t="str" cm="1">
        <f t="array" ref="C1023">IF(GetCSVIndex(A2,19+10584)&lt;&gt;"65535",CONCATENATE(GetCSVIndex(A2,235+10584),":", GetCSVIndex(A2,245+10584)),"OFF")</f>
        <v>:</v>
      </c>
      <c r="D1023" s="25"/>
      <c r="E1023" s="45">
        <v>10</v>
      </c>
      <c r="F1023" s="29" t="e" cm="1">
        <f t="array" ref="F1023">CHOOSE(GetCSVIndex(A2,63+10584)+1,"","Station","Block","","Delay")</f>
        <v>#VALUE!</v>
      </c>
      <c r="G1023" s="29" t="str" cm="1">
        <f t="array" ref="G1023">GetCSVIndex(A2,64+10584)</f>
        <v/>
      </c>
      <c r="H1023" s="45" t="str" cm="1">
        <f t="array" ref="H1023">GetCSVIndex(A2,260+10584)</f>
        <v/>
      </c>
      <c r="I1023" s="29" t="str" cm="1">
        <f t="array" ref="I1023">GetCSVIndex(A2,323+10584)</f>
        <v/>
      </c>
      <c r="J1023" s="25"/>
      <c r="K1023" s="45">
        <v>42</v>
      </c>
      <c r="L1023" s="29" t="e" cm="1">
        <f t="array" ref="L1023">CHOOSE(GetCSVIndex(A2,159+10584)+1,"","Station","Block","","Delay")</f>
        <v>#VALUE!</v>
      </c>
      <c r="M1023" s="29" t="str" cm="1">
        <f t="array" ref="M1023">GetCSVIndex(A2,160+10584)</f>
        <v/>
      </c>
      <c r="N1023" s="27" t="str" cm="1">
        <f t="array" ref="N1023">GetCSVIndex(A2,292+10584)</f>
        <v/>
      </c>
      <c r="O1023" s="43" t="str" cm="1">
        <f t="array" ref="O1023">GetCSVIndex(A2,355+10584)</f>
        <v/>
      </c>
    </row>
    <row r="1024" spans="1:15" ht="21" customHeight="1" x14ac:dyDescent="0.25">
      <c r="A1024" s="38" t="s">
        <v>34</v>
      </c>
      <c r="B1024" s="30"/>
      <c r="C1024" s="29" t="str" cm="1">
        <f t="array" ref="C1024">IF(GetCSVIndex(A2,20+10584)&lt;&gt;"65535",CONCATENATE(GetCSVIndex(A2,236+10584),":", GetCSVIndex(A2,246+10584)),"OFF")</f>
        <v>:</v>
      </c>
      <c r="D1024" s="25"/>
      <c r="E1024" s="45">
        <v>11</v>
      </c>
      <c r="F1024" s="29" t="e" cm="1">
        <f t="array" ref="F1024">CHOOSE(GetCSVIndex(A2,66+10584)+1,"","Station","Block","","Delay")</f>
        <v>#VALUE!</v>
      </c>
      <c r="G1024" s="29" t="str" cm="1">
        <f t="array" ref="G1024">GetCSVIndex(A2,67+10584)</f>
        <v/>
      </c>
      <c r="H1024" s="45" t="str" cm="1">
        <f t="array" ref="H1024">GetCSVIndex(A2,261+10584)</f>
        <v/>
      </c>
      <c r="I1024" s="29" t="str" cm="1">
        <f t="array" ref="I1024">GetCSVIndex(A2,324+10584)</f>
        <v/>
      </c>
      <c r="J1024" s="25"/>
      <c r="K1024" s="45">
        <v>43</v>
      </c>
      <c r="L1024" s="29" t="e" cm="1">
        <f t="array" ref="L1024">CHOOSE(GetCSVIndex(A2,162+10584)+1,"","Station","Block","","Delay")</f>
        <v>#VALUE!</v>
      </c>
      <c r="M1024" s="29" t="str" cm="1">
        <f t="array" ref="M1024">GetCSVIndex(A2,163+10584)</f>
        <v/>
      </c>
      <c r="N1024" s="27" t="str" cm="1">
        <f t="array" ref="N1024">GetCSVIndex(A2,293+10584)</f>
        <v/>
      </c>
      <c r="O1024" s="43" t="str" cm="1">
        <f t="array" ref="O1024">GetCSVIndex(A2,356+10584)</f>
        <v/>
      </c>
    </row>
    <row r="1025" spans="1:15" ht="21" customHeight="1" x14ac:dyDescent="0.25">
      <c r="A1025" s="38" t="s">
        <v>35</v>
      </c>
      <c r="B1025" s="30"/>
      <c r="C1025" s="29" t="str" cm="1">
        <f t="array" ref="C1025">IF(GetCSVIndex(A2,21+10584)&lt;&gt;"65535",CONCATENATE(GetCSVIndex(A2,237+10584),":", GetCSVIndex(A2,247+10584)),"OFF")</f>
        <v>:</v>
      </c>
      <c r="D1025" s="25"/>
      <c r="E1025" s="45">
        <v>12</v>
      </c>
      <c r="F1025" s="29" t="e" cm="1">
        <f t="array" ref="F1025">CHOOSE(GetCSVIndex(A2,69+10584)+1,"","Station","Block","","Delay")</f>
        <v>#VALUE!</v>
      </c>
      <c r="G1025" s="29" t="str" cm="1">
        <f t="array" ref="G1025">GetCSVIndex(A2,70+10584)</f>
        <v/>
      </c>
      <c r="H1025" s="45" t="str" cm="1">
        <f t="array" ref="H1025">GetCSVIndex(A2,262+10584)</f>
        <v/>
      </c>
      <c r="I1025" s="29" t="str" cm="1">
        <f t="array" ref="I1025">GetCSVIndex(A2,325+10584)</f>
        <v/>
      </c>
      <c r="J1025" s="25"/>
      <c r="K1025" s="45">
        <v>44</v>
      </c>
      <c r="L1025" s="29" t="e" cm="1">
        <f t="array" ref="L1025">CHOOSE(GetCSVIndex(A2,165+10584)+1,"","Station","Block","","Delay")</f>
        <v>#VALUE!</v>
      </c>
      <c r="M1025" s="29" t="str" cm="1">
        <f t="array" ref="M1025">GetCSVIndex(A2,166+10584)</f>
        <v/>
      </c>
      <c r="N1025" s="27" t="str" cm="1">
        <f t="array" ref="N1025">GetCSVIndex(A2,294+10584)</f>
        <v/>
      </c>
      <c r="O1025" s="43" t="str" cm="1">
        <f t="array" ref="O1025">GetCSVIndex(A2,357+10584)</f>
        <v/>
      </c>
    </row>
    <row r="1026" spans="1:15" ht="21" customHeight="1" x14ac:dyDescent="0.25">
      <c r="A1026" s="38" t="s">
        <v>36</v>
      </c>
      <c r="B1026" s="30"/>
      <c r="C1026" s="29" t="str" cm="1">
        <f t="array" ref="C1026">IF(GetCSVIndex(A2,22+10584)&lt;&gt;"65535",CONCATENATE(GetCSVIndex(A2,238+10584),":", GetCSVIndex(A2,248+10584)),"OFF")</f>
        <v>:</v>
      </c>
      <c r="D1026" s="25"/>
      <c r="E1026" s="45">
        <v>13</v>
      </c>
      <c r="F1026" s="29" t="e" cm="1">
        <f t="array" ref="F1026">CHOOSE(GetCSVIndex(A2,72+10584)+1,"","Station","Block","","Delay")</f>
        <v>#VALUE!</v>
      </c>
      <c r="G1026" s="29" t="str" cm="1">
        <f t="array" ref="G1026">GetCSVIndex(A2,73+10584)</f>
        <v/>
      </c>
      <c r="H1026" s="45" t="str" cm="1">
        <f t="array" ref="H1026">GetCSVIndex(A2,263+10584)</f>
        <v/>
      </c>
      <c r="I1026" s="29" t="str" cm="1">
        <f t="array" ref="I1026">GetCSVIndex(A2,326+10584)</f>
        <v/>
      </c>
      <c r="J1026" s="25"/>
      <c r="K1026" s="45">
        <v>45</v>
      </c>
      <c r="L1026" s="29" t="e" cm="1">
        <f t="array" ref="L1026">CHOOSE(GetCSVIndex(A2,168+10584)+1,"","Station","Block","","Delay")</f>
        <v>#VALUE!</v>
      </c>
      <c r="M1026" s="29" t="str" cm="1">
        <f t="array" ref="M1026">GetCSVIndex(A2,169+10584)</f>
        <v/>
      </c>
      <c r="N1026" s="27" t="str" cm="1">
        <f t="array" ref="N1026">GetCSVIndex(A2,295+10584)</f>
        <v/>
      </c>
      <c r="O1026" s="43" t="str" cm="1">
        <f t="array" ref="O1026">GetCSVIndex(A2,358+10584)</f>
        <v/>
      </c>
    </row>
    <row r="1027" spans="1:15" ht="21" customHeight="1" x14ac:dyDescent="0.25">
      <c r="A1027" s="36" t="s">
        <v>37</v>
      </c>
      <c r="B1027" s="25"/>
      <c r="C1027" s="29" t="str" cm="1">
        <f t="array" ref="C1027">IF(GetCSVIndex(A2,23+10584)&lt;&gt;"65535",CONCATENATE(GetCSVIndex(A2,230+10584),":", GetCSVIndex(A2,240+10584)),"OFF")</f>
        <v>:</v>
      </c>
      <c r="D1027" s="25"/>
      <c r="E1027" s="45">
        <v>14</v>
      </c>
      <c r="F1027" s="29" t="e" cm="1">
        <f t="array" ref="F1027">CHOOSE(GetCSVIndex(A2,75+10584)+1,"","Station","Block","","Delay")</f>
        <v>#VALUE!</v>
      </c>
      <c r="G1027" s="29" t="str" cm="1">
        <f t="array" ref="G1027">GetCSVIndex(A2,76+10584)</f>
        <v/>
      </c>
      <c r="H1027" s="45" t="str" cm="1">
        <f t="array" ref="H1027">GetCSVIndex(A2,264+10584)</f>
        <v/>
      </c>
      <c r="I1027" s="29" t="str" cm="1">
        <f t="array" ref="I1027">GetCSVIndex(A2,327+10584)</f>
        <v/>
      </c>
      <c r="J1027" s="25"/>
      <c r="K1027" s="45">
        <v>46</v>
      </c>
      <c r="L1027" s="29" t="e" cm="1">
        <f t="array" ref="L1027">CHOOSE(GetCSVIndex(A2,171+10584)+1,"","Station","Block","","Delay")</f>
        <v>#VALUE!</v>
      </c>
      <c r="M1027" s="29" t="str" cm="1">
        <f t="array" ref="M1027">GetCSVIndex(A2,172+10584)</f>
        <v/>
      </c>
      <c r="N1027" s="27" t="str" cm="1">
        <f t="array" ref="N1027">GetCSVIndex(A2,296+10584)</f>
        <v/>
      </c>
      <c r="O1027" s="43" t="str" cm="1">
        <f t="array" ref="O1027">GetCSVIndex(A2,359+10584)</f>
        <v/>
      </c>
    </row>
    <row r="1028" spans="1:15" ht="21" customHeight="1" x14ac:dyDescent="0.25">
      <c r="A1028" s="39"/>
      <c r="B1028" s="40"/>
      <c r="C1028" s="41"/>
      <c r="D1028" s="26"/>
      <c r="E1028" s="45">
        <v>15</v>
      </c>
      <c r="F1028" s="29" t="e" cm="1">
        <f t="array" ref="F1028">CHOOSE(GetCSVIndex(A2,78+10584)+1,"","Station","Block","","Delay")</f>
        <v>#VALUE!</v>
      </c>
      <c r="G1028" s="29" t="str" cm="1">
        <f t="array" ref="G1028">GetCSVIndex(A2,79+10584)</f>
        <v/>
      </c>
      <c r="H1028" s="45" t="str" cm="1">
        <f t="array" ref="H1028">GetCSVIndex(A2,265+10584)</f>
        <v/>
      </c>
      <c r="I1028" s="29" t="str" cm="1">
        <f t="array" ref="I1028">GetCSVIndex(A2,328+10584)</f>
        <v/>
      </c>
      <c r="J1028" s="26"/>
      <c r="K1028" s="45">
        <v>47</v>
      </c>
      <c r="L1028" s="29" t="e" cm="1">
        <f t="array" ref="L1028">CHOOSE(GetCSVIndex(A2,174+10584)+1,"","Station","Block","","Delay")</f>
        <v>#VALUE!</v>
      </c>
      <c r="M1028" s="29" t="str" cm="1">
        <f t="array" ref="M1028">GetCSVIndex(A2,175+10584)</f>
        <v/>
      </c>
      <c r="N1028" s="27" t="str" cm="1">
        <f t="array" ref="N1028">GetCSVIndex(A2,297+10584)</f>
        <v/>
      </c>
      <c r="O1028" s="43" t="str" cm="1">
        <f t="array" ref="O1028">GetCSVIndex(A2,360+10584)</f>
        <v/>
      </c>
    </row>
    <row r="1029" spans="1:15" ht="21" customHeight="1" x14ac:dyDescent="0.25">
      <c r="A1029" s="42"/>
      <c r="B1029" s="25"/>
      <c r="C1029" s="25"/>
      <c r="D1029" s="26"/>
      <c r="E1029" s="45">
        <v>16</v>
      </c>
      <c r="F1029" s="29" t="e" cm="1">
        <f t="array" ref="F1029">CHOOSE(GetCSVIndex(A2,81+10584)+1,"","Station","Block","","Delay")</f>
        <v>#VALUE!</v>
      </c>
      <c r="G1029" s="29" t="str" cm="1">
        <f t="array" ref="G1029">GetCSVIndex(A2,82+10584)</f>
        <v/>
      </c>
      <c r="H1029" s="45" t="str" cm="1">
        <f t="array" ref="H1029">GetCSVIndex(A2,266+10584)</f>
        <v/>
      </c>
      <c r="I1029" s="29" t="str" cm="1">
        <f t="array" ref="I1029">GetCSVIndex(A2,329+10584)</f>
        <v/>
      </c>
      <c r="J1029" s="25"/>
      <c r="K1029" s="45">
        <v>48</v>
      </c>
      <c r="L1029" s="29" t="e" cm="1">
        <f t="array" ref="L1029">CHOOSE(GetCSVIndex(A2,177+10584)+1,"","Station","Block","","Delay")</f>
        <v>#VALUE!</v>
      </c>
      <c r="M1029" s="29" t="str" cm="1">
        <f t="array" ref="M1029">GetCSVIndex(A2,178+10584)</f>
        <v/>
      </c>
      <c r="N1029" s="27" t="str" cm="1">
        <f t="array" ref="N1029">GetCSVIndex(A2,298+10584)</f>
        <v/>
      </c>
      <c r="O1029" s="43" t="str" cm="1">
        <f t="array" ref="O1029">GetCSVIndex(A2,361+10584)</f>
        <v/>
      </c>
    </row>
    <row r="1030" spans="1:15" ht="21" customHeight="1" x14ac:dyDescent="0.25">
      <c r="A1030" s="42"/>
      <c r="B1030" s="25"/>
      <c r="C1030" s="25"/>
      <c r="D1030" s="26"/>
      <c r="E1030" s="45">
        <v>17</v>
      </c>
      <c r="F1030" s="29" t="e" cm="1">
        <f t="array" ref="F1030">CHOOSE(GetCSVIndex(A2,84+10584)+1,"","Station","Block","","Delay")</f>
        <v>#VALUE!</v>
      </c>
      <c r="G1030" s="29" t="str" cm="1">
        <f t="array" ref="G1030">GetCSVIndex(A2,85+10584)</f>
        <v/>
      </c>
      <c r="H1030" s="45" t="str" cm="1">
        <f t="array" ref="H1030">GetCSVIndex(A2,267+10584)</f>
        <v/>
      </c>
      <c r="I1030" s="29" t="str" cm="1">
        <f t="array" ref="I1030">GetCSVIndex(A2,330+10584)</f>
        <v/>
      </c>
      <c r="J1030" s="26"/>
      <c r="K1030" s="45">
        <v>49</v>
      </c>
      <c r="L1030" s="29" t="e" cm="1">
        <f t="array" ref="L1030">CHOOSE(GetCSVIndex(A2,180+10584)+1,"","Station","Block","","Delay")</f>
        <v>#VALUE!</v>
      </c>
      <c r="M1030" s="29" t="str" cm="1">
        <f t="array" ref="M1030">GetCSVIndex(A2,181+10584)</f>
        <v/>
      </c>
      <c r="N1030" s="27" t="str" cm="1">
        <f t="array" ref="N1030">GetCSVIndex(A2,299+10584)</f>
        <v/>
      </c>
      <c r="O1030" s="43" t="str" cm="1">
        <f t="array" ref="O1030">GetCSVIndex(A2,362+10584)</f>
        <v/>
      </c>
    </row>
    <row r="1031" spans="1:15" ht="21" customHeight="1" x14ac:dyDescent="0.25">
      <c r="A1031" s="42"/>
      <c r="B1031" s="25"/>
      <c r="C1031" s="25"/>
      <c r="D1031" s="26"/>
      <c r="E1031" s="45">
        <v>18</v>
      </c>
      <c r="F1031" s="29" t="e" cm="1">
        <f t="array" ref="F1031">CHOOSE(GetCSVIndex(A2,87+10584)+1,"","Station","Block","","Delay")</f>
        <v>#VALUE!</v>
      </c>
      <c r="G1031" s="29" t="str" cm="1">
        <f t="array" ref="G1031">GetCSVIndex(A2,88+10584)</f>
        <v/>
      </c>
      <c r="H1031" s="45" t="str" cm="1">
        <f t="array" ref="H1031">GetCSVIndex(A2,268+10584)</f>
        <v/>
      </c>
      <c r="I1031" s="29" t="str" cm="1">
        <f t="array" ref="I1031">GetCSVIndex(A2,331+10584)</f>
        <v/>
      </c>
      <c r="J1031" s="26"/>
      <c r="K1031" s="45">
        <v>50</v>
      </c>
      <c r="L1031" s="29" t="e" cm="1">
        <f t="array" ref="L1031">CHOOSE(GetCSVIndex(A2,183+10584)+1,"","Station","Block","","Delay")</f>
        <v>#VALUE!</v>
      </c>
      <c r="M1031" s="29" t="str" cm="1">
        <f t="array" ref="M1031">GetCSVIndex(A2,184+10584)</f>
        <v/>
      </c>
      <c r="N1031" s="27" t="str" cm="1">
        <f t="array" ref="N1031">GetCSVIndex(A2,300+10584)</f>
        <v/>
      </c>
      <c r="O1031" s="43" t="str" cm="1">
        <f t="array" ref="O1031">GetCSVIndex(A2,363+10584)</f>
        <v/>
      </c>
    </row>
    <row r="1032" spans="1:15" ht="21" customHeight="1" x14ac:dyDescent="0.25">
      <c r="A1032" s="42"/>
      <c r="B1032" s="25"/>
      <c r="C1032" s="25"/>
      <c r="D1032" s="26"/>
      <c r="E1032" s="45">
        <v>19</v>
      </c>
      <c r="F1032" s="29" t="e" cm="1">
        <f t="array" ref="F1032">CHOOSE(GetCSVIndex(A2,90+10584)+1,"","Station","Block","","Delay")</f>
        <v>#VALUE!</v>
      </c>
      <c r="G1032" s="29" t="str" cm="1">
        <f t="array" ref="G1032">GetCSVIndex(A2,91+10584)</f>
        <v/>
      </c>
      <c r="H1032" s="45" t="str" cm="1">
        <f t="array" ref="H1032">GetCSVIndex(A2,269+10584)</f>
        <v/>
      </c>
      <c r="I1032" s="29" t="str" cm="1">
        <f t="array" ref="I1032">GetCSVIndex(A2,332+10584)</f>
        <v/>
      </c>
      <c r="J1032" s="26"/>
      <c r="K1032" s="45">
        <v>51</v>
      </c>
      <c r="L1032" s="29" t="e" cm="1">
        <f t="array" ref="L1032">CHOOSE(GetCSVIndex(A2,186+10584)+1,"","Station","Block","","Delay")</f>
        <v>#VALUE!</v>
      </c>
      <c r="M1032" s="29" t="str" cm="1">
        <f t="array" ref="M1032">GetCSVIndex(A2,187+10584)</f>
        <v/>
      </c>
      <c r="N1032" s="27" t="str" cm="1">
        <f t="array" ref="N1032">GetCSVIndex(A2,301+10584)</f>
        <v/>
      </c>
      <c r="O1032" s="43" t="str" cm="1">
        <f t="array" ref="O1032">GetCSVIndex(A2,364+10584)</f>
        <v/>
      </c>
    </row>
    <row r="1033" spans="1:15" ht="21" customHeight="1" x14ac:dyDescent="0.25">
      <c r="A1033" s="42"/>
      <c r="B1033" s="25"/>
      <c r="C1033" s="25"/>
      <c r="D1033" s="26"/>
      <c r="E1033" s="45">
        <v>20</v>
      </c>
      <c r="F1033" s="29" t="e" cm="1">
        <f t="array" ref="F1033">CHOOSE(GetCSVIndex(A2,93+10584)+1,"","Station","Block","","Delay")</f>
        <v>#VALUE!</v>
      </c>
      <c r="G1033" s="29" t="str" cm="1">
        <f t="array" ref="G1033">GetCSVIndex(A2,94+10584)</f>
        <v/>
      </c>
      <c r="H1033" s="45" t="str" cm="1">
        <f t="array" ref="H1033">GetCSVIndex(A2,270+10584)</f>
        <v/>
      </c>
      <c r="I1033" s="29" t="str" cm="1">
        <f t="array" ref="I1033">GetCSVIndex(A2,333+10584)</f>
        <v/>
      </c>
      <c r="J1033" s="26"/>
      <c r="K1033" s="45">
        <v>52</v>
      </c>
      <c r="L1033" s="29" t="e" cm="1">
        <f t="array" ref="L1033">CHOOSE(GetCSVIndex(A2,189+10584)+1,"","Station","Block","","Delay")</f>
        <v>#VALUE!</v>
      </c>
      <c r="M1033" s="29" t="str" cm="1">
        <f t="array" ref="M1033">GetCSVIndex(A2,190+10584)</f>
        <v/>
      </c>
      <c r="N1033" s="27" t="str" cm="1">
        <f t="array" ref="N1033">GetCSVIndex(A2,302+10584)</f>
        <v/>
      </c>
      <c r="O1033" s="43" t="str" cm="1">
        <f t="array" ref="O1033">GetCSVIndex(A2,365+10584)</f>
        <v/>
      </c>
    </row>
    <row r="1034" spans="1:15" ht="21" customHeight="1" x14ac:dyDescent="0.25">
      <c r="A1034" s="42"/>
      <c r="B1034" s="25"/>
      <c r="C1034" s="25"/>
      <c r="D1034" s="26"/>
      <c r="E1034" s="45">
        <v>21</v>
      </c>
      <c r="F1034" s="29" t="e" cm="1">
        <f t="array" ref="F1034">CHOOSE(GetCSVIndex(A2,96+10584)+1,"","Station","Block","","Delay")</f>
        <v>#VALUE!</v>
      </c>
      <c r="G1034" s="29" t="str" cm="1">
        <f t="array" ref="G1034">GetCSVIndex(A2,97+10584)</f>
        <v/>
      </c>
      <c r="H1034" s="45" t="str" cm="1">
        <f t="array" ref="H1034">GetCSVIndex(A2,271+10584)</f>
        <v/>
      </c>
      <c r="I1034" s="29" t="str" cm="1">
        <f t="array" ref="I1034">GetCSVIndex(A2,334+10584)</f>
        <v/>
      </c>
      <c r="J1034" s="26"/>
      <c r="K1034" s="45">
        <v>53</v>
      </c>
      <c r="L1034" s="29" t="e" cm="1">
        <f t="array" ref="L1034">CHOOSE(GetCSVIndex(A2,192+10584)+1,"","Station","Block","","Delay")</f>
        <v>#VALUE!</v>
      </c>
      <c r="M1034" s="29" t="str" cm="1">
        <f t="array" ref="M1034">GetCSVIndex(A2,193+10584)</f>
        <v/>
      </c>
      <c r="N1034" s="27" t="str" cm="1">
        <f t="array" ref="N1034">GetCSVIndex(A2,303+10584)</f>
        <v/>
      </c>
      <c r="O1034" s="43" t="str" cm="1">
        <f t="array" ref="O1034">GetCSVIndex(A2,366+10584)</f>
        <v/>
      </c>
    </row>
    <row r="1035" spans="1:15" ht="21" customHeight="1" x14ac:dyDescent="0.25">
      <c r="A1035" s="42"/>
      <c r="B1035" s="25"/>
      <c r="C1035" s="25"/>
      <c r="D1035" s="26"/>
      <c r="E1035" s="45">
        <v>22</v>
      </c>
      <c r="F1035" s="29" t="e" cm="1">
        <f t="array" ref="F1035">CHOOSE(GetCSVIndex(A2,99+10584)+1,"","Station","Block","","Delay")</f>
        <v>#VALUE!</v>
      </c>
      <c r="G1035" s="29" t="str" cm="1">
        <f t="array" ref="G1035">GetCSVIndex(A2,100+10584)</f>
        <v/>
      </c>
      <c r="H1035" s="45" t="str" cm="1">
        <f t="array" ref="H1035">GetCSVIndex(A2,272+10584)</f>
        <v/>
      </c>
      <c r="I1035" s="29" t="str" cm="1">
        <f t="array" ref="I1035">GetCSVIndex(A2,335+10584)</f>
        <v/>
      </c>
      <c r="J1035" s="26"/>
      <c r="K1035" s="45">
        <v>54</v>
      </c>
      <c r="L1035" s="29" t="e" cm="1">
        <f t="array" ref="L1035">CHOOSE(GetCSVIndex(A2,195+10584)+1,"","Station","Block","","Delay")</f>
        <v>#VALUE!</v>
      </c>
      <c r="M1035" s="29" t="str" cm="1">
        <f t="array" ref="M1035">GetCSVIndex(A2,196+10584)</f>
        <v/>
      </c>
      <c r="N1035" s="27" t="str" cm="1">
        <f t="array" ref="N1035">GetCSVIndex(A2,304+10584)</f>
        <v/>
      </c>
      <c r="O1035" s="43" t="str" cm="1">
        <f t="array" ref="O1035">GetCSVIndex(A2,367+10584)</f>
        <v/>
      </c>
    </row>
    <row r="1036" spans="1:15" ht="21" customHeight="1" x14ac:dyDescent="0.25">
      <c r="A1036" s="42"/>
      <c r="B1036" s="25"/>
      <c r="C1036" s="25"/>
      <c r="D1036" s="26"/>
      <c r="E1036" s="45">
        <v>23</v>
      </c>
      <c r="F1036" s="29" t="e" cm="1">
        <f t="array" ref="F1036">CHOOSE(GetCSVIndex(A2,102+10584)+1,"","Station","Block","","Delay")</f>
        <v>#VALUE!</v>
      </c>
      <c r="G1036" s="29" t="str" cm="1">
        <f t="array" ref="G1036">GetCSVIndex(A2,103+10584)</f>
        <v/>
      </c>
      <c r="H1036" s="45" t="str" cm="1">
        <f t="array" ref="H1036">GetCSVIndex(A2,273+10584)</f>
        <v/>
      </c>
      <c r="I1036" s="29" t="str" cm="1">
        <f t="array" ref="I1036">GetCSVIndex(A2,336+10584)</f>
        <v/>
      </c>
      <c r="J1036" s="26"/>
      <c r="K1036" s="45">
        <v>55</v>
      </c>
      <c r="L1036" s="29" t="e" cm="1">
        <f t="array" ref="L1036">CHOOSE(GetCSVIndex(A2,198+10584)+1,"","Station","Block","","Delay")</f>
        <v>#VALUE!</v>
      </c>
      <c r="M1036" s="29" t="str" cm="1">
        <f t="array" ref="M1036">GetCSVIndex(A2,199+10584)</f>
        <v/>
      </c>
      <c r="N1036" s="27" t="str" cm="1">
        <f t="array" ref="N1036">GetCSVIndex(A2,305+10584)</f>
        <v/>
      </c>
      <c r="O1036" s="43" t="str" cm="1">
        <f t="array" ref="O1036">GetCSVIndex(A2,368+10584)</f>
        <v/>
      </c>
    </row>
    <row r="1037" spans="1:15" ht="21" customHeight="1" x14ac:dyDescent="0.25">
      <c r="A1037" s="42"/>
      <c r="B1037" s="25"/>
      <c r="C1037" s="25"/>
      <c r="D1037" s="26"/>
      <c r="E1037" s="45">
        <v>24</v>
      </c>
      <c r="F1037" s="29" t="e" cm="1">
        <f t="array" ref="F1037">CHOOSE(GetCSVIndex(A2,105+10584)+1,"","Station","Block","","Delay")</f>
        <v>#VALUE!</v>
      </c>
      <c r="G1037" s="29" t="str" cm="1">
        <f t="array" ref="G1037">GetCSVIndex(A2,106+10584)</f>
        <v/>
      </c>
      <c r="H1037" s="45" t="str" cm="1">
        <f t="array" ref="H1037">GetCSVIndex(A2,274+10584)</f>
        <v/>
      </c>
      <c r="I1037" s="29" t="str" cm="1">
        <f t="array" ref="I1037">GetCSVIndex(A2,337+10584)</f>
        <v/>
      </c>
      <c r="J1037" s="26"/>
      <c r="K1037" s="45">
        <v>56</v>
      </c>
      <c r="L1037" s="29" t="e" cm="1">
        <f t="array" ref="L1037">CHOOSE(GetCSVIndex(A2,201+10584)+1,"","Station","Block","","Delay")</f>
        <v>#VALUE!</v>
      </c>
      <c r="M1037" s="29" t="str" cm="1">
        <f t="array" ref="M1037">GetCSVIndex(A2,202+10584)</f>
        <v/>
      </c>
      <c r="N1037" s="27" t="str" cm="1">
        <f t="array" ref="N1037">GetCSVIndex(A2,306+10584)</f>
        <v/>
      </c>
      <c r="O1037" s="43" t="str" cm="1">
        <f t="array" ref="O1037">GetCSVIndex(A2,369+10584)</f>
        <v/>
      </c>
    </row>
    <row r="1038" spans="1:15" ht="21" customHeight="1" x14ac:dyDescent="0.25">
      <c r="A1038" s="42"/>
      <c r="B1038" s="25"/>
      <c r="C1038" s="25"/>
      <c r="D1038" s="26"/>
      <c r="E1038" s="45">
        <v>25</v>
      </c>
      <c r="F1038" s="29" t="e" cm="1">
        <f t="array" ref="F1038">CHOOSE(GetCSVIndex(A2,108+10584)+1,"","Station","Block","","Delay")</f>
        <v>#VALUE!</v>
      </c>
      <c r="G1038" s="29" t="str" cm="1">
        <f t="array" ref="G1038">GetCSVIndex(A2,109+10584)</f>
        <v/>
      </c>
      <c r="H1038" s="45" t="str" cm="1">
        <f t="array" ref="H1038">GetCSVIndex(A2,275+10584)</f>
        <v/>
      </c>
      <c r="I1038" s="29" t="str" cm="1">
        <f t="array" ref="I1038">GetCSVIndex(A2,338+10584)</f>
        <v/>
      </c>
      <c r="J1038" s="26"/>
      <c r="K1038" s="45">
        <v>57</v>
      </c>
      <c r="L1038" s="29" t="e" cm="1">
        <f t="array" ref="L1038">CHOOSE(GetCSVIndex(A2,204+10584)+1,"","Station","Block","","Delay")</f>
        <v>#VALUE!</v>
      </c>
      <c r="M1038" s="29" t="str" cm="1">
        <f t="array" ref="M1038">GetCSVIndex(A2,205+10584)</f>
        <v/>
      </c>
      <c r="N1038" s="27" t="str" cm="1">
        <f t="array" ref="N1038">GetCSVIndex(A2,307+10584)</f>
        <v/>
      </c>
      <c r="O1038" s="43" t="str" cm="1">
        <f t="array" ref="O1038">GetCSVIndex(A2,370+10584)</f>
        <v/>
      </c>
    </row>
    <row r="1039" spans="1:15" ht="21" customHeight="1" x14ac:dyDescent="0.25">
      <c r="A1039" s="42"/>
      <c r="B1039" s="25"/>
      <c r="C1039" s="25"/>
      <c r="D1039" s="26"/>
      <c r="E1039" s="45">
        <v>26</v>
      </c>
      <c r="F1039" s="29" t="e" cm="1">
        <f t="array" ref="F1039">CHOOSE(GetCSVIndex(A2,111+10584)+1,"","Station","Block","","Delay")</f>
        <v>#VALUE!</v>
      </c>
      <c r="G1039" s="29" t="str" cm="1">
        <f t="array" ref="G1039">GetCSVIndex(A2,112+10584)</f>
        <v/>
      </c>
      <c r="H1039" s="45" t="str" cm="1">
        <f t="array" ref="H1039">GetCSVIndex(A2,276+10584)</f>
        <v/>
      </c>
      <c r="I1039" s="29" t="str" cm="1">
        <f t="array" ref="I1039">GetCSVIndex(A2,339+10584)</f>
        <v/>
      </c>
      <c r="J1039" s="26"/>
      <c r="K1039" s="45">
        <v>58</v>
      </c>
      <c r="L1039" s="29" t="e" cm="1">
        <f t="array" ref="L1039">CHOOSE(GetCSVIndex(A2,207+10584)+1,"","Station","Block","","Delay")</f>
        <v>#VALUE!</v>
      </c>
      <c r="M1039" s="29" t="str" cm="1">
        <f t="array" ref="M1039">GetCSVIndex(A2,208+10584)</f>
        <v/>
      </c>
      <c r="N1039" s="27" t="str" cm="1">
        <f t="array" ref="N1039">GetCSVIndex(A2,308+10584)</f>
        <v/>
      </c>
      <c r="O1039" s="43" t="str" cm="1">
        <f t="array" ref="O1039">GetCSVIndex(A2,371+10584)</f>
        <v/>
      </c>
    </row>
    <row r="1040" spans="1:15" ht="21" customHeight="1" x14ac:dyDescent="0.25">
      <c r="A1040" s="42"/>
      <c r="B1040" s="25"/>
      <c r="C1040" s="25"/>
      <c r="D1040" s="26"/>
      <c r="E1040" s="45">
        <v>27</v>
      </c>
      <c r="F1040" s="29" t="e" cm="1">
        <f t="array" ref="F1040">CHOOSE(GetCSVIndex(A2,114+10584)+1,"","Station","Block","","Delay")</f>
        <v>#VALUE!</v>
      </c>
      <c r="G1040" s="29" t="str" cm="1">
        <f t="array" ref="G1040">GetCSVIndex(A2,115+10584)</f>
        <v/>
      </c>
      <c r="H1040" s="45" t="str" cm="1">
        <f t="array" ref="H1040">GetCSVIndex(A2,277+10584)</f>
        <v/>
      </c>
      <c r="I1040" s="29" t="str" cm="1">
        <f t="array" ref="I1040">GetCSVIndex(A2,340+10584)</f>
        <v/>
      </c>
      <c r="J1040" s="26"/>
      <c r="K1040" s="45">
        <v>59</v>
      </c>
      <c r="L1040" s="29" t="e" cm="1">
        <f t="array" ref="L1040">CHOOSE(GetCSVIndex(A2,210+10584)+1,"","Station","Block","","Delay")</f>
        <v>#VALUE!</v>
      </c>
      <c r="M1040" s="29" t="str" cm="1">
        <f t="array" ref="M1040">GetCSVIndex(A2,211+10584)</f>
        <v/>
      </c>
      <c r="N1040" s="27" t="str" cm="1">
        <f t="array" ref="N1040">GetCSVIndex(A2,309+10584)</f>
        <v/>
      </c>
      <c r="O1040" s="43" t="str" cm="1">
        <f t="array" ref="O1040">GetCSVIndex(A2,372+10584)</f>
        <v/>
      </c>
    </row>
    <row r="1041" spans="1:15" ht="21" customHeight="1" x14ac:dyDescent="0.25">
      <c r="A1041" s="42"/>
      <c r="B1041" s="25"/>
      <c r="C1041" s="25"/>
      <c r="D1041" s="26"/>
      <c r="E1041" s="45">
        <v>28</v>
      </c>
      <c r="F1041" s="29" t="e" cm="1">
        <f t="array" ref="F1041">CHOOSE(GetCSVIndex(A2,117+10584)+1,"","Station","Block","","Delay")</f>
        <v>#VALUE!</v>
      </c>
      <c r="G1041" s="29" t="str" cm="1">
        <f t="array" ref="G1041">GetCSVIndex(A2,118+10584)</f>
        <v/>
      </c>
      <c r="H1041" s="45" t="str" cm="1">
        <f t="array" ref="H1041">GetCSVIndex(A2,278+10584)</f>
        <v/>
      </c>
      <c r="I1041" s="29" t="str" cm="1">
        <f t="array" ref="I1041">GetCSVIndex(A2,341+10584)</f>
        <v/>
      </c>
      <c r="J1041" s="26"/>
      <c r="K1041" s="45">
        <v>60</v>
      </c>
      <c r="L1041" s="29" t="e" cm="1">
        <f t="array" ref="L1041">CHOOSE(GetCSVIndex(A2,213+10584)+1,"","Station","Block","","Delay")</f>
        <v>#VALUE!</v>
      </c>
      <c r="M1041" s="29" t="str" cm="1">
        <f t="array" ref="M1041">GetCSVIndex(A2,214+10584)</f>
        <v/>
      </c>
      <c r="N1041" s="27" t="str" cm="1">
        <f t="array" ref="N1041">GetCSVIndex(A2,310+10584)</f>
        <v/>
      </c>
      <c r="O1041" s="43" t="str" cm="1">
        <f t="array" ref="O1041">GetCSVIndex(A2,373+10584)</f>
        <v/>
      </c>
    </row>
    <row r="1042" spans="1:15" ht="21" customHeight="1" x14ac:dyDescent="0.25">
      <c r="A1042" s="42"/>
      <c r="B1042" s="25"/>
      <c r="C1042" s="25"/>
      <c r="D1042" s="26"/>
      <c r="E1042" s="45">
        <v>29</v>
      </c>
      <c r="F1042" s="29" t="e" cm="1">
        <f t="array" ref="F1042">CHOOSE(GetCSVIndex(A2,120+10584)+1,"","Station","Block","","Delay")</f>
        <v>#VALUE!</v>
      </c>
      <c r="G1042" s="29" t="str" cm="1">
        <f t="array" ref="G1042">GetCSVIndex(A2,121+10584)</f>
        <v/>
      </c>
      <c r="H1042" s="45" t="str" cm="1">
        <f t="array" ref="H1042">GetCSVIndex(A2,279+10584)</f>
        <v/>
      </c>
      <c r="I1042" s="29" t="str" cm="1">
        <f t="array" ref="I1042">GetCSVIndex(A2,342+10584)</f>
        <v/>
      </c>
      <c r="J1042" s="26"/>
      <c r="K1042" s="45">
        <v>61</v>
      </c>
      <c r="L1042" s="29" t="e" cm="1">
        <f t="array" ref="L1042">CHOOSE(GetCSVIndex(A2,216+10584)+1,"","Station","Block","","Delay")</f>
        <v>#VALUE!</v>
      </c>
      <c r="M1042" s="29" t="str" cm="1">
        <f t="array" ref="M1042">GetCSVIndex(A2,217+10584)</f>
        <v/>
      </c>
      <c r="N1042" s="27" t="str" cm="1">
        <f t="array" ref="N1042">GetCSVIndex(A2,311+10584)</f>
        <v/>
      </c>
      <c r="O1042" s="43" t="str" cm="1">
        <f t="array" ref="O1042">GetCSVIndex(A2,374+10584)</f>
        <v/>
      </c>
    </row>
    <row r="1043" spans="1:15" ht="21" customHeight="1" x14ac:dyDescent="0.25">
      <c r="A1043" s="42"/>
      <c r="B1043" s="25"/>
      <c r="C1043" s="25"/>
      <c r="D1043" s="26"/>
      <c r="E1043" s="45">
        <v>30</v>
      </c>
      <c r="F1043" s="29" t="e" cm="1">
        <f t="array" ref="F1043">CHOOSE(GetCSVIndex(A2,123+10584)+1,"","Station","Block","","Delay")</f>
        <v>#VALUE!</v>
      </c>
      <c r="G1043" s="29" t="str" cm="1">
        <f t="array" ref="G1043">GetCSVIndex(A2,124+10584)</f>
        <v/>
      </c>
      <c r="H1043" s="45" t="str" cm="1">
        <f t="array" ref="H1043">GetCSVIndex(A2,280+10584)</f>
        <v/>
      </c>
      <c r="I1043" s="29" t="str" cm="1">
        <f t="array" ref="I1043">GetCSVIndex(A2,343+10584)</f>
        <v/>
      </c>
      <c r="J1043" s="26"/>
      <c r="K1043" s="45">
        <v>62</v>
      </c>
      <c r="L1043" s="29" t="e" cm="1">
        <f t="array" ref="L1043">CHOOSE(GetCSVIndex(A2,219+10584)+1,"","Station","Block","","Delay")</f>
        <v>#VALUE!</v>
      </c>
      <c r="M1043" s="29" t="str" cm="1">
        <f t="array" ref="M1043">GetCSVIndex(A2,220+10584)</f>
        <v/>
      </c>
      <c r="N1043" s="27" t="str" cm="1">
        <f t="array" ref="N1043">GetCSVIndex(A2,312+10584)</f>
        <v/>
      </c>
      <c r="O1043" s="43" t="str" cm="1">
        <f t="array" ref="O1043">GetCSVIndex(A2,375+10584)</f>
        <v/>
      </c>
    </row>
    <row r="1044" spans="1:15" ht="21" customHeight="1" x14ac:dyDescent="0.25">
      <c r="A1044" s="42"/>
      <c r="B1044" s="25"/>
      <c r="C1044" s="25"/>
      <c r="D1044" s="26"/>
      <c r="E1044" s="45">
        <v>31</v>
      </c>
      <c r="F1044" s="29" t="e" cm="1">
        <f t="array" ref="F1044">CHOOSE(GetCSVIndex(A2,126+10584)+1,"","Station","Block","","Delay")</f>
        <v>#VALUE!</v>
      </c>
      <c r="G1044" s="29" t="str" cm="1">
        <f t="array" ref="G1044">GetCSVIndex(A2,127+10584)</f>
        <v/>
      </c>
      <c r="H1044" s="45" t="str" cm="1">
        <f t="array" ref="H1044">GetCSVIndex(A2,281+10584)</f>
        <v/>
      </c>
      <c r="I1044" s="29" t="str" cm="1">
        <f t="array" ref="I1044">GetCSVIndex(A2,344+10584)</f>
        <v/>
      </c>
      <c r="J1044" s="26"/>
      <c r="K1044" s="45">
        <v>63</v>
      </c>
      <c r="L1044" s="29" t="e" cm="1">
        <f t="array" ref="L1044">CHOOSE(GetCSVIndex(A2,222+10584)+1,"","Station","Block","","Delay")</f>
        <v>#VALUE!</v>
      </c>
      <c r="M1044" s="29" t="str" cm="1">
        <f t="array" ref="M1044">GetCSVIndex(A2,223+10584)</f>
        <v/>
      </c>
      <c r="N1044" s="27" t="str" cm="1">
        <f t="array" ref="N1044">GetCSVIndex(A2,313+10584)</f>
        <v/>
      </c>
      <c r="O1044" s="43" t="str" cm="1">
        <f t="array" ref="O1044">GetCSVIndex(A2,376+10584)</f>
        <v/>
      </c>
    </row>
    <row r="1045" spans="1:15" ht="21" customHeight="1" x14ac:dyDescent="0.25">
      <c r="A1045" s="37"/>
      <c r="B1045" s="28"/>
      <c r="C1045" s="29"/>
      <c r="D1045" s="29"/>
      <c r="E1045" s="45">
        <v>32</v>
      </c>
      <c r="F1045" s="29" t="e" cm="1">
        <f t="array" ref="F1045">CHOOSE(GetCSVIndex(A2,129+10584)+1,"","Station","Block","","Delay")</f>
        <v>#VALUE!</v>
      </c>
      <c r="G1045" s="29" t="str" cm="1">
        <f t="array" ref="G1045">GetCSVIndex(A2,130+10584)</f>
        <v/>
      </c>
      <c r="H1045" s="45" t="str" cm="1">
        <f t="array" ref="H1045">GetCSVIndex(A2,282+10584)</f>
        <v/>
      </c>
      <c r="I1045" s="29" t="str" cm="1">
        <f t="array" ref="I1045">GetCSVIndex(A2,345+10584)</f>
        <v/>
      </c>
      <c r="J1045" s="29"/>
      <c r="K1045" s="45">
        <v>64</v>
      </c>
      <c r="L1045" s="29" t="e" cm="1">
        <f t="array" ref="L1045">CHOOSE(GetCSVIndex(A2,225+10584)+1,"","Station","Block","","Delay")</f>
        <v>#VALUE!</v>
      </c>
      <c r="M1045" s="29" t="str" cm="1">
        <f t="array" ref="M1045">GetCSVIndex(A2,226+10584)</f>
        <v/>
      </c>
      <c r="N1045" s="27" t="str" cm="1">
        <f t="array" ref="N1045">GetCSVIndex(A2,314+10584)</f>
        <v/>
      </c>
      <c r="O1045" s="43" t="str" cm="1">
        <f t="array" ref="O1045">GetCSVIndex(A2,377+10584)</f>
        <v/>
      </c>
    </row>
    <row r="1046" spans="1:15" ht="23.25" customHeight="1" x14ac:dyDescent="0.25">
      <c r="A1046" s="51" t="str" cm="1">
        <f t="array" ref="A1046">CONCATENATE("Schedule  Program Number : ", GetCSVIndex(A2,5+10962))</f>
        <v xml:space="preserve">Schedule  Program Number : </v>
      </c>
      <c r="B1046" s="52"/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3"/>
    </row>
    <row r="1047" spans="1:15" ht="21" customHeight="1" x14ac:dyDescent="0.25">
      <c r="A1047" s="20" t="s">
        <v>44</v>
      </c>
      <c r="B1047" s="22" t="str" cm="1">
        <f t="array" ref="B1047">GetCSVIndex(A2,5+10962)</f>
        <v/>
      </c>
      <c r="C1047" s="18"/>
      <c r="D1047" s="18"/>
      <c r="E1047" s="18"/>
      <c r="F1047" s="18"/>
      <c r="G1047" s="18" t="s">
        <v>19</v>
      </c>
      <c r="H1047" s="18" t="e" cm="1">
        <f t="array" ref="H1047">CHOOSE(GetCSVIndex(A2,7+10962)+1, "Days of Week", "Odd/Even", "Interval","Manual")</f>
        <v>#VALUE!</v>
      </c>
      <c r="I1047" s="18"/>
      <c r="J1047" s="15"/>
      <c r="K1047" s="15"/>
      <c r="L1047" s="15"/>
      <c r="M1047" s="15"/>
      <c r="N1047" s="15"/>
      <c r="O1047" s="16"/>
    </row>
    <row r="1048" spans="1:15" ht="18" customHeight="1" x14ac:dyDescent="0.25">
      <c r="A1048" s="21" t="s">
        <v>20</v>
      </c>
      <c r="B1048" s="19" t="e" cm="1">
        <f t="array" ref="B1048">CHOOSE(GetCSVIndex(A2,24+10962)+1, "Program", "Global", "Monthly","Solar Sync")</f>
        <v>#VALUE!</v>
      </c>
      <c r="C1048" s="19"/>
      <c r="D1048" s="19"/>
      <c r="E1048" s="19"/>
      <c r="F1048" s="19" t="s">
        <v>21</v>
      </c>
      <c r="G1048" s="19" t="e" cm="1">
        <f t="array" ref="G1048">IF(CHOOSE(GetCSVIndex(A2,7+10962)+1,IF(_xlfn.BITAND(GetCSVIndex(A2,8+10962), 2^0)=0, 0, 1),IF(_xlfn.BITAND(GetCSVIndex(A2,9+10962), 2^0)=0, 0, 1),IF(_xlfn.BITAND(GetCSVIndex(A2,10+10962), 2^0)=0, 0, 1)) =1,"Mon","")</f>
        <v>#VALUE!</v>
      </c>
      <c r="H1048" s="19" t="e" cm="1">
        <f t="array" ref="H1048">CONCATENATE(IF(CHOOSE(GetCSVIndex(A2,7+10962)+1,IF(_xlfn.BITAND(GetCSVIndex(A2,8+10962), 2^1)=0, 0, 1),IF(_xlfn.BITAND(GetCSVIndex(A2,9+10962), 2^1)=0, 0, 1),IF(_xlfn.BITAND(GetCSVIndex(A2,10+10962), 2^1)=0, 0, 1)) =1,"Tue       ","       "),IF(CHOOSE(GetCSVIndex(A2,7+10962)+1,IF(_xlfn.BITAND(GetCSVIndex(A2,8+10962), 2^2)=0, 0, 1),IF(_xlfn.BITAND(GetCSVIndex(A2,9+10962), 2^2)=0, 0, 1),IF(_xlfn.BITAND(GetCSVIndex(A2,10+10962), 2^2)=0, 0, 1)) =1,"Wed",""),IF(CHOOSE(GetCSVIndex(A2,7+10962)+1,IF(_xlfn.BITAND(GetCSVIndex(A2,8+10962), 2^3)=0, 0, 1),IF(_xlfn.BITAND(GetCSVIndex(A2,9+10962), 2^3)=0, 0, 1),IF(_xlfn.BITAND(GetCSVIndex(A2,10+10962), 2^3)=0, 0, 1)) =1,"       Thu","       "))</f>
        <v>#VALUE!</v>
      </c>
      <c r="I1048" s="32" t="e" cm="1">
        <f t="array" ref="I1048">CONCATENATE(IF(CHOOSE(GetCSVIndex(A2,7+10962)+1,IF(_xlfn.BITAND(GetCSVIndex(A2,8+10962), 2^4)=0, 0, 1),IF(_xlfn.BITAND(GetCSVIndex(A2,9+10962), 2^4)=0, 0, 1),IF(_xlfn.BITAND(GetCSVIndex(A2,10+10962), 2^4)=0, 0, 1)) =1,"Fri       ","       "),IF(CHOOSE(GetCSVIndex(A2,7+10962)+1,IF(_xlfn.BITAND(GetCSVIndex(A2,8+10962), 2^5)=0, 0, 1),IF(_xlfn.BITAND(GetCSVIndex(A2,9+10962), 2^5)=0, 0, 1),IF(_xlfn.BITAND(GetCSVIndex(A2,10+10962), 2^5)=0, 0, 1)) =1,"Sat",""),IF(CHOOSE(GetCSVIndex(A2,7+10962)+1,IF(_xlfn.BITAND(GetCSVIndex(A2,8+10962), 2^6)=0, 0, 1),IF(_xlfn.BITAND(GetCSVIndex(A2,9+10962), 2^6)=0, 0, 1),IF(_xlfn.BITAND(GetCSVIndex(A2,10+10962), 2^6)=0, 0, 1)) =1,"       Sun","       "))</f>
        <v>#VALUE!</v>
      </c>
      <c r="J1048" s="19"/>
      <c r="K1048" s="19"/>
      <c r="L1048" s="32" t="s">
        <v>22</v>
      </c>
      <c r="M1048" s="19"/>
      <c r="N1048" s="19" t="str" cm="1">
        <f t="array" ref="N1048">IF(GetCSVIndex(A2,26+10962)="1","Enable","Disable")</f>
        <v>Disable</v>
      </c>
      <c r="O1048" s="24"/>
    </row>
    <row r="1049" spans="1:15" ht="18" customHeight="1" x14ac:dyDescent="0.25">
      <c r="A1049" s="21" t="str" cm="1">
        <f t="array" ref="A1049">CONCATENATE("Program ", GetCSVIndex(A2,5+10962))</f>
        <v xml:space="preserve">Program </v>
      </c>
      <c r="B1049" s="23" t="str" cm="1">
        <f t="array" ref="B1049">CONCATENATE(GetCSVIndex(A2,25+10962)," %")</f>
        <v xml:space="preserve"> %</v>
      </c>
      <c r="C1049" s="19"/>
      <c r="D1049" s="19"/>
      <c r="E1049" s="19"/>
      <c r="F1049" s="19" t="str" cm="1">
        <f t="array" ref="F1049">IF(GetCSVIndex(A2,7)="2","Water Every"," ")</f>
        <v xml:space="preserve"> </v>
      </c>
      <c r="G1049" s="47" t="str" cm="1">
        <f t="array" ref="G1049">IF(GetCSVIndex(A2,7+10962)="2",GetCSVIndex(A2,11+10962)," ")</f>
        <v xml:space="preserve"> </v>
      </c>
      <c r="H1049" s="19" t="str" cm="1">
        <f t="array" ref="H1049">IF(GetCSVIndex(A2,7+10962)="2","Days"," ")</f>
        <v xml:space="preserve"> </v>
      </c>
      <c r="I1049" s="32" t="str" cm="1">
        <f t="array" ref="I1049">IF(GetCSVIndex(A2,7+10962)="2","Water After"," ")</f>
        <v xml:space="preserve"> </v>
      </c>
      <c r="J1049" s="19"/>
      <c r="K1049" s="19" t="str" cm="1">
        <f t="array" ref="K1049">IF(GetCSVIndex(A2,7+10962)="2",GetCSVIndex(A2,12+10962)," ")</f>
        <v xml:space="preserve"> </v>
      </c>
      <c r="L1049" s="47" t="str" cm="1">
        <f t="array" ref="L1049">IF(GetCSVIndex(A2,7+10962)="2","Days"," ")</f>
        <v xml:space="preserve"> </v>
      </c>
      <c r="M1049" s="32"/>
      <c r="N1049" s="32"/>
      <c r="O1049" s="24"/>
    </row>
    <row r="1050" spans="1:15" ht="21" customHeight="1" x14ac:dyDescent="0.25">
      <c r="A1050" s="20" t="s">
        <v>23</v>
      </c>
      <c r="B1050" s="18" t="s">
        <v>24</v>
      </c>
      <c r="C1050" s="18" t="str" cm="1">
        <f t="array" ref="C1050">CHOOSE(GetCSVIndex(A2,13)+1, "Auto", "Start to End","Manual")</f>
        <v>Start to End</v>
      </c>
      <c r="D1050" s="31"/>
      <c r="E1050" s="17" t="s">
        <v>38</v>
      </c>
      <c r="F1050" s="18" t="s">
        <v>39</v>
      </c>
      <c r="G1050" s="18" t="s">
        <v>40</v>
      </c>
      <c r="H1050" s="18" t="s">
        <v>41</v>
      </c>
      <c r="I1050" s="18" t="s">
        <v>43</v>
      </c>
      <c r="J1050" s="31"/>
      <c r="K1050" s="17" t="s">
        <v>38</v>
      </c>
      <c r="L1050" s="18" t="s">
        <v>39</v>
      </c>
      <c r="M1050" s="18" t="s">
        <v>40</v>
      </c>
      <c r="N1050" s="22" t="s">
        <v>41</v>
      </c>
      <c r="O1050" s="44" t="s">
        <v>42</v>
      </c>
    </row>
    <row r="1051" spans="1:15" ht="21" customHeight="1" x14ac:dyDescent="0.25">
      <c r="A1051" s="36" t="s">
        <v>25</v>
      </c>
      <c r="B1051" s="46" t="str" cm="1">
        <f t="array" ref="B1051">IF(GetCSVIndex(A2,6+10962)="1","Over","Stack")</f>
        <v>Stack</v>
      </c>
      <c r="C1051" s="26" t="str" cm="1">
        <f t="array" ref="C1051">GetCSVIndex(A2,29+10962)</f>
        <v/>
      </c>
      <c r="D1051" s="25"/>
      <c r="E1051" s="45">
        <v>1</v>
      </c>
      <c r="F1051" s="29" t="e" cm="1">
        <f t="array" ref="F1051">CHOOSE(GetCSVIndex(A2,36+10962)+1,"","Station","Block","","Delay")</f>
        <v>#VALUE!</v>
      </c>
      <c r="G1051" s="29" t="str" cm="1">
        <f t="array" ref="G1051">GetCSVIndex(A2,37+10962)</f>
        <v/>
      </c>
      <c r="H1051" s="45" t="str" cm="1">
        <f t="array" ref="H1051">GetCSVIndex(A2,3+10962)</f>
        <v/>
      </c>
      <c r="I1051" s="29" t="str" cm="1">
        <f t="array" ref="I1051">GetCSVIndex(A2,1+10962)</f>
        <v/>
      </c>
      <c r="J1051" s="25"/>
      <c r="K1051" s="45">
        <v>33</v>
      </c>
      <c r="L1051" s="29" t="e" cm="1">
        <f t="array" ref="L1051">CHOOSE(GetCSVIndex(A2,132+10962)+1,"","Station","Block","","Delay")</f>
        <v>#VALUE!</v>
      </c>
      <c r="M1051" s="29" t="str" cm="1">
        <f t="array" ref="M1051">GetCSVIndex(A2,133+10962)</f>
        <v/>
      </c>
      <c r="N1051" s="27" t="str" cm="1">
        <f t="array" ref="N1051">GetCSVIndex(A2,283+10962)</f>
        <v/>
      </c>
      <c r="O1051" s="43" t="str" cm="1">
        <f t="array" ref="O1051">GetCSVIndex(A2,346+10962)</f>
        <v/>
      </c>
    </row>
    <row r="1052" spans="1:15" ht="21" customHeight="1" x14ac:dyDescent="0.25">
      <c r="A1052" s="36" t="s">
        <v>26</v>
      </c>
      <c r="B1052" s="25" t="str" cm="1">
        <f t="array" ref="B1052">IF(GetCSVIndex(A2,2+10962)="1092:15","Not Set",CONCATENATE("From     ",GetCSVIndex(A2,2+10962)))</f>
        <v xml:space="preserve">From     </v>
      </c>
      <c r="C1052" s="26" t="str" cm="1">
        <f t="array" ref="C1052">IF(GetCSVIndex(C4,1+56)="1092:15","Not Set",CONCATENATE("To     ",GetCSVIndex(C4,1+56)))</f>
        <v xml:space="preserve">To     </v>
      </c>
      <c r="D1052" s="25"/>
      <c r="E1052" s="45">
        <v>2</v>
      </c>
      <c r="F1052" s="29" t="e" cm="1">
        <f t="array" ref="F1052">CHOOSE(GetCSVIndex(A2,39+10962)+1,"","Station","Block","","Delay")</f>
        <v>#VALUE!</v>
      </c>
      <c r="G1052" s="29" t="str" cm="1">
        <f t="array" ref="G1052">GetCSVIndex(A2,40+10962)</f>
        <v/>
      </c>
      <c r="H1052" s="45" t="str" cm="1">
        <f t="array" ref="H1052">GetCSVIndex(A2,252+10962)</f>
        <v/>
      </c>
      <c r="I1052" s="29" t="str" cm="1">
        <f t="array" ref="I1052">GetCSVIndex(A2,315+10962)</f>
        <v/>
      </c>
      <c r="J1052" s="25"/>
      <c r="K1052" s="45">
        <v>34</v>
      </c>
      <c r="L1052" s="29" t="e" cm="1">
        <f t="array" ref="L1052">CHOOSE(GetCSVIndex(A2,135+10962)+1,"","Station","Block","","Delay")</f>
        <v>#VALUE!</v>
      </c>
      <c r="M1052" s="29" t="str" cm="1">
        <f t="array" ref="M1052">GetCSVIndex(A2,136+10962)</f>
        <v/>
      </c>
      <c r="N1052" s="27" t="str" cm="1">
        <f t="array" ref="N1052">GetCSVIndex(A2,284+10962)</f>
        <v/>
      </c>
      <c r="O1052" s="43" t="str" cm="1">
        <f t="array" ref="O1052">GetCSVIndex(A2,347+10962)</f>
        <v/>
      </c>
    </row>
    <row r="1053" spans="1:15" ht="21" customHeight="1" x14ac:dyDescent="0.25">
      <c r="A1053" s="36" t="s">
        <v>27</v>
      </c>
      <c r="B1053" s="25"/>
      <c r="C1053" s="26" t="str" cm="1">
        <f t="array" ref="C1053">CONCATENATE(GetCSVIndex(A2,249+10962),":", GetCSVIndex(A2,250+10962),":", GetCSVIndex(A2,251+10962))</f>
        <v>::</v>
      </c>
      <c r="D1053" s="26"/>
      <c r="E1053" s="45">
        <v>3</v>
      </c>
      <c r="F1053" s="29" t="e" cm="1">
        <f t="array" ref="F1053">CHOOSE(GetCSVIndex(A2,42+10962)+1,"","Station","Block","","Delay")</f>
        <v>#VALUE!</v>
      </c>
      <c r="G1053" s="29" t="str" cm="1">
        <f t="array" ref="G1053">GetCSVIndex(A2,43+10962)</f>
        <v/>
      </c>
      <c r="H1053" s="45" t="str" cm="1">
        <f t="array" ref="H1053">GetCSVIndex(A2,253+10962)</f>
        <v/>
      </c>
      <c r="I1053" s="29" t="str" cm="1">
        <f t="array" ref="I1053">GetCSVIndex(A2,316+10962)</f>
        <v/>
      </c>
      <c r="J1053" s="25"/>
      <c r="K1053" s="45">
        <v>35</v>
      </c>
      <c r="L1053" s="29" t="e" cm="1">
        <f t="array" ref="L1053">CHOOSE(GetCSVIndex(A2,138+10962)+1,"","Station","Block","","Delay")</f>
        <v>#VALUE!</v>
      </c>
      <c r="M1053" s="29" t="str" cm="1">
        <f t="array" ref="M1053">GetCSVIndex(A2,139+10962)</f>
        <v/>
      </c>
      <c r="N1053" s="27" t="str" cm="1">
        <f t="array" ref="N1053">GetCSVIndex(A2,285+10962)</f>
        <v/>
      </c>
      <c r="O1053" s="43" t="str" cm="1">
        <f t="array" ref="O1053">GetCSVIndex(A2,348+10962)</f>
        <v/>
      </c>
    </row>
    <row r="1054" spans="1:15" ht="21" customHeight="1" x14ac:dyDescent="0.25">
      <c r="A1054" s="36"/>
      <c r="B1054" s="25"/>
      <c r="C1054" s="25"/>
      <c r="D1054" s="25"/>
      <c r="E1054" s="45">
        <v>4</v>
      </c>
      <c r="F1054" s="29" t="e" cm="1">
        <f t="array" ref="F1054">CHOOSE(GetCSVIndex(A2,45+10962)+1,"","Station","Block","","Delay")</f>
        <v>#VALUE!</v>
      </c>
      <c r="G1054" s="29" t="str" cm="1">
        <f t="array" ref="G1054">GetCSVIndex(A2,46+10962)</f>
        <v/>
      </c>
      <c r="H1054" s="45" t="str" cm="1">
        <f t="array" ref="H1054">GetCSVIndex(A2,254+10962)</f>
        <v/>
      </c>
      <c r="I1054" s="29" t="str" cm="1">
        <f t="array" ref="I1054">GetCSVIndex(A2,317+10962)</f>
        <v/>
      </c>
      <c r="J1054" s="25"/>
      <c r="K1054" s="45">
        <v>36</v>
      </c>
      <c r="L1054" s="29" t="e" cm="1">
        <f t="array" ref="L1054">CHOOSE(GetCSVIndex(A2,141+10962)+1,"","Station","Block","","Delay")</f>
        <v>#VALUE!</v>
      </c>
      <c r="M1054" s="29" t="str" cm="1">
        <f t="array" ref="M1054">GetCSVIndex(A2,142+10962)</f>
        <v/>
      </c>
      <c r="N1054" s="27" t="str" cm="1">
        <f t="array" ref="N1054">GetCSVIndex(A2,286+10962)</f>
        <v/>
      </c>
      <c r="O1054" s="43" t="str" cm="1">
        <f t="array" ref="O1054">GetCSVIndex(A2,349+10962)</f>
        <v/>
      </c>
    </row>
    <row r="1055" spans="1:15" ht="21" customHeight="1" x14ac:dyDescent="0.25">
      <c r="A1055" s="37" t="s">
        <v>28</v>
      </c>
      <c r="B1055" s="28"/>
      <c r="C1055" s="29" t="str" cm="1">
        <f t="array" ref="C1055">IF(GetCSVIndex(A2,14+10962)&lt;&gt;"65535",CONCATENATE(GetCSVIndex(A2,229+10962),":", GetCSVIndex(A2,239+10962)),"OFF")</f>
        <v>:</v>
      </c>
      <c r="D1055" s="25"/>
      <c r="E1055" s="45">
        <v>5</v>
      </c>
      <c r="F1055" s="29" t="e" cm="1">
        <f t="array" ref="F1055">CHOOSE(GetCSVIndex(A2,48+10962)+1,"","Station","Block","","Delay")</f>
        <v>#VALUE!</v>
      </c>
      <c r="G1055" s="29" t="str" cm="1">
        <f t="array" ref="G1055">GetCSVIndex(A2,49+10962)</f>
        <v/>
      </c>
      <c r="H1055" s="45" t="str" cm="1">
        <f t="array" ref="H1055">GetCSVIndex(A2,255+10962)</f>
        <v/>
      </c>
      <c r="I1055" s="29" t="str" cm="1">
        <f t="array" ref="I1055">GetCSVIndex(A2,318+10962)</f>
        <v/>
      </c>
      <c r="J1055" s="25"/>
      <c r="K1055" s="45">
        <v>37</v>
      </c>
      <c r="L1055" s="29" t="e" cm="1">
        <f t="array" ref="L1055">CHOOSE(GetCSVIndex(A2,144+10962)+1,"","Station","Block","","Delay")</f>
        <v>#VALUE!</v>
      </c>
      <c r="M1055" s="29" t="str" cm="1">
        <f t="array" ref="M1055">GetCSVIndex(A2,145+10962)</f>
        <v/>
      </c>
      <c r="N1055" s="27" t="str" cm="1">
        <f t="array" ref="N1055">GetCSVIndex(A2,287+10962)</f>
        <v/>
      </c>
      <c r="O1055" s="43" t="str" cm="1">
        <f t="array" ref="O1055">GetCSVIndex(A2,350+10962)</f>
        <v/>
      </c>
    </row>
    <row r="1056" spans="1:15" ht="21" customHeight="1" x14ac:dyDescent="0.25">
      <c r="A1056" s="38" t="s">
        <v>29</v>
      </c>
      <c r="B1056" s="30"/>
      <c r="C1056" s="29" t="str" cm="1">
        <f t="array" ref="C1056">IF(GetCSVIndex(A2,15+10962)&lt;&gt;"65535",CONCATENATE(GetCSVIndex(A2,231+10962),":", GetCSVIndex(A2,241+10962)),"OFF")</f>
        <v>:</v>
      </c>
      <c r="D1056" s="25"/>
      <c r="E1056" s="45">
        <v>6</v>
      </c>
      <c r="F1056" s="29" t="e" cm="1">
        <f t="array" ref="F1056">CHOOSE(GetCSVIndex(A2,51+10962)+1,"","Station","Block","","Delay")</f>
        <v>#VALUE!</v>
      </c>
      <c r="G1056" s="29" t="str" cm="1">
        <f t="array" ref="G1056">GetCSVIndex(A2,52+10962)</f>
        <v/>
      </c>
      <c r="H1056" s="45" t="str" cm="1">
        <f t="array" ref="H1056">GetCSVIndex(A2,256+10962)</f>
        <v/>
      </c>
      <c r="I1056" s="29" t="str" cm="1">
        <f t="array" ref="I1056">GetCSVIndex(A2,319+10962)</f>
        <v/>
      </c>
      <c r="J1056" s="25"/>
      <c r="K1056" s="45">
        <v>38</v>
      </c>
      <c r="L1056" s="29" t="e" cm="1">
        <f t="array" ref="L1056">CHOOSE(GetCSVIndex(A2,147+10962)+1,"","Station","Block","","Delay")</f>
        <v>#VALUE!</v>
      </c>
      <c r="M1056" s="29" t="str" cm="1">
        <f t="array" ref="M1056">GetCSVIndex(A2,148+10962)</f>
        <v/>
      </c>
      <c r="N1056" s="27" t="str" cm="1">
        <f t="array" ref="N1056">GetCSVIndex(A2,288+10962)</f>
        <v/>
      </c>
      <c r="O1056" s="43" t="str" cm="1">
        <f t="array" ref="O1056">GetCSVIndex(A2,351+10962)</f>
        <v/>
      </c>
    </row>
    <row r="1057" spans="1:15" ht="21" customHeight="1" x14ac:dyDescent="0.25">
      <c r="A1057" s="38" t="s">
        <v>30</v>
      </c>
      <c r="B1057" s="30"/>
      <c r="C1057" s="29" t="str" cm="1">
        <f t="array" ref="C1057">IF(GetCSVIndex(A2,16+10962)&lt;&gt;"65535",CONCATENATE(GetCSVIndex(A2,232+10962),":", GetCSVIndex(A2,242+10962)),"OFF")</f>
        <v>:</v>
      </c>
      <c r="D1057" s="25"/>
      <c r="E1057" s="45">
        <v>7</v>
      </c>
      <c r="F1057" s="29" t="e" cm="1">
        <f t="array" ref="F1057">CHOOSE(GetCSVIndex(A2,54+10962)+1,"","Station","Block","","Delay")</f>
        <v>#VALUE!</v>
      </c>
      <c r="G1057" s="29" t="str" cm="1">
        <f t="array" ref="G1057">GetCSVIndex(A2,55+10962)</f>
        <v/>
      </c>
      <c r="H1057" s="45" t="str" cm="1">
        <f t="array" ref="H1057">GetCSVIndex(A2,257+10962)</f>
        <v/>
      </c>
      <c r="I1057" s="29" t="str" cm="1">
        <f t="array" ref="I1057">GetCSVIndex(A2,320+10962)</f>
        <v/>
      </c>
      <c r="J1057" s="25"/>
      <c r="K1057" s="45">
        <v>39</v>
      </c>
      <c r="L1057" s="29" t="e" cm="1">
        <f t="array" ref="L1057">CHOOSE(GetCSVIndex(A2,150+10962)+1,"","Station","Block","","Delay")</f>
        <v>#VALUE!</v>
      </c>
      <c r="M1057" s="29" t="str" cm="1">
        <f t="array" ref="M1057">GetCSVIndex(A2,151+10962)</f>
        <v/>
      </c>
      <c r="N1057" s="27" t="str" cm="1">
        <f t="array" ref="N1057">GetCSVIndex(A2,289+10962)</f>
        <v/>
      </c>
      <c r="O1057" s="43" t="str" cm="1">
        <f t="array" ref="O1057">GetCSVIndex(A2,352+10962)</f>
        <v/>
      </c>
    </row>
    <row r="1058" spans="1:15" ht="21" customHeight="1" x14ac:dyDescent="0.25">
      <c r="A1058" s="38" t="s">
        <v>31</v>
      </c>
      <c r="B1058" s="30"/>
      <c r="C1058" s="29" t="str" cm="1">
        <f t="array" ref="C1058">IF(GetCSVIndex(A2,17+10962)&lt;&gt;"65535",CONCATENATE(GetCSVIndex(A2,233+10962),":", GetCSVIndex(A2,243+10962)),"OFF")</f>
        <v>:</v>
      </c>
      <c r="D1058" s="25"/>
      <c r="E1058" s="45">
        <v>8</v>
      </c>
      <c r="F1058" s="29" t="e" cm="1">
        <f t="array" ref="F1058">CHOOSE(GetCSVIndex(A2,57+10962)+1,"","Station","Block","","Delay")</f>
        <v>#VALUE!</v>
      </c>
      <c r="G1058" s="29" t="str" cm="1">
        <f t="array" ref="G1058">GetCSVIndex(A2,58+10962)</f>
        <v/>
      </c>
      <c r="H1058" s="45" t="str" cm="1">
        <f t="array" ref="H1058">GetCSVIndex(A2,258+10962)</f>
        <v/>
      </c>
      <c r="I1058" s="29" t="str" cm="1">
        <f t="array" ref="I1058">GetCSVIndex(A2,321+10962)</f>
        <v/>
      </c>
      <c r="J1058" s="25"/>
      <c r="K1058" s="45">
        <v>40</v>
      </c>
      <c r="L1058" s="29" t="e" cm="1">
        <f t="array" ref="L1058">CHOOSE(GetCSVIndex(A2,153+10962)+1,"","Station","Block","","Delay")</f>
        <v>#VALUE!</v>
      </c>
      <c r="M1058" s="29" t="str" cm="1">
        <f t="array" ref="M1058">GetCSVIndex(A2,154+10962)</f>
        <v/>
      </c>
      <c r="N1058" s="27" t="str" cm="1">
        <f t="array" ref="N1058">GetCSVIndex(A2,290+10962)</f>
        <v/>
      </c>
      <c r="O1058" s="43" t="str" cm="1">
        <f t="array" ref="O1058">GetCSVIndex(A2,353+10962)</f>
        <v/>
      </c>
    </row>
    <row r="1059" spans="1:15" ht="21" customHeight="1" x14ac:dyDescent="0.25">
      <c r="A1059" s="38" t="s">
        <v>32</v>
      </c>
      <c r="B1059" s="30"/>
      <c r="C1059" s="29" t="str" cm="1">
        <f t="array" ref="C1059">IF(GetCSVIndex(A2,18+10962)&lt;&gt;"65535",CONCATENATE(GetCSVIndex(A2,234+10962),":", GetCSVIndex(A2,244+10962)),"OFF")</f>
        <v>:</v>
      </c>
      <c r="D1059" s="25"/>
      <c r="E1059" s="45">
        <v>9</v>
      </c>
      <c r="F1059" s="29" t="e" cm="1">
        <f t="array" ref="F1059">CHOOSE(GetCSVIndex(A2,60+10962)+1,"","Station","Block","","Delay")</f>
        <v>#VALUE!</v>
      </c>
      <c r="G1059" s="29" t="str" cm="1">
        <f t="array" ref="G1059">GetCSVIndex(A2,61+10962)</f>
        <v/>
      </c>
      <c r="H1059" s="45" t="str" cm="1">
        <f t="array" ref="H1059">GetCSVIndex(A2,259+10962)</f>
        <v/>
      </c>
      <c r="I1059" s="29" t="str" cm="1">
        <f t="array" ref="I1059">GetCSVIndex(A2,322+10962)</f>
        <v/>
      </c>
      <c r="J1059" s="25"/>
      <c r="K1059" s="45">
        <v>41</v>
      </c>
      <c r="L1059" s="29" t="e" cm="1">
        <f t="array" ref="L1059">CHOOSE(GetCSVIndex(A2,156+10962)+1,"","Station","Block","","Delay")</f>
        <v>#VALUE!</v>
      </c>
      <c r="M1059" s="29" t="str" cm="1">
        <f t="array" ref="M1059">GetCSVIndex(A2,157+10962)</f>
        <v/>
      </c>
      <c r="N1059" s="27" t="str" cm="1">
        <f t="array" ref="N1059">GetCSVIndex(A2,291+10962)</f>
        <v/>
      </c>
      <c r="O1059" s="43" t="str" cm="1">
        <f t="array" ref="O1059">GetCSVIndex(A2,354+10962)</f>
        <v/>
      </c>
    </row>
    <row r="1060" spans="1:15" ht="21" customHeight="1" x14ac:dyDescent="0.25">
      <c r="A1060" s="38" t="s">
        <v>33</v>
      </c>
      <c r="B1060" s="30"/>
      <c r="C1060" s="29" t="str" cm="1">
        <f t="array" ref="C1060">IF(GetCSVIndex(A2,19+10962)&lt;&gt;"65535",CONCATENATE(GetCSVIndex(A2,235+10962),":", GetCSVIndex(A2,245+10962)),"OFF")</f>
        <v>:</v>
      </c>
      <c r="D1060" s="25"/>
      <c r="E1060" s="45">
        <v>10</v>
      </c>
      <c r="F1060" s="29" t="e" cm="1">
        <f t="array" ref="F1060">CHOOSE(GetCSVIndex(A2,63+10962)+1,"","Station","Block","","Delay")</f>
        <v>#VALUE!</v>
      </c>
      <c r="G1060" s="29" t="str" cm="1">
        <f t="array" ref="G1060">GetCSVIndex(A2,64+10962)</f>
        <v/>
      </c>
      <c r="H1060" s="45" t="str" cm="1">
        <f t="array" ref="H1060">GetCSVIndex(A2,260+10962)</f>
        <v/>
      </c>
      <c r="I1060" s="29" t="str" cm="1">
        <f t="array" ref="I1060">GetCSVIndex(A2,323+10962)</f>
        <v/>
      </c>
      <c r="J1060" s="25"/>
      <c r="K1060" s="45">
        <v>42</v>
      </c>
      <c r="L1060" s="29" t="e" cm="1">
        <f t="array" ref="L1060">CHOOSE(GetCSVIndex(A2,159+10962)+1,"","Station","Block","","Delay")</f>
        <v>#VALUE!</v>
      </c>
      <c r="M1060" s="29" t="str" cm="1">
        <f t="array" ref="M1060">GetCSVIndex(A2,160+10962)</f>
        <v/>
      </c>
      <c r="N1060" s="27" t="str" cm="1">
        <f t="array" ref="N1060">GetCSVIndex(A2,292+10962)</f>
        <v/>
      </c>
      <c r="O1060" s="43" t="str" cm="1">
        <f t="array" ref="O1060">GetCSVIndex(A2,355+10962)</f>
        <v/>
      </c>
    </row>
    <row r="1061" spans="1:15" ht="21" customHeight="1" x14ac:dyDescent="0.25">
      <c r="A1061" s="38" t="s">
        <v>34</v>
      </c>
      <c r="B1061" s="30"/>
      <c r="C1061" s="29" t="str" cm="1">
        <f t="array" ref="C1061">IF(GetCSVIndex(A2,20+10962)&lt;&gt;"65535",CONCATENATE(GetCSVIndex(A2,236+10962),":", GetCSVIndex(A2,246+10962)),"OFF")</f>
        <v>:</v>
      </c>
      <c r="D1061" s="25"/>
      <c r="E1061" s="45">
        <v>11</v>
      </c>
      <c r="F1061" s="29" t="e" cm="1">
        <f t="array" ref="F1061">CHOOSE(GetCSVIndex(A2,66+10962)+1,"","Station","Block","","Delay")</f>
        <v>#VALUE!</v>
      </c>
      <c r="G1061" s="29" t="str" cm="1">
        <f t="array" ref="G1061">GetCSVIndex(A2,67+10962)</f>
        <v/>
      </c>
      <c r="H1061" s="45" t="str" cm="1">
        <f t="array" ref="H1061">GetCSVIndex(A2,261+10962)</f>
        <v/>
      </c>
      <c r="I1061" s="29" t="str" cm="1">
        <f t="array" ref="I1061">GetCSVIndex(A2,324+10962)</f>
        <v/>
      </c>
      <c r="J1061" s="25"/>
      <c r="K1061" s="45">
        <v>43</v>
      </c>
      <c r="L1061" s="29" t="e" cm="1">
        <f t="array" ref="L1061">CHOOSE(GetCSVIndex(A2,162+10962)+1,"","Station","Block","","Delay")</f>
        <v>#VALUE!</v>
      </c>
      <c r="M1061" s="29" t="str" cm="1">
        <f t="array" ref="M1061">GetCSVIndex(A2,163+10962)</f>
        <v/>
      </c>
      <c r="N1061" s="27" t="str" cm="1">
        <f t="array" ref="N1061">GetCSVIndex(A2,293+10962)</f>
        <v/>
      </c>
      <c r="O1061" s="43" t="str" cm="1">
        <f t="array" ref="O1061">GetCSVIndex(A2,356+10962)</f>
        <v/>
      </c>
    </row>
    <row r="1062" spans="1:15" ht="21" customHeight="1" x14ac:dyDescent="0.25">
      <c r="A1062" s="38" t="s">
        <v>35</v>
      </c>
      <c r="B1062" s="30"/>
      <c r="C1062" s="29" t="str" cm="1">
        <f t="array" ref="C1062">IF(GetCSVIndex(A2,21+10962)&lt;&gt;"65535",CONCATENATE(GetCSVIndex(A2,237+10962),":", GetCSVIndex(A2,247+10962)),"OFF")</f>
        <v>:</v>
      </c>
      <c r="D1062" s="25"/>
      <c r="E1062" s="45">
        <v>12</v>
      </c>
      <c r="F1062" s="29" t="e" cm="1">
        <f t="array" ref="F1062">CHOOSE(GetCSVIndex(A2,69+10962)+1,"","Station","Block","","Delay")</f>
        <v>#VALUE!</v>
      </c>
      <c r="G1062" s="29" t="str" cm="1">
        <f t="array" ref="G1062">GetCSVIndex(A2,70+10962)</f>
        <v/>
      </c>
      <c r="H1062" s="45" t="str" cm="1">
        <f t="array" ref="H1062">GetCSVIndex(A2,262+10962)</f>
        <v/>
      </c>
      <c r="I1062" s="29" t="str" cm="1">
        <f t="array" ref="I1062">GetCSVIndex(A2,325+10962)</f>
        <v/>
      </c>
      <c r="J1062" s="25"/>
      <c r="K1062" s="45">
        <v>44</v>
      </c>
      <c r="L1062" s="29" t="e" cm="1">
        <f t="array" ref="L1062">CHOOSE(GetCSVIndex(A2,165+10962)+1,"","Station","Block","","Delay")</f>
        <v>#VALUE!</v>
      </c>
      <c r="M1062" s="29" t="str" cm="1">
        <f t="array" ref="M1062">GetCSVIndex(A2,166+10962)</f>
        <v/>
      </c>
      <c r="N1062" s="27" t="str" cm="1">
        <f t="array" ref="N1062">GetCSVIndex(A2,294+10962)</f>
        <v/>
      </c>
      <c r="O1062" s="43" t="str" cm="1">
        <f t="array" ref="O1062">GetCSVIndex(A2,357+10962)</f>
        <v/>
      </c>
    </row>
    <row r="1063" spans="1:15" ht="21" customHeight="1" x14ac:dyDescent="0.25">
      <c r="A1063" s="38" t="s">
        <v>36</v>
      </c>
      <c r="B1063" s="30"/>
      <c r="C1063" s="29" t="str" cm="1">
        <f t="array" ref="C1063">IF(GetCSVIndex(A2,22+10962)&lt;&gt;"65535",CONCATENATE(GetCSVIndex(A2,238+10962),":", GetCSVIndex(A2,248+10962)),"OFF")</f>
        <v>:</v>
      </c>
      <c r="D1063" s="25"/>
      <c r="E1063" s="45">
        <v>13</v>
      </c>
      <c r="F1063" s="29" t="e" cm="1">
        <f t="array" ref="F1063">CHOOSE(GetCSVIndex(A2,72+10962)+1,"","Station","Block","","Delay")</f>
        <v>#VALUE!</v>
      </c>
      <c r="G1063" s="29" t="str" cm="1">
        <f t="array" ref="G1063">GetCSVIndex(A2,73+10962)</f>
        <v/>
      </c>
      <c r="H1063" s="45" t="str" cm="1">
        <f t="array" ref="H1063">GetCSVIndex(A2,263+10962)</f>
        <v/>
      </c>
      <c r="I1063" s="29" t="str" cm="1">
        <f t="array" ref="I1063">GetCSVIndex(A2,326+10962)</f>
        <v/>
      </c>
      <c r="J1063" s="25"/>
      <c r="K1063" s="45">
        <v>45</v>
      </c>
      <c r="L1063" s="29" t="e" cm="1">
        <f t="array" ref="L1063">CHOOSE(GetCSVIndex(A2,168+10962)+1,"","Station","Block","","Delay")</f>
        <v>#VALUE!</v>
      </c>
      <c r="M1063" s="29" t="str" cm="1">
        <f t="array" ref="M1063">GetCSVIndex(A2,169+10962)</f>
        <v/>
      </c>
      <c r="N1063" s="27" t="str" cm="1">
        <f t="array" ref="N1063">GetCSVIndex(A2,295+10962)</f>
        <v/>
      </c>
      <c r="O1063" s="43" t="str" cm="1">
        <f t="array" ref="O1063">GetCSVIndex(A2,358+10962)</f>
        <v/>
      </c>
    </row>
    <row r="1064" spans="1:15" ht="21" customHeight="1" x14ac:dyDescent="0.25">
      <c r="A1064" s="36" t="s">
        <v>37</v>
      </c>
      <c r="B1064" s="25"/>
      <c r="C1064" s="29" t="str" cm="1">
        <f t="array" ref="C1064">IF(GetCSVIndex(A2,23+10962)&lt;&gt;"65535",CONCATENATE(GetCSVIndex(A2,230+10962),":", GetCSVIndex(A2,240+10962)),"OFF")</f>
        <v>:</v>
      </c>
      <c r="D1064" s="25"/>
      <c r="E1064" s="45">
        <v>14</v>
      </c>
      <c r="F1064" s="29" t="e" cm="1">
        <f t="array" ref="F1064">CHOOSE(GetCSVIndex(A2,75+10962)+1,"","Station","Block","","Delay")</f>
        <v>#VALUE!</v>
      </c>
      <c r="G1064" s="29" t="str" cm="1">
        <f t="array" ref="G1064">GetCSVIndex(A2,76+10962)</f>
        <v/>
      </c>
      <c r="H1064" s="45" t="str" cm="1">
        <f t="array" ref="H1064">GetCSVIndex(A2,264+10962)</f>
        <v/>
      </c>
      <c r="I1064" s="29" t="str" cm="1">
        <f t="array" ref="I1064">GetCSVIndex(A2,327+10962)</f>
        <v/>
      </c>
      <c r="J1064" s="25"/>
      <c r="K1064" s="45">
        <v>46</v>
      </c>
      <c r="L1064" s="29" t="e" cm="1">
        <f t="array" ref="L1064">CHOOSE(GetCSVIndex(A2,171+10962)+1,"","Station","Block","","Delay")</f>
        <v>#VALUE!</v>
      </c>
      <c r="M1064" s="29" t="str" cm="1">
        <f t="array" ref="M1064">GetCSVIndex(A2,172+10962)</f>
        <v/>
      </c>
      <c r="N1064" s="27" t="str" cm="1">
        <f t="array" ref="N1064">GetCSVIndex(A2,296+10962)</f>
        <v/>
      </c>
      <c r="O1064" s="43" t="str" cm="1">
        <f t="array" ref="O1064">GetCSVIndex(A2,359+10962)</f>
        <v/>
      </c>
    </row>
    <row r="1065" spans="1:15" ht="21" customHeight="1" x14ac:dyDescent="0.25">
      <c r="A1065" s="39"/>
      <c r="B1065" s="40"/>
      <c r="C1065" s="41"/>
      <c r="D1065" s="26"/>
      <c r="E1065" s="45">
        <v>15</v>
      </c>
      <c r="F1065" s="29" t="e" cm="1">
        <f t="array" ref="F1065">CHOOSE(GetCSVIndex(A2,78+10962)+1,"","Station","Block","","Delay")</f>
        <v>#VALUE!</v>
      </c>
      <c r="G1065" s="29" t="str" cm="1">
        <f t="array" ref="G1065">GetCSVIndex(A2,79+10962)</f>
        <v/>
      </c>
      <c r="H1065" s="45" t="str" cm="1">
        <f t="array" ref="H1065">GetCSVIndex(A2,265+10962)</f>
        <v/>
      </c>
      <c r="I1065" s="29" t="str" cm="1">
        <f t="array" ref="I1065">GetCSVIndex(A2,328+10962)</f>
        <v/>
      </c>
      <c r="J1065" s="26"/>
      <c r="K1065" s="45">
        <v>47</v>
      </c>
      <c r="L1065" s="29" t="e" cm="1">
        <f t="array" ref="L1065">CHOOSE(GetCSVIndex(A2,174+10962)+1,"","Station","Block","","Delay")</f>
        <v>#VALUE!</v>
      </c>
      <c r="M1065" s="29" t="str" cm="1">
        <f t="array" ref="M1065">GetCSVIndex(A2,175+10962)</f>
        <v/>
      </c>
      <c r="N1065" s="27" t="str" cm="1">
        <f t="array" ref="N1065">GetCSVIndex(A2,297+10962)</f>
        <v/>
      </c>
      <c r="O1065" s="43" t="str" cm="1">
        <f t="array" ref="O1065">GetCSVIndex(A2,360+10962)</f>
        <v/>
      </c>
    </row>
    <row r="1066" spans="1:15" ht="21" customHeight="1" x14ac:dyDescent="0.25">
      <c r="A1066" s="42"/>
      <c r="B1066" s="25"/>
      <c r="C1066" s="25"/>
      <c r="D1066" s="26"/>
      <c r="E1066" s="45">
        <v>16</v>
      </c>
      <c r="F1066" s="29" t="e" cm="1">
        <f t="array" ref="F1066">CHOOSE(GetCSVIndex(A2,81+10962)+1,"","Station","Block","","Delay")</f>
        <v>#VALUE!</v>
      </c>
      <c r="G1066" s="29" t="str" cm="1">
        <f t="array" ref="G1066">GetCSVIndex(A2,82+10962)</f>
        <v/>
      </c>
      <c r="H1066" s="45" t="str" cm="1">
        <f t="array" ref="H1066">GetCSVIndex(A2,266+10962)</f>
        <v/>
      </c>
      <c r="I1066" s="29" t="str" cm="1">
        <f t="array" ref="I1066">GetCSVIndex(A2,329+10962)</f>
        <v/>
      </c>
      <c r="J1066" s="25"/>
      <c r="K1066" s="45">
        <v>48</v>
      </c>
      <c r="L1066" s="29" t="e" cm="1">
        <f t="array" ref="L1066">CHOOSE(GetCSVIndex(A2,177+10962)+1,"","Station","Block","","Delay")</f>
        <v>#VALUE!</v>
      </c>
      <c r="M1066" s="29" t="str" cm="1">
        <f t="array" ref="M1066">GetCSVIndex(A2,178+10962)</f>
        <v/>
      </c>
      <c r="N1066" s="27" t="str" cm="1">
        <f t="array" ref="N1066">GetCSVIndex(A2,298+10962)</f>
        <v/>
      </c>
      <c r="O1066" s="43" t="str" cm="1">
        <f t="array" ref="O1066">GetCSVIndex(A2,361+10962)</f>
        <v/>
      </c>
    </row>
    <row r="1067" spans="1:15" ht="21" customHeight="1" x14ac:dyDescent="0.25">
      <c r="A1067" s="42"/>
      <c r="B1067" s="25"/>
      <c r="C1067" s="25"/>
      <c r="D1067" s="26"/>
      <c r="E1067" s="45">
        <v>17</v>
      </c>
      <c r="F1067" s="29" t="e" cm="1">
        <f t="array" ref="F1067">CHOOSE(GetCSVIndex(A2,84+10962)+1,"","Station","Block","","Delay")</f>
        <v>#VALUE!</v>
      </c>
      <c r="G1067" s="29" t="str" cm="1">
        <f t="array" ref="G1067">GetCSVIndex(A2,85+10962)</f>
        <v/>
      </c>
      <c r="H1067" s="45" t="str" cm="1">
        <f t="array" ref="H1067">GetCSVIndex(A2,267+10962)</f>
        <v/>
      </c>
      <c r="I1067" s="29" t="str" cm="1">
        <f t="array" ref="I1067">GetCSVIndex(A2,330+10962)</f>
        <v/>
      </c>
      <c r="J1067" s="26"/>
      <c r="K1067" s="45">
        <v>49</v>
      </c>
      <c r="L1067" s="29" t="e" cm="1">
        <f t="array" ref="L1067">CHOOSE(GetCSVIndex(A2,180+10962)+1,"","Station","Block","","Delay")</f>
        <v>#VALUE!</v>
      </c>
      <c r="M1067" s="29" t="str" cm="1">
        <f t="array" ref="M1067">GetCSVIndex(A2,181+10962)</f>
        <v/>
      </c>
      <c r="N1067" s="27" t="str" cm="1">
        <f t="array" ref="N1067">GetCSVIndex(A2,299+10962)</f>
        <v/>
      </c>
      <c r="O1067" s="43" t="str" cm="1">
        <f t="array" ref="O1067">GetCSVIndex(A2,362+10962)</f>
        <v/>
      </c>
    </row>
    <row r="1068" spans="1:15" ht="21" customHeight="1" x14ac:dyDescent="0.25">
      <c r="A1068" s="42"/>
      <c r="B1068" s="25"/>
      <c r="C1068" s="25"/>
      <c r="D1068" s="26"/>
      <c r="E1068" s="45">
        <v>18</v>
      </c>
      <c r="F1068" s="29" t="e" cm="1">
        <f t="array" ref="F1068">CHOOSE(GetCSVIndex(A2,87+10962)+1,"","Station","Block","","Delay")</f>
        <v>#VALUE!</v>
      </c>
      <c r="G1068" s="29" t="str" cm="1">
        <f t="array" ref="G1068">GetCSVIndex(A2,88+10962)</f>
        <v/>
      </c>
      <c r="H1068" s="45" t="str" cm="1">
        <f t="array" ref="H1068">GetCSVIndex(A2,268+10962)</f>
        <v/>
      </c>
      <c r="I1068" s="29" t="str" cm="1">
        <f t="array" ref="I1068">GetCSVIndex(A2,331+10962)</f>
        <v/>
      </c>
      <c r="J1068" s="26"/>
      <c r="K1068" s="45">
        <v>50</v>
      </c>
      <c r="L1068" s="29" t="e" cm="1">
        <f t="array" ref="L1068">CHOOSE(GetCSVIndex(A2,183+10962)+1,"","Station","Block","","Delay")</f>
        <v>#VALUE!</v>
      </c>
      <c r="M1068" s="29" t="str" cm="1">
        <f t="array" ref="M1068">GetCSVIndex(A2,184+10962)</f>
        <v/>
      </c>
      <c r="N1068" s="27" t="str" cm="1">
        <f t="array" ref="N1068">GetCSVIndex(A2,300+10962)</f>
        <v/>
      </c>
      <c r="O1068" s="43" t="str" cm="1">
        <f t="array" ref="O1068">GetCSVIndex(A2,363+10962)</f>
        <v/>
      </c>
    </row>
    <row r="1069" spans="1:15" ht="21" customHeight="1" x14ac:dyDescent="0.25">
      <c r="A1069" s="42"/>
      <c r="B1069" s="25"/>
      <c r="C1069" s="25"/>
      <c r="D1069" s="26"/>
      <c r="E1069" s="45">
        <v>19</v>
      </c>
      <c r="F1069" s="29" t="e" cm="1">
        <f t="array" ref="F1069">CHOOSE(GetCSVIndex(A2,90+10962)+1,"","Station","Block","","Delay")</f>
        <v>#VALUE!</v>
      </c>
      <c r="G1069" s="29" t="str" cm="1">
        <f t="array" ref="G1069">GetCSVIndex(A2,91+10962)</f>
        <v/>
      </c>
      <c r="H1069" s="45" t="str" cm="1">
        <f t="array" ref="H1069">GetCSVIndex(A2,269+10962)</f>
        <v/>
      </c>
      <c r="I1069" s="29" t="str" cm="1">
        <f t="array" ref="I1069">GetCSVIndex(A2,332+10962)</f>
        <v/>
      </c>
      <c r="J1069" s="26"/>
      <c r="K1069" s="45">
        <v>51</v>
      </c>
      <c r="L1069" s="29" t="e" cm="1">
        <f t="array" ref="L1069">CHOOSE(GetCSVIndex(A2,186+10962)+1,"","Station","Block","","Delay")</f>
        <v>#VALUE!</v>
      </c>
      <c r="M1069" s="29" t="str" cm="1">
        <f t="array" ref="M1069">GetCSVIndex(A2,187+10962)</f>
        <v/>
      </c>
      <c r="N1069" s="27" t="str" cm="1">
        <f t="array" ref="N1069">GetCSVIndex(A2,301+10962)</f>
        <v/>
      </c>
      <c r="O1069" s="43" t="str" cm="1">
        <f t="array" ref="O1069">GetCSVIndex(A2,364+10962)</f>
        <v/>
      </c>
    </row>
    <row r="1070" spans="1:15" ht="21" customHeight="1" x14ac:dyDescent="0.25">
      <c r="A1070" s="42"/>
      <c r="B1070" s="25"/>
      <c r="C1070" s="25"/>
      <c r="D1070" s="26"/>
      <c r="E1070" s="45">
        <v>20</v>
      </c>
      <c r="F1070" s="29" t="e" cm="1">
        <f t="array" ref="F1070">CHOOSE(GetCSVIndex(A2,93+10962)+1,"","Station","Block","","Delay")</f>
        <v>#VALUE!</v>
      </c>
      <c r="G1070" s="29" t="str" cm="1">
        <f t="array" ref="G1070">GetCSVIndex(A2,94+10962)</f>
        <v/>
      </c>
      <c r="H1070" s="45" t="str" cm="1">
        <f t="array" ref="H1070">GetCSVIndex(A2,270+10962)</f>
        <v/>
      </c>
      <c r="I1070" s="29" t="str" cm="1">
        <f t="array" ref="I1070">GetCSVIndex(A2,333+10962)</f>
        <v/>
      </c>
      <c r="J1070" s="26"/>
      <c r="K1070" s="45">
        <v>52</v>
      </c>
      <c r="L1070" s="29" t="e" cm="1">
        <f t="array" ref="L1070">CHOOSE(GetCSVIndex(A2,189+10962)+1,"","Station","Block","","Delay")</f>
        <v>#VALUE!</v>
      </c>
      <c r="M1070" s="29" t="str" cm="1">
        <f t="array" ref="M1070">GetCSVIndex(A2,190+10962)</f>
        <v/>
      </c>
      <c r="N1070" s="27" t="str" cm="1">
        <f t="array" ref="N1070">GetCSVIndex(A2,302+10962)</f>
        <v/>
      </c>
      <c r="O1070" s="43" t="str" cm="1">
        <f t="array" ref="O1070">GetCSVIndex(A2,365+10962)</f>
        <v/>
      </c>
    </row>
    <row r="1071" spans="1:15" ht="21" customHeight="1" x14ac:dyDescent="0.25">
      <c r="A1071" s="42"/>
      <c r="B1071" s="25"/>
      <c r="C1071" s="25"/>
      <c r="D1071" s="26"/>
      <c r="E1071" s="45">
        <v>21</v>
      </c>
      <c r="F1071" s="29" t="e" cm="1">
        <f t="array" ref="F1071">CHOOSE(GetCSVIndex(A2,96+10962)+1,"","Station","Block","","Delay")</f>
        <v>#VALUE!</v>
      </c>
      <c r="G1071" s="29" t="str" cm="1">
        <f t="array" ref="G1071">GetCSVIndex(A2,97+10962)</f>
        <v/>
      </c>
      <c r="H1071" s="45" t="str" cm="1">
        <f t="array" ref="H1071">GetCSVIndex(A2,271+10962)</f>
        <v/>
      </c>
      <c r="I1071" s="29" t="str" cm="1">
        <f t="array" ref="I1071">GetCSVIndex(A2,334+10962)</f>
        <v/>
      </c>
      <c r="J1071" s="26"/>
      <c r="K1071" s="45">
        <v>53</v>
      </c>
      <c r="L1071" s="29" t="e" cm="1">
        <f t="array" ref="L1071">CHOOSE(GetCSVIndex(A2,192+10962)+1,"","Station","Block","","Delay")</f>
        <v>#VALUE!</v>
      </c>
      <c r="M1071" s="29" t="str" cm="1">
        <f t="array" ref="M1071">GetCSVIndex(A2,193+10962)</f>
        <v/>
      </c>
      <c r="N1071" s="27" t="str" cm="1">
        <f t="array" ref="N1071">GetCSVIndex(A2,303+10962)</f>
        <v/>
      </c>
      <c r="O1071" s="43" t="str" cm="1">
        <f t="array" ref="O1071">GetCSVIndex(A2,366+10962)</f>
        <v/>
      </c>
    </row>
    <row r="1072" spans="1:15" ht="21" customHeight="1" x14ac:dyDescent="0.25">
      <c r="A1072" s="42"/>
      <c r="B1072" s="25"/>
      <c r="C1072" s="25"/>
      <c r="D1072" s="26"/>
      <c r="E1072" s="45">
        <v>22</v>
      </c>
      <c r="F1072" s="29" t="e" cm="1">
        <f t="array" ref="F1072">CHOOSE(GetCSVIndex(A2,99+10962)+1,"","Station","Block","","Delay")</f>
        <v>#VALUE!</v>
      </c>
      <c r="G1072" s="29" t="str" cm="1">
        <f t="array" ref="G1072">GetCSVIndex(A2,100+10962)</f>
        <v/>
      </c>
      <c r="H1072" s="45" t="str" cm="1">
        <f t="array" ref="H1072">GetCSVIndex(A2,272+10962)</f>
        <v/>
      </c>
      <c r="I1072" s="29" t="str" cm="1">
        <f t="array" ref="I1072">GetCSVIndex(A2,335+10962)</f>
        <v/>
      </c>
      <c r="J1072" s="26"/>
      <c r="K1072" s="45">
        <v>54</v>
      </c>
      <c r="L1072" s="29" t="e" cm="1">
        <f t="array" ref="L1072">CHOOSE(GetCSVIndex(A2,195+10962)+1,"","Station","Block","","Delay")</f>
        <v>#VALUE!</v>
      </c>
      <c r="M1072" s="29" t="str" cm="1">
        <f t="array" ref="M1072">GetCSVIndex(A2,196+10962)</f>
        <v/>
      </c>
      <c r="N1072" s="27" t="str" cm="1">
        <f t="array" ref="N1072">GetCSVIndex(A2,304+10962)</f>
        <v/>
      </c>
      <c r="O1072" s="43" t="str" cm="1">
        <f t="array" ref="O1072">GetCSVIndex(A2,367+10962)</f>
        <v/>
      </c>
    </row>
    <row r="1073" spans="1:15" ht="21" customHeight="1" x14ac:dyDescent="0.25">
      <c r="A1073" s="42"/>
      <c r="B1073" s="25"/>
      <c r="C1073" s="25"/>
      <c r="D1073" s="26"/>
      <c r="E1073" s="45">
        <v>23</v>
      </c>
      <c r="F1073" s="29" t="e" cm="1">
        <f t="array" ref="F1073">CHOOSE(GetCSVIndex(A2,102+10962)+1,"","Station","Block","","Delay")</f>
        <v>#VALUE!</v>
      </c>
      <c r="G1073" s="29" t="str" cm="1">
        <f t="array" ref="G1073">GetCSVIndex(A2,103+10962)</f>
        <v/>
      </c>
      <c r="H1073" s="45" t="str" cm="1">
        <f t="array" ref="H1073">GetCSVIndex(A2,273+10962)</f>
        <v/>
      </c>
      <c r="I1073" s="29" t="str" cm="1">
        <f t="array" ref="I1073">GetCSVIndex(A2,336+10962)</f>
        <v/>
      </c>
      <c r="J1073" s="26"/>
      <c r="K1073" s="45">
        <v>55</v>
      </c>
      <c r="L1073" s="29" t="e" cm="1">
        <f t="array" ref="L1073">CHOOSE(GetCSVIndex(A2,198+10962)+1,"","Station","Block","","Delay")</f>
        <v>#VALUE!</v>
      </c>
      <c r="M1073" s="29" t="str" cm="1">
        <f t="array" ref="M1073">GetCSVIndex(A2,199+10962)</f>
        <v/>
      </c>
      <c r="N1073" s="27" t="str" cm="1">
        <f t="array" ref="N1073">GetCSVIndex(A2,305+10962)</f>
        <v/>
      </c>
      <c r="O1073" s="43" t="str" cm="1">
        <f t="array" ref="O1073">GetCSVIndex(A2,368+10962)</f>
        <v/>
      </c>
    </row>
    <row r="1074" spans="1:15" ht="21" customHeight="1" x14ac:dyDescent="0.25">
      <c r="A1074" s="42"/>
      <c r="B1074" s="25"/>
      <c r="C1074" s="25"/>
      <c r="D1074" s="26"/>
      <c r="E1074" s="45">
        <v>24</v>
      </c>
      <c r="F1074" s="29" t="e" cm="1">
        <f t="array" ref="F1074">CHOOSE(GetCSVIndex(A2,105+10962)+1,"","Station","Block","","Delay")</f>
        <v>#VALUE!</v>
      </c>
      <c r="G1074" s="29" t="str" cm="1">
        <f t="array" ref="G1074">GetCSVIndex(A2,106+10962)</f>
        <v/>
      </c>
      <c r="H1074" s="45" t="str" cm="1">
        <f t="array" ref="H1074">GetCSVIndex(A2,274+10962)</f>
        <v/>
      </c>
      <c r="I1074" s="29" t="str" cm="1">
        <f t="array" ref="I1074">GetCSVIndex(A2,337+10962)</f>
        <v/>
      </c>
      <c r="J1074" s="26"/>
      <c r="K1074" s="45">
        <v>56</v>
      </c>
      <c r="L1074" s="29" t="e" cm="1">
        <f t="array" ref="L1074">CHOOSE(GetCSVIndex(A2,201+10962)+1,"","Station","Block","","Delay")</f>
        <v>#VALUE!</v>
      </c>
      <c r="M1074" s="29" t="str" cm="1">
        <f t="array" ref="M1074">GetCSVIndex(A2,202+10962)</f>
        <v/>
      </c>
      <c r="N1074" s="27" t="str" cm="1">
        <f t="array" ref="N1074">GetCSVIndex(A2,306+10962)</f>
        <v/>
      </c>
      <c r="O1074" s="43" t="str" cm="1">
        <f t="array" ref="O1074">GetCSVIndex(A2,369+10962)</f>
        <v/>
      </c>
    </row>
    <row r="1075" spans="1:15" ht="21" customHeight="1" x14ac:dyDescent="0.25">
      <c r="A1075" s="42"/>
      <c r="B1075" s="25"/>
      <c r="C1075" s="25"/>
      <c r="D1075" s="26"/>
      <c r="E1075" s="45">
        <v>25</v>
      </c>
      <c r="F1075" s="29" t="e" cm="1">
        <f t="array" ref="F1075">CHOOSE(GetCSVIndex(A2,108+10962)+1,"","Station","Block","","Delay")</f>
        <v>#VALUE!</v>
      </c>
      <c r="G1075" s="29" t="str" cm="1">
        <f t="array" ref="G1075">GetCSVIndex(A2,109+10962)</f>
        <v/>
      </c>
      <c r="H1075" s="45" t="str" cm="1">
        <f t="array" ref="H1075">GetCSVIndex(A2,275+10962)</f>
        <v/>
      </c>
      <c r="I1075" s="29" t="str" cm="1">
        <f t="array" ref="I1075">GetCSVIndex(A2,338+10962)</f>
        <v/>
      </c>
      <c r="J1075" s="26"/>
      <c r="K1075" s="45">
        <v>57</v>
      </c>
      <c r="L1075" s="29" t="e" cm="1">
        <f t="array" ref="L1075">CHOOSE(GetCSVIndex(A2,204+10962)+1,"","Station","Block","","Delay")</f>
        <v>#VALUE!</v>
      </c>
      <c r="M1075" s="29" t="str" cm="1">
        <f t="array" ref="M1075">GetCSVIndex(A2,205+10962)</f>
        <v/>
      </c>
      <c r="N1075" s="27" t="str" cm="1">
        <f t="array" ref="N1075">GetCSVIndex(A2,307+10962)</f>
        <v/>
      </c>
      <c r="O1075" s="43" t="str" cm="1">
        <f t="array" ref="O1075">GetCSVIndex(A2,370+10962)</f>
        <v/>
      </c>
    </row>
    <row r="1076" spans="1:15" ht="21" customHeight="1" x14ac:dyDescent="0.25">
      <c r="A1076" s="42"/>
      <c r="B1076" s="25"/>
      <c r="C1076" s="25"/>
      <c r="D1076" s="26"/>
      <c r="E1076" s="45">
        <v>26</v>
      </c>
      <c r="F1076" s="29" t="e" cm="1">
        <f t="array" ref="F1076">CHOOSE(GetCSVIndex(A2,111+10962)+1,"","Station","Block","","Delay")</f>
        <v>#VALUE!</v>
      </c>
      <c r="G1076" s="29" t="str" cm="1">
        <f t="array" ref="G1076">GetCSVIndex(A2,112+10962)</f>
        <v/>
      </c>
      <c r="H1076" s="45" t="str" cm="1">
        <f t="array" ref="H1076">GetCSVIndex(A2,276+10962)</f>
        <v/>
      </c>
      <c r="I1076" s="29" t="str" cm="1">
        <f t="array" ref="I1076">GetCSVIndex(A2,339+10962)</f>
        <v/>
      </c>
      <c r="J1076" s="26"/>
      <c r="K1076" s="45">
        <v>58</v>
      </c>
      <c r="L1076" s="29" t="e" cm="1">
        <f t="array" ref="L1076">CHOOSE(GetCSVIndex(A2,207+10962)+1,"","Station","Block","","Delay")</f>
        <v>#VALUE!</v>
      </c>
      <c r="M1076" s="29" t="str" cm="1">
        <f t="array" ref="M1076">GetCSVIndex(A2,208+10962)</f>
        <v/>
      </c>
      <c r="N1076" s="27" t="str" cm="1">
        <f t="array" ref="N1076">GetCSVIndex(A2,308+10962)</f>
        <v/>
      </c>
      <c r="O1076" s="43" t="str" cm="1">
        <f t="array" ref="O1076">GetCSVIndex(A2,371+10962)</f>
        <v/>
      </c>
    </row>
    <row r="1077" spans="1:15" ht="21" customHeight="1" x14ac:dyDescent="0.25">
      <c r="A1077" s="42"/>
      <c r="B1077" s="25"/>
      <c r="C1077" s="25"/>
      <c r="D1077" s="26"/>
      <c r="E1077" s="45">
        <v>27</v>
      </c>
      <c r="F1077" s="29" t="e" cm="1">
        <f t="array" ref="F1077">CHOOSE(GetCSVIndex(A2,114+10962)+1,"","Station","Block","","Delay")</f>
        <v>#VALUE!</v>
      </c>
      <c r="G1077" s="29" t="str" cm="1">
        <f t="array" ref="G1077">GetCSVIndex(A2,115+10962)</f>
        <v/>
      </c>
      <c r="H1077" s="45" t="str" cm="1">
        <f t="array" ref="H1077">GetCSVIndex(A2,277+10962)</f>
        <v/>
      </c>
      <c r="I1077" s="29" t="str" cm="1">
        <f t="array" ref="I1077">GetCSVIndex(A2,340+10962)</f>
        <v/>
      </c>
      <c r="J1077" s="26"/>
      <c r="K1077" s="45">
        <v>59</v>
      </c>
      <c r="L1077" s="29" t="e" cm="1">
        <f t="array" ref="L1077">CHOOSE(GetCSVIndex(A2,210+10962)+1,"","Station","Block","","Delay")</f>
        <v>#VALUE!</v>
      </c>
      <c r="M1077" s="29" t="str" cm="1">
        <f t="array" ref="M1077">GetCSVIndex(A2,211+10962)</f>
        <v/>
      </c>
      <c r="N1077" s="27" t="str" cm="1">
        <f t="array" ref="N1077">GetCSVIndex(A2,309+10962)</f>
        <v/>
      </c>
      <c r="O1077" s="43" t="str" cm="1">
        <f t="array" ref="O1077">GetCSVIndex(A2,372+10962)</f>
        <v/>
      </c>
    </row>
    <row r="1078" spans="1:15" ht="21" customHeight="1" x14ac:dyDescent="0.25">
      <c r="A1078" s="42"/>
      <c r="B1078" s="25"/>
      <c r="C1078" s="25"/>
      <c r="D1078" s="26"/>
      <c r="E1078" s="45">
        <v>28</v>
      </c>
      <c r="F1078" s="29" t="e" cm="1">
        <f t="array" ref="F1078">CHOOSE(GetCSVIndex(A2,117+10962)+1,"","Station","Block","","Delay")</f>
        <v>#VALUE!</v>
      </c>
      <c r="G1078" s="29" t="str" cm="1">
        <f t="array" ref="G1078">GetCSVIndex(A2,118+10962)</f>
        <v/>
      </c>
      <c r="H1078" s="45" t="str" cm="1">
        <f t="array" ref="H1078">GetCSVIndex(A2,278+10962)</f>
        <v/>
      </c>
      <c r="I1078" s="29" t="str" cm="1">
        <f t="array" ref="I1078">GetCSVIndex(A2,341+10962)</f>
        <v/>
      </c>
      <c r="J1078" s="26"/>
      <c r="K1078" s="45">
        <v>60</v>
      </c>
      <c r="L1078" s="29" t="e" cm="1">
        <f t="array" ref="L1078">CHOOSE(GetCSVIndex(A2,213+10962)+1,"","Station","Block","","Delay")</f>
        <v>#VALUE!</v>
      </c>
      <c r="M1078" s="29" t="str" cm="1">
        <f t="array" ref="M1078">GetCSVIndex(A2,214+10962)</f>
        <v/>
      </c>
      <c r="N1078" s="27" t="str" cm="1">
        <f t="array" ref="N1078">GetCSVIndex(A2,310+10962)</f>
        <v/>
      </c>
      <c r="O1078" s="43" t="str" cm="1">
        <f t="array" ref="O1078">GetCSVIndex(A2,373+10962)</f>
        <v/>
      </c>
    </row>
    <row r="1079" spans="1:15" ht="21" customHeight="1" x14ac:dyDescent="0.25">
      <c r="A1079" s="42"/>
      <c r="B1079" s="25"/>
      <c r="C1079" s="25"/>
      <c r="D1079" s="26"/>
      <c r="E1079" s="45">
        <v>29</v>
      </c>
      <c r="F1079" s="29" t="e" cm="1">
        <f t="array" ref="F1079">CHOOSE(GetCSVIndex(A2,120+10962)+1,"","Station","Block","","Delay")</f>
        <v>#VALUE!</v>
      </c>
      <c r="G1079" s="29" t="str" cm="1">
        <f t="array" ref="G1079">GetCSVIndex(A2,121+10962)</f>
        <v/>
      </c>
      <c r="H1079" s="45" t="str" cm="1">
        <f t="array" ref="H1079">GetCSVIndex(A2,279+10962)</f>
        <v/>
      </c>
      <c r="I1079" s="29" t="str" cm="1">
        <f t="array" ref="I1079">GetCSVIndex(A2,342+10962)</f>
        <v/>
      </c>
      <c r="J1079" s="26"/>
      <c r="K1079" s="45">
        <v>61</v>
      </c>
      <c r="L1079" s="29" t="e" cm="1">
        <f t="array" ref="L1079">CHOOSE(GetCSVIndex(A2,216+10962)+1,"","Station","Block","","Delay")</f>
        <v>#VALUE!</v>
      </c>
      <c r="M1079" s="29" t="str" cm="1">
        <f t="array" ref="M1079">GetCSVIndex(A2,217+10962)</f>
        <v/>
      </c>
      <c r="N1079" s="27" t="str" cm="1">
        <f t="array" ref="N1079">GetCSVIndex(A2,311+10962)</f>
        <v/>
      </c>
      <c r="O1079" s="43" t="str" cm="1">
        <f t="array" ref="O1079">GetCSVIndex(A2,374+10962)</f>
        <v/>
      </c>
    </row>
    <row r="1080" spans="1:15" ht="21" customHeight="1" x14ac:dyDescent="0.25">
      <c r="A1080" s="42"/>
      <c r="B1080" s="25"/>
      <c r="C1080" s="25"/>
      <c r="D1080" s="26"/>
      <c r="E1080" s="45">
        <v>30</v>
      </c>
      <c r="F1080" s="29" t="e" cm="1">
        <f t="array" ref="F1080">CHOOSE(GetCSVIndex(A2,123+10962)+1,"","Station","Block","","Delay")</f>
        <v>#VALUE!</v>
      </c>
      <c r="G1080" s="29" t="str" cm="1">
        <f t="array" ref="G1080">GetCSVIndex(A2,124+10962)</f>
        <v/>
      </c>
      <c r="H1080" s="45" t="str" cm="1">
        <f t="array" ref="H1080">GetCSVIndex(A2,280+10962)</f>
        <v/>
      </c>
      <c r="I1080" s="29" t="str" cm="1">
        <f t="array" ref="I1080">GetCSVIndex(A2,343+10962)</f>
        <v/>
      </c>
      <c r="J1080" s="26"/>
      <c r="K1080" s="45">
        <v>62</v>
      </c>
      <c r="L1080" s="29" t="e" cm="1">
        <f t="array" ref="L1080">CHOOSE(GetCSVIndex(A2,219+10962)+1,"","Station","Block","","Delay")</f>
        <v>#VALUE!</v>
      </c>
      <c r="M1080" s="29" t="str" cm="1">
        <f t="array" ref="M1080">GetCSVIndex(A2,220+10962)</f>
        <v/>
      </c>
      <c r="N1080" s="27" t="str" cm="1">
        <f t="array" ref="N1080">GetCSVIndex(A2,312+10962)</f>
        <v/>
      </c>
      <c r="O1080" s="43" t="str" cm="1">
        <f t="array" ref="O1080">GetCSVIndex(A2,375+10962)</f>
        <v/>
      </c>
    </row>
    <row r="1081" spans="1:15" ht="21" customHeight="1" x14ac:dyDescent="0.25">
      <c r="A1081" s="42"/>
      <c r="B1081" s="25"/>
      <c r="C1081" s="25"/>
      <c r="D1081" s="26"/>
      <c r="E1081" s="45">
        <v>31</v>
      </c>
      <c r="F1081" s="29" t="e" cm="1">
        <f t="array" ref="F1081">CHOOSE(GetCSVIndex(A2,126+10962)+1,"","Station","Block","","Delay")</f>
        <v>#VALUE!</v>
      </c>
      <c r="G1081" s="29" t="str" cm="1">
        <f t="array" ref="G1081">GetCSVIndex(A2,127+10962)</f>
        <v/>
      </c>
      <c r="H1081" s="45" t="str" cm="1">
        <f t="array" ref="H1081">GetCSVIndex(A2,281+10962)</f>
        <v/>
      </c>
      <c r="I1081" s="29" t="str" cm="1">
        <f t="array" ref="I1081">GetCSVIndex(A2,344+10962)</f>
        <v/>
      </c>
      <c r="J1081" s="26"/>
      <c r="K1081" s="45">
        <v>63</v>
      </c>
      <c r="L1081" s="29" t="e" cm="1">
        <f t="array" ref="L1081">CHOOSE(GetCSVIndex(A2,222+10962)+1,"","Station","Block","","Delay")</f>
        <v>#VALUE!</v>
      </c>
      <c r="M1081" s="29" t="str" cm="1">
        <f t="array" ref="M1081">GetCSVIndex(A2,223+10962)</f>
        <v/>
      </c>
      <c r="N1081" s="27" t="str" cm="1">
        <f t="array" ref="N1081">GetCSVIndex(A2,313+10962)</f>
        <v/>
      </c>
      <c r="O1081" s="43" t="str" cm="1">
        <f t="array" ref="O1081">GetCSVIndex(A2,376+10962)</f>
        <v/>
      </c>
    </row>
    <row r="1082" spans="1:15" ht="21" customHeight="1" x14ac:dyDescent="0.25">
      <c r="A1082" s="37"/>
      <c r="B1082" s="28"/>
      <c r="C1082" s="29"/>
      <c r="D1082" s="29"/>
      <c r="E1082" s="45">
        <v>32</v>
      </c>
      <c r="F1082" s="29" t="e" cm="1">
        <f t="array" ref="F1082">CHOOSE(GetCSVIndex(A2,129+10962)+1,"","Station","Block","","Delay")</f>
        <v>#VALUE!</v>
      </c>
      <c r="G1082" s="29" t="str" cm="1">
        <f t="array" ref="G1082">GetCSVIndex(A2,130+10962)</f>
        <v/>
      </c>
      <c r="H1082" s="45" t="str" cm="1">
        <f t="array" ref="H1082">GetCSVIndex(A2,282+10962)</f>
        <v/>
      </c>
      <c r="I1082" s="29" t="str" cm="1">
        <f t="array" ref="I1082">GetCSVIndex(A2,345+10962)</f>
        <v/>
      </c>
      <c r="J1082" s="29"/>
      <c r="K1082" s="45">
        <v>64</v>
      </c>
      <c r="L1082" s="29" t="e" cm="1">
        <f t="array" ref="L1082">CHOOSE(GetCSVIndex(A2,225+10962)+1,"","Station","Block","","Delay")</f>
        <v>#VALUE!</v>
      </c>
      <c r="M1082" s="29" t="str" cm="1">
        <f t="array" ref="M1082">GetCSVIndex(A2,226+10962)</f>
        <v/>
      </c>
      <c r="N1082" s="27" t="str" cm="1">
        <f t="array" ref="N1082">GetCSVIndex(A2,314+10962)</f>
        <v/>
      </c>
      <c r="O1082" s="43" t="str" cm="1">
        <f t="array" ref="O1082">GetCSVIndex(A2,377+10962)</f>
        <v/>
      </c>
    </row>
    <row r="1083" spans="1:15" ht="23.25" customHeight="1" x14ac:dyDescent="0.25">
      <c r="A1083" s="51" t="str" cm="1">
        <f t="array" ref="A1083">CONCATENATE("Schedule  Program Number : ", GetCSVIndex(A2,5+11340))</f>
        <v xml:space="preserve">Schedule  Program Number : </v>
      </c>
      <c r="B1083" s="52"/>
      <c r="C1083" s="52"/>
      <c r="D1083" s="52"/>
      <c r="E1083" s="52"/>
      <c r="F1083" s="52"/>
      <c r="G1083" s="52"/>
      <c r="H1083" s="52"/>
      <c r="I1083" s="52"/>
      <c r="J1083" s="52"/>
      <c r="K1083" s="52"/>
      <c r="L1083" s="52"/>
      <c r="M1083" s="52"/>
      <c r="N1083" s="52"/>
      <c r="O1083" s="53"/>
    </row>
    <row r="1084" spans="1:15" ht="21" customHeight="1" x14ac:dyDescent="0.25">
      <c r="A1084" s="20" t="s">
        <v>44</v>
      </c>
      <c r="B1084" s="22" t="str" cm="1">
        <f t="array" ref="B1084">GetCSVIndex(A2,5+11340)</f>
        <v/>
      </c>
      <c r="C1084" s="18"/>
      <c r="D1084" s="18"/>
      <c r="E1084" s="18"/>
      <c r="F1084" s="18"/>
      <c r="G1084" s="18" t="s">
        <v>19</v>
      </c>
      <c r="H1084" s="18" t="e" cm="1">
        <f t="array" ref="H1084">CHOOSE(GetCSVIndex(A2,7+11340)+1, "Days of Week", "Odd/Even", "Interval","Manual")</f>
        <v>#VALUE!</v>
      </c>
      <c r="I1084" s="18"/>
      <c r="J1084" s="15"/>
      <c r="K1084" s="15"/>
      <c r="L1084" s="15"/>
      <c r="M1084" s="15"/>
      <c r="N1084" s="15"/>
      <c r="O1084" s="16"/>
    </row>
    <row r="1085" spans="1:15" ht="18" customHeight="1" x14ac:dyDescent="0.25">
      <c r="A1085" s="21" t="s">
        <v>20</v>
      </c>
      <c r="B1085" s="19" t="e" cm="1">
        <f t="array" ref="B1085">CHOOSE(GetCSVIndex(A2,24+11340)+1, "Program", "Global", "Monthly","Solar Sync")</f>
        <v>#VALUE!</v>
      </c>
      <c r="C1085" s="19"/>
      <c r="D1085" s="19"/>
      <c r="E1085" s="19"/>
      <c r="F1085" s="19" t="s">
        <v>21</v>
      </c>
      <c r="G1085" s="19" t="e" cm="1">
        <f t="array" ref="G1085">IF(CHOOSE(GetCSVIndex(A2,7+11340)+1,IF(_xlfn.BITAND(GetCSVIndex(A2,8+11340), 2^0)=0, 0, 1),IF(_xlfn.BITAND(GetCSVIndex(A2,9+11340), 2^0)=0, 0, 1),IF(_xlfn.BITAND(GetCSVIndex(A2,10+11340), 2^0)=0, 0, 1)) =1,"Mon","")</f>
        <v>#VALUE!</v>
      </c>
      <c r="H1085" s="19" t="e" cm="1">
        <f t="array" ref="H1085">CONCATENATE(IF(CHOOSE(GetCSVIndex(A2,7+11340)+1,IF(_xlfn.BITAND(GetCSVIndex(A2,8+11340), 2^1)=0, 0, 1),IF(_xlfn.BITAND(GetCSVIndex(A2,9+11340), 2^1)=0, 0, 1),IF(_xlfn.BITAND(GetCSVIndex(A2,10+11340), 2^1)=0, 0, 1)) =1,"Tue       ","       "),IF(CHOOSE(GetCSVIndex(A2,7+11340)+1,IF(_xlfn.BITAND(GetCSVIndex(A2,8+11340), 2^2)=0, 0, 1),IF(_xlfn.BITAND(GetCSVIndex(A2,9+11340), 2^2)=0, 0, 1),IF(_xlfn.BITAND(GetCSVIndex(A2,10+11340), 2^2)=0, 0, 1)) =1,"Wed",""),IF(CHOOSE(GetCSVIndex(A2,7+11340)+1,IF(_xlfn.BITAND(GetCSVIndex(A2,8+11340), 2^3)=0, 0, 1),IF(_xlfn.BITAND(GetCSVIndex(A2,9+11340), 2^3)=0, 0, 1),IF(_xlfn.BITAND(GetCSVIndex(A2,10+11340), 2^3)=0, 0, 1)) =1,"       Thu","       "))</f>
        <v>#VALUE!</v>
      </c>
      <c r="I1085" s="32" t="e" cm="1">
        <f t="array" ref="I1085">CONCATENATE(IF(CHOOSE(GetCSVIndex(A2,7+11340)+1,IF(_xlfn.BITAND(GetCSVIndex(A2,8+11340), 2^4)=0, 0, 1),IF(_xlfn.BITAND(GetCSVIndex(A2,9+11340), 2^4)=0, 0, 1),IF(_xlfn.BITAND(GetCSVIndex(A2,10+11340), 2^4)=0, 0, 1)) =1,"Fri       ","       "),IF(CHOOSE(GetCSVIndex(A2,7+11340)+1,IF(_xlfn.BITAND(GetCSVIndex(A2,8+11340), 2^5)=0, 0, 1),IF(_xlfn.BITAND(GetCSVIndex(A2,9+11340), 2^5)=0, 0, 1),IF(_xlfn.BITAND(GetCSVIndex(A2,10+11340), 2^5)=0, 0, 1)) =1,"Sat",""),IF(CHOOSE(GetCSVIndex(A2,7+11340)+1,IF(_xlfn.BITAND(GetCSVIndex(A2,8+11340), 2^6)=0, 0, 1),IF(_xlfn.BITAND(GetCSVIndex(A2,9+11340), 2^6)=0, 0, 1),IF(_xlfn.BITAND(GetCSVIndex(A2,10+11340), 2^6)=0, 0, 1)) =1,"       Sun","       "))</f>
        <v>#VALUE!</v>
      </c>
      <c r="J1085" s="19"/>
      <c r="K1085" s="19"/>
      <c r="L1085" s="32" t="s">
        <v>22</v>
      </c>
      <c r="M1085" s="19"/>
      <c r="N1085" s="19" t="str" cm="1">
        <f t="array" ref="N1085">IF(GetCSVIndex(A2,26+11340)="1","Enable","Disable")</f>
        <v>Disable</v>
      </c>
      <c r="O1085" s="24"/>
    </row>
    <row r="1086" spans="1:15" ht="18" customHeight="1" x14ac:dyDescent="0.25">
      <c r="A1086" s="21" t="str" cm="1">
        <f t="array" ref="A1086">CONCATENATE("Program ", GetCSVIndex(A2,5+11340))</f>
        <v xml:space="preserve">Program </v>
      </c>
      <c r="B1086" s="23" t="str" cm="1">
        <f t="array" ref="B1086">CONCATENATE(GetCSVIndex(A2,25+11340)," %")</f>
        <v xml:space="preserve"> %</v>
      </c>
      <c r="C1086" s="19"/>
      <c r="D1086" s="19"/>
      <c r="E1086" s="19"/>
      <c r="F1086" s="19" t="str" cm="1">
        <f t="array" ref="F1086">IF(GetCSVIndex(A2,7)="2","Water Every"," ")</f>
        <v xml:space="preserve"> </v>
      </c>
      <c r="G1086" s="47" t="str" cm="1">
        <f t="array" ref="G1086">IF(GetCSVIndex(A2,7+11340)="2",GetCSVIndex(A2,11+11340)," ")</f>
        <v xml:space="preserve"> </v>
      </c>
      <c r="H1086" s="19" t="str" cm="1">
        <f t="array" ref="H1086">IF(GetCSVIndex(A2,7+11340)="2","Days"," ")</f>
        <v xml:space="preserve"> </v>
      </c>
      <c r="I1086" s="32" t="str" cm="1">
        <f t="array" ref="I1086">IF(GetCSVIndex(A2,7+11340)="2","Water After"," ")</f>
        <v xml:space="preserve"> </v>
      </c>
      <c r="J1086" s="19"/>
      <c r="K1086" s="19" t="str" cm="1">
        <f t="array" ref="K1086">IF(GetCSVIndex(A2,7+11340)="2",GetCSVIndex(A2,12+11340)," ")</f>
        <v xml:space="preserve"> </v>
      </c>
      <c r="L1086" s="47" t="str" cm="1">
        <f t="array" ref="L1086">IF(GetCSVIndex(A2,7+11340)="2","Days"," ")</f>
        <v xml:space="preserve"> </v>
      </c>
      <c r="M1086" s="32"/>
      <c r="N1086" s="32"/>
      <c r="O1086" s="24"/>
    </row>
    <row r="1087" spans="1:15" ht="21" customHeight="1" x14ac:dyDescent="0.25">
      <c r="A1087" s="20" t="s">
        <v>23</v>
      </c>
      <c r="B1087" s="18" t="s">
        <v>24</v>
      </c>
      <c r="C1087" s="18" t="str" cm="1">
        <f t="array" ref="C1087">CHOOSE(GetCSVIndex(A2,13)+1, "Auto", "Start to End","Manual")</f>
        <v>Start to End</v>
      </c>
      <c r="D1087" s="31"/>
      <c r="E1087" s="17" t="s">
        <v>38</v>
      </c>
      <c r="F1087" s="18" t="s">
        <v>39</v>
      </c>
      <c r="G1087" s="18" t="s">
        <v>40</v>
      </c>
      <c r="H1087" s="18" t="s">
        <v>41</v>
      </c>
      <c r="I1087" s="18" t="s">
        <v>43</v>
      </c>
      <c r="J1087" s="31"/>
      <c r="K1087" s="17" t="s">
        <v>38</v>
      </c>
      <c r="L1087" s="18" t="s">
        <v>39</v>
      </c>
      <c r="M1087" s="18" t="s">
        <v>40</v>
      </c>
      <c r="N1087" s="22" t="s">
        <v>41</v>
      </c>
      <c r="O1087" s="44" t="s">
        <v>42</v>
      </c>
    </row>
    <row r="1088" spans="1:15" ht="21" customHeight="1" x14ac:dyDescent="0.25">
      <c r="A1088" s="36" t="s">
        <v>25</v>
      </c>
      <c r="B1088" s="46" t="str" cm="1">
        <f t="array" ref="B1088">IF(GetCSVIndex(A2,6+11340)="1","Over","Stack")</f>
        <v>Stack</v>
      </c>
      <c r="C1088" s="26" t="str" cm="1">
        <f t="array" ref="C1088">GetCSVIndex(A2,29+11340)</f>
        <v/>
      </c>
      <c r="D1088" s="25"/>
      <c r="E1088" s="45">
        <v>1</v>
      </c>
      <c r="F1088" s="29" t="e" cm="1">
        <f t="array" ref="F1088">CHOOSE(GetCSVIndex(A2,36+11340)+1,"","Station","Block","","Delay")</f>
        <v>#VALUE!</v>
      </c>
      <c r="G1088" s="29" t="str" cm="1">
        <f t="array" ref="G1088">GetCSVIndex(A2,37+11340)</f>
        <v/>
      </c>
      <c r="H1088" s="45" t="str" cm="1">
        <f t="array" ref="H1088">GetCSVIndex(A2,3+11340)</f>
        <v/>
      </c>
      <c r="I1088" s="29" t="str" cm="1">
        <f t="array" ref="I1088">GetCSVIndex(A2,1+11340)</f>
        <v/>
      </c>
      <c r="J1088" s="25"/>
      <c r="K1088" s="45">
        <v>33</v>
      </c>
      <c r="L1088" s="29" t="e" cm="1">
        <f t="array" ref="L1088">CHOOSE(GetCSVIndex(A2,132+11340)+1,"","Station","Block","","Delay")</f>
        <v>#VALUE!</v>
      </c>
      <c r="M1088" s="29" t="str" cm="1">
        <f t="array" ref="M1088">GetCSVIndex(A2,133+11340)</f>
        <v/>
      </c>
      <c r="N1088" s="27" t="str" cm="1">
        <f t="array" ref="N1088">GetCSVIndex(A2,283+11340)</f>
        <v/>
      </c>
      <c r="O1088" s="43" t="str" cm="1">
        <f t="array" ref="O1088">GetCSVIndex(A2,346+11340)</f>
        <v/>
      </c>
    </row>
    <row r="1089" spans="1:15" ht="21" customHeight="1" x14ac:dyDescent="0.25">
      <c r="A1089" s="36" t="s">
        <v>26</v>
      </c>
      <c r="B1089" s="25" t="str" cm="1">
        <f t="array" ref="B1089">IF(GetCSVIndex(A2,2+11340)="1092:15","Not Set",CONCATENATE("From     ",GetCSVIndex(A2,2+11340)))</f>
        <v xml:space="preserve">From     </v>
      </c>
      <c r="C1089" s="26" t="str" cm="1">
        <f t="array" ref="C1089">IF(GetCSVIndex(C4,1+58)="1092:15","Not Set",CONCATENATE("To     ",GetCSVIndex(C4,1+58)))</f>
        <v xml:space="preserve">To     </v>
      </c>
      <c r="D1089" s="25"/>
      <c r="E1089" s="45">
        <v>2</v>
      </c>
      <c r="F1089" s="29" t="e" cm="1">
        <f t="array" ref="F1089">CHOOSE(GetCSVIndex(A2,39+11340)+1,"","Station","Block","","Delay")</f>
        <v>#VALUE!</v>
      </c>
      <c r="G1089" s="29" t="str" cm="1">
        <f t="array" ref="G1089">GetCSVIndex(A2,40+11340)</f>
        <v/>
      </c>
      <c r="H1089" s="45" t="str" cm="1">
        <f t="array" ref="H1089">GetCSVIndex(A2,252+11340)</f>
        <v/>
      </c>
      <c r="I1089" s="29" t="str" cm="1">
        <f t="array" ref="I1089">GetCSVIndex(A2,315+11340)</f>
        <v/>
      </c>
      <c r="J1089" s="25"/>
      <c r="K1089" s="45">
        <v>34</v>
      </c>
      <c r="L1089" s="29" t="e" cm="1">
        <f t="array" ref="L1089">CHOOSE(GetCSVIndex(A2,135+11340)+1,"","Station","Block","","Delay")</f>
        <v>#VALUE!</v>
      </c>
      <c r="M1089" s="29" t="str" cm="1">
        <f t="array" ref="M1089">GetCSVIndex(A2,136+11340)</f>
        <v/>
      </c>
      <c r="N1089" s="27" t="str" cm="1">
        <f t="array" ref="N1089">GetCSVIndex(A2,284+11340)</f>
        <v/>
      </c>
      <c r="O1089" s="43" t="str" cm="1">
        <f t="array" ref="O1089">GetCSVIndex(A2,347+11340)</f>
        <v/>
      </c>
    </row>
    <row r="1090" spans="1:15" ht="21" customHeight="1" x14ac:dyDescent="0.25">
      <c r="A1090" s="36" t="s">
        <v>27</v>
      </c>
      <c r="B1090" s="25"/>
      <c r="C1090" s="26" t="str" cm="1">
        <f t="array" ref="C1090">CONCATENATE(GetCSVIndex(A2,249+11340),":", GetCSVIndex(A2,250+11340),":", GetCSVIndex(A2,251+11340))</f>
        <v>::</v>
      </c>
      <c r="D1090" s="26"/>
      <c r="E1090" s="45">
        <v>3</v>
      </c>
      <c r="F1090" s="29" t="e" cm="1">
        <f t="array" ref="F1090">CHOOSE(GetCSVIndex(A2,42+11340)+1,"","Station","Block","","Delay")</f>
        <v>#VALUE!</v>
      </c>
      <c r="G1090" s="29" t="str" cm="1">
        <f t="array" ref="G1090">GetCSVIndex(A2,43+11340)</f>
        <v/>
      </c>
      <c r="H1090" s="45" t="str" cm="1">
        <f t="array" ref="H1090">GetCSVIndex(A2,253+11340)</f>
        <v/>
      </c>
      <c r="I1090" s="29" t="str" cm="1">
        <f t="array" ref="I1090">GetCSVIndex(A2,316+11340)</f>
        <v/>
      </c>
      <c r="J1090" s="25"/>
      <c r="K1090" s="45">
        <v>35</v>
      </c>
      <c r="L1090" s="29" t="e" cm="1">
        <f t="array" ref="L1090">CHOOSE(GetCSVIndex(A2,138+11340)+1,"","Station","Block","","Delay")</f>
        <v>#VALUE!</v>
      </c>
      <c r="M1090" s="29" t="str" cm="1">
        <f t="array" ref="M1090">GetCSVIndex(A2,139+11340)</f>
        <v/>
      </c>
      <c r="N1090" s="27" t="str" cm="1">
        <f t="array" ref="N1090">GetCSVIndex(A2,285+11340)</f>
        <v/>
      </c>
      <c r="O1090" s="43" t="str" cm="1">
        <f t="array" ref="O1090">GetCSVIndex(A2,348+11340)</f>
        <v/>
      </c>
    </row>
    <row r="1091" spans="1:15" ht="21" customHeight="1" x14ac:dyDescent="0.25">
      <c r="A1091" s="36"/>
      <c r="B1091" s="25"/>
      <c r="C1091" s="25"/>
      <c r="D1091" s="25"/>
      <c r="E1091" s="45">
        <v>4</v>
      </c>
      <c r="F1091" s="29" t="e" cm="1">
        <f t="array" ref="F1091">CHOOSE(GetCSVIndex(A2,45+11340)+1,"","Station","Block","","Delay")</f>
        <v>#VALUE!</v>
      </c>
      <c r="G1091" s="29" t="str" cm="1">
        <f t="array" ref="G1091">GetCSVIndex(A2,46+11340)</f>
        <v/>
      </c>
      <c r="H1091" s="45" t="str" cm="1">
        <f t="array" ref="H1091">GetCSVIndex(A2,254+11340)</f>
        <v/>
      </c>
      <c r="I1091" s="29" t="str" cm="1">
        <f t="array" ref="I1091">GetCSVIndex(A2,317+11340)</f>
        <v/>
      </c>
      <c r="J1091" s="25"/>
      <c r="K1091" s="45">
        <v>36</v>
      </c>
      <c r="L1091" s="29" t="e" cm="1">
        <f t="array" ref="L1091">CHOOSE(GetCSVIndex(A2,141+11340)+1,"","Station","Block","","Delay")</f>
        <v>#VALUE!</v>
      </c>
      <c r="M1091" s="29" t="str" cm="1">
        <f t="array" ref="M1091">GetCSVIndex(A2,142+11340)</f>
        <v/>
      </c>
      <c r="N1091" s="27" t="str" cm="1">
        <f t="array" ref="N1091">GetCSVIndex(A2,286+11340)</f>
        <v/>
      </c>
      <c r="O1091" s="43" t="str" cm="1">
        <f t="array" ref="O1091">GetCSVIndex(A2,349+11340)</f>
        <v/>
      </c>
    </row>
    <row r="1092" spans="1:15" ht="21" customHeight="1" x14ac:dyDescent="0.25">
      <c r="A1092" s="37" t="s">
        <v>28</v>
      </c>
      <c r="B1092" s="28"/>
      <c r="C1092" s="29" t="str" cm="1">
        <f t="array" ref="C1092">IF(GetCSVIndex(A2,14+11340)&lt;&gt;"65535",CONCATENATE(GetCSVIndex(A2,229+11340),":", GetCSVIndex(A2,239+11340)),"OFF")</f>
        <v>:</v>
      </c>
      <c r="D1092" s="25"/>
      <c r="E1092" s="45">
        <v>5</v>
      </c>
      <c r="F1092" s="29" t="e" cm="1">
        <f t="array" ref="F1092">CHOOSE(GetCSVIndex(A2,48+11340)+1,"","Station","Block","","Delay")</f>
        <v>#VALUE!</v>
      </c>
      <c r="G1092" s="29" t="str" cm="1">
        <f t="array" ref="G1092">GetCSVIndex(A2,49+11340)</f>
        <v/>
      </c>
      <c r="H1092" s="45" t="str" cm="1">
        <f t="array" ref="H1092">GetCSVIndex(A2,255+11340)</f>
        <v/>
      </c>
      <c r="I1092" s="29" t="str" cm="1">
        <f t="array" ref="I1092">GetCSVIndex(A2,318+11340)</f>
        <v/>
      </c>
      <c r="J1092" s="25"/>
      <c r="K1092" s="45">
        <v>37</v>
      </c>
      <c r="L1092" s="29" t="e" cm="1">
        <f t="array" ref="L1092">CHOOSE(GetCSVIndex(A2,144+11340)+1,"","Station","Block","","Delay")</f>
        <v>#VALUE!</v>
      </c>
      <c r="M1092" s="29" t="str" cm="1">
        <f t="array" ref="M1092">GetCSVIndex(A2,145+11340)</f>
        <v/>
      </c>
      <c r="N1092" s="27" t="str" cm="1">
        <f t="array" ref="N1092">GetCSVIndex(A2,287+11340)</f>
        <v/>
      </c>
      <c r="O1092" s="43" t="str" cm="1">
        <f t="array" ref="O1092">GetCSVIndex(A2,350+11340)</f>
        <v/>
      </c>
    </row>
    <row r="1093" spans="1:15" ht="21" customHeight="1" x14ac:dyDescent="0.25">
      <c r="A1093" s="38" t="s">
        <v>29</v>
      </c>
      <c r="B1093" s="30"/>
      <c r="C1093" s="29" t="str" cm="1">
        <f t="array" ref="C1093">IF(GetCSVIndex(A2,15+11340)&lt;&gt;"65535",CONCATENATE(GetCSVIndex(A2,231+11340),":", GetCSVIndex(A2,241+11340)),"OFF")</f>
        <v>:</v>
      </c>
      <c r="D1093" s="25"/>
      <c r="E1093" s="45">
        <v>6</v>
      </c>
      <c r="F1093" s="29" t="e" cm="1">
        <f t="array" ref="F1093">CHOOSE(GetCSVIndex(A2,51+11340)+1,"","Station","Block","","Delay")</f>
        <v>#VALUE!</v>
      </c>
      <c r="G1093" s="29" t="str" cm="1">
        <f t="array" ref="G1093">GetCSVIndex(A2,52+11340)</f>
        <v/>
      </c>
      <c r="H1093" s="45" t="str" cm="1">
        <f t="array" ref="H1093">GetCSVIndex(A2,256+11340)</f>
        <v/>
      </c>
      <c r="I1093" s="29" t="str" cm="1">
        <f t="array" ref="I1093">GetCSVIndex(A2,319+11340)</f>
        <v/>
      </c>
      <c r="J1093" s="25"/>
      <c r="K1093" s="45">
        <v>38</v>
      </c>
      <c r="L1093" s="29" t="e" cm="1">
        <f t="array" ref="L1093">CHOOSE(GetCSVIndex(A2,147+11340)+1,"","Station","Block","","Delay")</f>
        <v>#VALUE!</v>
      </c>
      <c r="M1093" s="29" t="str" cm="1">
        <f t="array" ref="M1093">GetCSVIndex(A2,148+11340)</f>
        <v/>
      </c>
      <c r="N1093" s="27" t="str" cm="1">
        <f t="array" ref="N1093">GetCSVIndex(A2,288+11340)</f>
        <v/>
      </c>
      <c r="O1093" s="43" t="str" cm="1">
        <f t="array" ref="O1093">GetCSVIndex(A2,351+11340)</f>
        <v/>
      </c>
    </row>
    <row r="1094" spans="1:15" ht="21" customHeight="1" x14ac:dyDescent="0.25">
      <c r="A1094" s="38" t="s">
        <v>30</v>
      </c>
      <c r="B1094" s="30"/>
      <c r="C1094" s="29" t="str" cm="1">
        <f t="array" ref="C1094">IF(GetCSVIndex(A2,16+11340)&lt;&gt;"65535",CONCATENATE(GetCSVIndex(A2,232+11340),":", GetCSVIndex(A2,242+11340)),"OFF")</f>
        <v>:</v>
      </c>
      <c r="D1094" s="25"/>
      <c r="E1094" s="45">
        <v>7</v>
      </c>
      <c r="F1094" s="29" t="e" cm="1">
        <f t="array" ref="F1094">CHOOSE(GetCSVIndex(A2,54+11340)+1,"","Station","Block","","Delay")</f>
        <v>#VALUE!</v>
      </c>
      <c r="G1094" s="29" t="str" cm="1">
        <f t="array" ref="G1094">GetCSVIndex(A2,55+11340)</f>
        <v/>
      </c>
      <c r="H1094" s="45" t="str" cm="1">
        <f t="array" ref="H1094">GetCSVIndex(A2,257+11340)</f>
        <v/>
      </c>
      <c r="I1094" s="29" t="str" cm="1">
        <f t="array" ref="I1094">GetCSVIndex(A2,320+11340)</f>
        <v/>
      </c>
      <c r="J1094" s="25"/>
      <c r="K1094" s="45">
        <v>39</v>
      </c>
      <c r="L1094" s="29" t="e" cm="1">
        <f t="array" ref="L1094">CHOOSE(GetCSVIndex(A2,150+11340)+1,"","Station","Block","","Delay")</f>
        <v>#VALUE!</v>
      </c>
      <c r="M1094" s="29" t="str" cm="1">
        <f t="array" ref="M1094">GetCSVIndex(A2,151+11340)</f>
        <v/>
      </c>
      <c r="N1094" s="27" t="str" cm="1">
        <f t="array" ref="N1094">GetCSVIndex(A2,289+11340)</f>
        <v/>
      </c>
      <c r="O1094" s="43" t="str" cm="1">
        <f t="array" ref="O1094">GetCSVIndex(A2,352+11340)</f>
        <v/>
      </c>
    </row>
    <row r="1095" spans="1:15" ht="21" customHeight="1" x14ac:dyDescent="0.25">
      <c r="A1095" s="38" t="s">
        <v>31</v>
      </c>
      <c r="B1095" s="30"/>
      <c r="C1095" s="29" t="str" cm="1">
        <f t="array" ref="C1095">IF(GetCSVIndex(A2,17+11340)&lt;&gt;"65535",CONCATENATE(GetCSVIndex(A2,233+11340),":", GetCSVIndex(A2,243+11340)),"OFF")</f>
        <v>:</v>
      </c>
      <c r="D1095" s="25"/>
      <c r="E1095" s="45">
        <v>8</v>
      </c>
      <c r="F1095" s="29" t="e" cm="1">
        <f t="array" ref="F1095">CHOOSE(GetCSVIndex(A2,57+11340)+1,"","Station","Block","","Delay")</f>
        <v>#VALUE!</v>
      </c>
      <c r="G1095" s="29" t="str" cm="1">
        <f t="array" ref="G1095">GetCSVIndex(A2,58+11340)</f>
        <v/>
      </c>
      <c r="H1095" s="45" t="str" cm="1">
        <f t="array" ref="H1095">GetCSVIndex(A2,258+11340)</f>
        <v/>
      </c>
      <c r="I1095" s="29" t="str" cm="1">
        <f t="array" ref="I1095">GetCSVIndex(A2,321+11340)</f>
        <v/>
      </c>
      <c r="J1095" s="25"/>
      <c r="K1095" s="45">
        <v>40</v>
      </c>
      <c r="L1095" s="29" t="e" cm="1">
        <f t="array" ref="L1095">CHOOSE(GetCSVIndex(A2,153+11340)+1,"","Station","Block","","Delay")</f>
        <v>#VALUE!</v>
      </c>
      <c r="M1095" s="29" t="str" cm="1">
        <f t="array" ref="M1095">GetCSVIndex(A2,154+11340)</f>
        <v/>
      </c>
      <c r="N1095" s="27" t="str" cm="1">
        <f t="array" ref="N1095">GetCSVIndex(A2,290+11340)</f>
        <v/>
      </c>
      <c r="O1095" s="43" t="str" cm="1">
        <f t="array" ref="O1095">GetCSVIndex(A2,353+11340)</f>
        <v/>
      </c>
    </row>
    <row r="1096" spans="1:15" ht="21" customHeight="1" x14ac:dyDescent="0.25">
      <c r="A1096" s="38" t="s">
        <v>32</v>
      </c>
      <c r="B1096" s="30"/>
      <c r="C1096" s="29" t="str" cm="1">
        <f t="array" ref="C1096">IF(GetCSVIndex(A2,18+11340)&lt;&gt;"65535",CONCATENATE(GetCSVIndex(A2,234+11340),":", GetCSVIndex(A2,244+11340)),"OFF")</f>
        <v>:</v>
      </c>
      <c r="D1096" s="25"/>
      <c r="E1096" s="45">
        <v>9</v>
      </c>
      <c r="F1096" s="29" t="e" cm="1">
        <f t="array" ref="F1096">CHOOSE(GetCSVIndex(A2,60+11340)+1,"","Station","Block","","Delay")</f>
        <v>#VALUE!</v>
      </c>
      <c r="G1096" s="29" t="str" cm="1">
        <f t="array" ref="G1096">GetCSVIndex(A2,61+11340)</f>
        <v/>
      </c>
      <c r="H1096" s="45" t="str" cm="1">
        <f t="array" ref="H1096">GetCSVIndex(A2,259+11340)</f>
        <v/>
      </c>
      <c r="I1096" s="29" t="str" cm="1">
        <f t="array" ref="I1096">GetCSVIndex(A2,322+11340)</f>
        <v/>
      </c>
      <c r="J1096" s="25"/>
      <c r="K1096" s="45">
        <v>41</v>
      </c>
      <c r="L1096" s="29" t="e" cm="1">
        <f t="array" ref="L1096">CHOOSE(GetCSVIndex(A2,156+11340)+1,"","Station","Block","","Delay")</f>
        <v>#VALUE!</v>
      </c>
      <c r="M1096" s="29" t="str" cm="1">
        <f t="array" ref="M1096">GetCSVIndex(A2,157+11340)</f>
        <v/>
      </c>
      <c r="N1096" s="27" t="str" cm="1">
        <f t="array" ref="N1096">GetCSVIndex(A2,291+11340)</f>
        <v/>
      </c>
      <c r="O1096" s="43" t="str" cm="1">
        <f t="array" ref="O1096">GetCSVIndex(A2,354+11340)</f>
        <v/>
      </c>
    </row>
    <row r="1097" spans="1:15" ht="21" customHeight="1" x14ac:dyDescent="0.25">
      <c r="A1097" s="38" t="s">
        <v>33</v>
      </c>
      <c r="B1097" s="30"/>
      <c r="C1097" s="29" t="str" cm="1">
        <f t="array" ref="C1097">IF(GetCSVIndex(A2,19+11340)&lt;&gt;"65535",CONCATENATE(GetCSVIndex(A2,235+11340),":", GetCSVIndex(A2,245+11340)),"OFF")</f>
        <v>:</v>
      </c>
      <c r="D1097" s="25"/>
      <c r="E1097" s="45">
        <v>10</v>
      </c>
      <c r="F1097" s="29" t="e" cm="1">
        <f t="array" ref="F1097">CHOOSE(GetCSVIndex(A2,63+11340)+1,"","Station","Block","","Delay")</f>
        <v>#VALUE!</v>
      </c>
      <c r="G1097" s="29" t="str" cm="1">
        <f t="array" ref="G1097">GetCSVIndex(A2,64+11340)</f>
        <v/>
      </c>
      <c r="H1097" s="45" t="str" cm="1">
        <f t="array" ref="H1097">GetCSVIndex(A2,260+11340)</f>
        <v/>
      </c>
      <c r="I1097" s="29" t="str" cm="1">
        <f t="array" ref="I1097">GetCSVIndex(A2,323+11340)</f>
        <v/>
      </c>
      <c r="J1097" s="25"/>
      <c r="K1097" s="45">
        <v>42</v>
      </c>
      <c r="L1097" s="29" t="e" cm="1">
        <f t="array" ref="L1097">CHOOSE(GetCSVIndex(A2,159+11340)+1,"","Station","Block","","Delay")</f>
        <v>#VALUE!</v>
      </c>
      <c r="M1097" s="29" t="str" cm="1">
        <f t="array" ref="M1097">GetCSVIndex(A2,160+11340)</f>
        <v/>
      </c>
      <c r="N1097" s="27" t="str" cm="1">
        <f t="array" ref="N1097">GetCSVIndex(A2,292+11340)</f>
        <v/>
      </c>
      <c r="O1097" s="43" t="str" cm="1">
        <f t="array" ref="O1097">GetCSVIndex(A2,355+11340)</f>
        <v/>
      </c>
    </row>
    <row r="1098" spans="1:15" ht="21" customHeight="1" x14ac:dyDescent="0.25">
      <c r="A1098" s="38" t="s">
        <v>34</v>
      </c>
      <c r="B1098" s="30"/>
      <c r="C1098" s="29" t="str" cm="1">
        <f t="array" ref="C1098">IF(GetCSVIndex(A2,20+11340)&lt;&gt;"65535",CONCATENATE(GetCSVIndex(A2,236+11340),":", GetCSVIndex(A2,246+11340)),"OFF")</f>
        <v>:</v>
      </c>
      <c r="D1098" s="25"/>
      <c r="E1098" s="45">
        <v>11</v>
      </c>
      <c r="F1098" s="29" t="e" cm="1">
        <f t="array" ref="F1098">CHOOSE(GetCSVIndex(A2,66+11340)+1,"","Station","Block","","Delay")</f>
        <v>#VALUE!</v>
      </c>
      <c r="G1098" s="29" t="str" cm="1">
        <f t="array" ref="G1098">GetCSVIndex(A2,67+11340)</f>
        <v/>
      </c>
      <c r="H1098" s="45" t="str" cm="1">
        <f t="array" ref="H1098">GetCSVIndex(A2,261+11340)</f>
        <v/>
      </c>
      <c r="I1098" s="29" t="str" cm="1">
        <f t="array" ref="I1098">GetCSVIndex(A2,324+11340)</f>
        <v/>
      </c>
      <c r="J1098" s="25"/>
      <c r="K1098" s="45">
        <v>43</v>
      </c>
      <c r="L1098" s="29" t="e" cm="1">
        <f t="array" ref="L1098">CHOOSE(GetCSVIndex(A2,162+11340)+1,"","Station","Block","","Delay")</f>
        <v>#VALUE!</v>
      </c>
      <c r="M1098" s="29" t="str" cm="1">
        <f t="array" ref="M1098">GetCSVIndex(A2,163+11340)</f>
        <v/>
      </c>
      <c r="N1098" s="27" t="str" cm="1">
        <f t="array" ref="N1098">GetCSVIndex(A2,293+11340)</f>
        <v/>
      </c>
      <c r="O1098" s="43" t="str" cm="1">
        <f t="array" ref="O1098">GetCSVIndex(A2,356+11340)</f>
        <v/>
      </c>
    </row>
    <row r="1099" spans="1:15" ht="21" customHeight="1" x14ac:dyDescent="0.25">
      <c r="A1099" s="38" t="s">
        <v>35</v>
      </c>
      <c r="B1099" s="30"/>
      <c r="C1099" s="29" t="str" cm="1">
        <f t="array" ref="C1099">IF(GetCSVIndex(A2,21+11340)&lt;&gt;"65535",CONCATENATE(GetCSVIndex(A2,237+11340),":", GetCSVIndex(A2,247+11340)),"OFF")</f>
        <v>:</v>
      </c>
      <c r="D1099" s="25"/>
      <c r="E1099" s="45">
        <v>12</v>
      </c>
      <c r="F1099" s="29" t="e" cm="1">
        <f t="array" ref="F1099">CHOOSE(GetCSVIndex(A2,69+11340)+1,"","Station","Block","","Delay")</f>
        <v>#VALUE!</v>
      </c>
      <c r="G1099" s="29" t="str" cm="1">
        <f t="array" ref="G1099">GetCSVIndex(A2,70+11340)</f>
        <v/>
      </c>
      <c r="H1099" s="45" t="str" cm="1">
        <f t="array" ref="H1099">GetCSVIndex(A2,262+11340)</f>
        <v/>
      </c>
      <c r="I1099" s="29" t="str" cm="1">
        <f t="array" ref="I1099">GetCSVIndex(A2,325+11340)</f>
        <v/>
      </c>
      <c r="J1099" s="25"/>
      <c r="K1099" s="45">
        <v>44</v>
      </c>
      <c r="L1099" s="29" t="e" cm="1">
        <f t="array" ref="L1099">CHOOSE(GetCSVIndex(A2,165+11340)+1,"","Station","Block","","Delay")</f>
        <v>#VALUE!</v>
      </c>
      <c r="M1099" s="29" t="str" cm="1">
        <f t="array" ref="M1099">GetCSVIndex(A2,166+11340)</f>
        <v/>
      </c>
      <c r="N1099" s="27" t="str" cm="1">
        <f t="array" ref="N1099">GetCSVIndex(A2,294+11340)</f>
        <v/>
      </c>
      <c r="O1099" s="43" t="str" cm="1">
        <f t="array" ref="O1099">GetCSVIndex(A2,357+11340)</f>
        <v/>
      </c>
    </row>
    <row r="1100" spans="1:15" ht="21" customHeight="1" x14ac:dyDescent="0.25">
      <c r="A1100" s="38" t="s">
        <v>36</v>
      </c>
      <c r="B1100" s="30"/>
      <c r="C1100" s="29" t="str" cm="1">
        <f t="array" ref="C1100">IF(GetCSVIndex(A2,22+11340)&lt;&gt;"65535",CONCATENATE(GetCSVIndex(A2,238+11340),":", GetCSVIndex(A2,248+11340)),"OFF")</f>
        <v>:</v>
      </c>
      <c r="D1100" s="25"/>
      <c r="E1100" s="45">
        <v>13</v>
      </c>
      <c r="F1100" s="29" t="e" cm="1">
        <f t="array" ref="F1100">CHOOSE(GetCSVIndex(A2,72+11340)+1,"","Station","Block","","Delay")</f>
        <v>#VALUE!</v>
      </c>
      <c r="G1100" s="29" t="str" cm="1">
        <f t="array" ref="G1100">GetCSVIndex(A2,73+11340)</f>
        <v/>
      </c>
      <c r="H1100" s="45" t="str" cm="1">
        <f t="array" ref="H1100">GetCSVIndex(A2,263+11340)</f>
        <v/>
      </c>
      <c r="I1100" s="29" t="str" cm="1">
        <f t="array" ref="I1100">GetCSVIndex(A2,326+11340)</f>
        <v/>
      </c>
      <c r="J1100" s="25"/>
      <c r="K1100" s="45">
        <v>45</v>
      </c>
      <c r="L1100" s="29" t="e" cm="1">
        <f t="array" ref="L1100">CHOOSE(GetCSVIndex(A2,168+11340)+1,"","Station","Block","","Delay")</f>
        <v>#VALUE!</v>
      </c>
      <c r="M1100" s="29" t="str" cm="1">
        <f t="array" ref="M1100">GetCSVIndex(A2,169+11340)</f>
        <v/>
      </c>
      <c r="N1100" s="27" t="str" cm="1">
        <f t="array" ref="N1100">GetCSVIndex(A2,295+11340)</f>
        <v/>
      </c>
      <c r="O1100" s="43" t="str" cm="1">
        <f t="array" ref="O1100">GetCSVIndex(A2,358+11340)</f>
        <v/>
      </c>
    </row>
    <row r="1101" spans="1:15" ht="21" customHeight="1" x14ac:dyDescent="0.25">
      <c r="A1101" s="36" t="s">
        <v>37</v>
      </c>
      <c r="B1101" s="25"/>
      <c r="C1101" s="29" t="str" cm="1">
        <f t="array" ref="C1101">IF(GetCSVIndex(A2,23+11340)&lt;&gt;"65535",CONCATENATE(GetCSVIndex(A2,230+11340),":", GetCSVIndex(A2,240+11340)),"OFF")</f>
        <v>:</v>
      </c>
      <c r="D1101" s="25"/>
      <c r="E1101" s="45">
        <v>14</v>
      </c>
      <c r="F1101" s="29" t="e" cm="1">
        <f t="array" ref="F1101">CHOOSE(GetCSVIndex(A2,75+11340)+1,"","Station","Block","","Delay")</f>
        <v>#VALUE!</v>
      </c>
      <c r="G1101" s="29" t="str" cm="1">
        <f t="array" ref="G1101">GetCSVIndex(A2,76+11340)</f>
        <v/>
      </c>
      <c r="H1101" s="45" t="str" cm="1">
        <f t="array" ref="H1101">GetCSVIndex(A2,264+11340)</f>
        <v/>
      </c>
      <c r="I1101" s="29" t="str" cm="1">
        <f t="array" ref="I1101">GetCSVIndex(A2,327+11340)</f>
        <v/>
      </c>
      <c r="J1101" s="25"/>
      <c r="K1101" s="45">
        <v>46</v>
      </c>
      <c r="L1101" s="29" t="e" cm="1">
        <f t="array" ref="L1101">CHOOSE(GetCSVIndex(A2,171+11340)+1,"","Station","Block","","Delay")</f>
        <v>#VALUE!</v>
      </c>
      <c r="M1101" s="29" t="str" cm="1">
        <f t="array" ref="M1101">GetCSVIndex(A2,172+11340)</f>
        <v/>
      </c>
      <c r="N1101" s="27" t="str" cm="1">
        <f t="array" ref="N1101">GetCSVIndex(A2,296+11340)</f>
        <v/>
      </c>
      <c r="O1101" s="43" t="str" cm="1">
        <f t="array" ref="O1101">GetCSVIndex(A2,359+11340)</f>
        <v/>
      </c>
    </row>
    <row r="1102" spans="1:15" ht="21" customHeight="1" x14ac:dyDescent="0.25">
      <c r="A1102" s="39"/>
      <c r="B1102" s="40"/>
      <c r="C1102" s="41"/>
      <c r="D1102" s="26"/>
      <c r="E1102" s="45">
        <v>15</v>
      </c>
      <c r="F1102" s="29" t="e" cm="1">
        <f t="array" ref="F1102">CHOOSE(GetCSVIndex(A2,78+11340)+1,"","Station","Block","","Delay")</f>
        <v>#VALUE!</v>
      </c>
      <c r="G1102" s="29" t="str" cm="1">
        <f t="array" ref="G1102">GetCSVIndex(A2,79+11340)</f>
        <v/>
      </c>
      <c r="H1102" s="45" t="str" cm="1">
        <f t="array" ref="H1102">GetCSVIndex(A2,265+11340)</f>
        <v/>
      </c>
      <c r="I1102" s="29" t="str" cm="1">
        <f t="array" ref="I1102">GetCSVIndex(A2,328+11340)</f>
        <v/>
      </c>
      <c r="J1102" s="26"/>
      <c r="K1102" s="45">
        <v>47</v>
      </c>
      <c r="L1102" s="29" t="e" cm="1">
        <f t="array" ref="L1102">CHOOSE(GetCSVIndex(A2,174+11340)+1,"","Station","Block","","Delay")</f>
        <v>#VALUE!</v>
      </c>
      <c r="M1102" s="29" t="str" cm="1">
        <f t="array" ref="M1102">GetCSVIndex(A2,175+11340)</f>
        <v/>
      </c>
      <c r="N1102" s="27" t="str" cm="1">
        <f t="array" ref="N1102">GetCSVIndex(A2,297+11340)</f>
        <v/>
      </c>
      <c r="O1102" s="43" t="str" cm="1">
        <f t="array" ref="O1102">GetCSVIndex(A2,360+11340)</f>
        <v/>
      </c>
    </row>
    <row r="1103" spans="1:15" ht="21" customHeight="1" x14ac:dyDescent="0.25">
      <c r="A1103" s="42"/>
      <c r="B1103" s="25"/>
      <c r="C1103" s="25"/>
      <c r="D1103" s="26"/>
      <c r="E1103" s="45">
        <v>16</v>
      </c>
      <c r="F1103" s="29" t="e" cm="1">
        <f t="array" ref="F1103">CHOOSE(GetCSVIndex(A2,81+11340)+1,"","Station","Block","","Delay")</f>
        <v>#VALUE!</v>
      </c>
      <c r="G1103" s="29" t="str" cm="1">
        <f t="array" ref="G1103">GetCSVIndex(A2,82+11340)</f>
        <v/>
      </c>
      <c r="H1103" s="45" t="str" cm="1">
        <f t="array" ref="H1103">GetCSVIndex(A2,266+11340)</f>
        <v/>
      </c>
      <c r="I1103" s="29" t="str" cm="1">
        <f t="array" ref="I1103">GetCSVIndex(A2,329+11340)</f>
        <v/>
      </c>
      <c r="J1103" s="25"/>
      <c r="K1103" s="45">
        <v>48</v>
      </c>
      <c r="L1103" s="29" t="e" cm="1">
        <f t="array" ref="L1103">CHOOSE(GetCSVIndex(A2,177+11340)+1,"","Station","Block","","Delay")</f>
        <v>#VALUE!</v>
      </c>
      <c r="M1103" s="29" t="str" cm="1">
        <f t="array" ref="M1103">GetCSVIndex(A2,178+11340)</f>
        <v/>
      </c>
      <c r="N1103" s="27" t="str" cm="1">
        <f t="array" ref="N1103">GetCSVIndex(A2,298+11340)</f>
        <v/>
      </c>
      <c r="O1103" s="43" t="str" cm="1">
        <f t="array" ref="O1103">GetCSVIndex(A2,361+11340)</f>
        <v/>
      </c>
    </row>
    <row r="1104" spans="1:15" ht="21" customHeight="1" x14ac:dyDescent="0.25">
      <c r="A1104" s="42"/>
      <c r="B1104" s="25"/>
      <c r="C1104" s="25"/>
      <c r="D1104" s="26"/>
      <c r="E1104" s="45">
        <v>17</v>
      </c>
      <c r="F1104" s="29" t="e" cm="1">
        <f t="array" ref="F1104">CHOOSE(GetCSVIndex(A2,84+11340)+1,"","Station","Block","","Delay")</f>
        <v>#VALUE!</v>
      </c>
      <c r="G1104" s="29" t="str" cm="1">
        <f t="array" ref="G1104">GetCSVIndex(A2,85+11340)</f>
        <v/>
      </c>
      <c r="H1104" s="45" t="str" cm="1">
        <f t="array" ref="H1104">GetCSVIndex(A2,267+11340)</f>
        <v/>
      </c>
      <c r="I1104" s="29" t="str" cm="1">
        <f t="array" ref="I1104">GetCSVIndex(A2,330+11340)</f>
        <v/>
      </c>
      <c r="J1104" s="26"/>
      <c r="K1104" s="45">
        <v>49</v>
      </c>
      <c r="L1104" s="29" t="e" cm="1">
        <f t="array" ref="L1104">CHOOSE(GetCSVIndex(A2,180+11340)+1,"","Station","Block","","Delay")</f>
        <v>#VALUE!</v>
      </c>
      <c r="M1104" s="29" t="str" cm="1">
        <f t="array" ref="M1104">GetCSVIndex(A2,181+11340)</f>
        <v/>
      </c>
      <c r="N1104" s="27" t="str" cm="1">
        <f t="array" ref="N1104">GetCSVIndex(A2,299+11340)</f>
        <v/>
      </c>
      <c r="O1104" s="43" t="str" cm="1">
        <f t="array" ref="O1104">GetCSVIndex(A2,362+11340)</f>
        <v/>
      </c>
    </row>
    <row r="1105" spans="1:15" ht="21" customHeight="1" x14ac:dyDescent="0.25">
      <c r="A1105" s="42"/>
      <c r="B1105" s="25"/>
      <c r="C1105" s="25"/>
      <c r="D1105" s="26"/>
      <c r="E1105" s="45">
        <v>18</v>
      </c>
      <c r="F1105" s="29" t="e" cm="1">
        <f t="array" ref="F1105">CHOOSE(GetCSVIndex(A2,87+11340)+1,"","Station","Block","","Delay")</f>
        <v>#VALUE!</v>
      </c>
      <c r="G1105" s="29" t="str" cm="1">
        <f t="array" ref="G1105">GetCSVIndex(A2,88+11340)</f>
        <v/>
      </c>
      <c r="H1105" s="45" t="str" cm="1">
        <f t="array" ref="H1105">GetCSVIndex(A2,268+11340)</f>
        <v/>
      </c>
      <c r="I1105" s="29" t="str" cm="1">
        <f t="array" ref="I1105">GetCSVIndex(A2,331+11340)</f>
        <v/>
      </c>
      <c r="J1105" s="26"/>
      <c r="K1105" s="45">
        <v>50</v>
      </c>
      <c r="L1105" s="29" t="e" cm="1">
        <f t="array" ref="L1105">CHOOSE(GetCSVIndex(A2,183+11340)+1,"","Station","Block","","Delay")</f>
        <v>#VALUE!</v>
      </c>
      <c r="M1105" s="29" t="str" cm="1">
        <f t="array" ref="M1105">GetCSVIndex(A2,184+11340)</f>
        <v/>
      </c>
      <c r="N1105" s="27" t="str" cm="1">
        <f t="array" ref="N1105">GetCSVIndex(A2,300+11340)</f>
        <v/>
      </c>
      <c r="O1105" s="43" t="str" cm="1">
        <f t="array" ref="O1105">GetCSVIndex(A2,363+11340)</f>
        <v/>
      </c>
    </row>
    <row r="1106" spans="1:15" ht="21" customHeight="1" x14ac:dyDescent="0.25">
      <c r="A1106" s="42"/>
      <c r="B1106" s="25"/>
      <c r="C1106" s="25"/>
      <c r="D1106" s="26"/>
      <c r="E1106" s="45">
        <v>19</v>
      </c>
      <c r="F1106" s="29" t="e" cm="1">
        <f t="array" ref="F1106">CHOOSE(GetCSVIndex(A2,90+11340)+1,"","Station","Block","","Delay")</f>
        <v>#VALUE!</v>
      </c>
      <c r="G1106" s="29" t="str" cm="1">
        <f t="array" ref="G1106">GetCSVIndex(A2,91+11340)</f>
        <v/>
      </c>
      <c r="H1106" s="45" t="str" cm="1">
        <f t="array" ref="H1106">GetCSVIndex(A2,269+11340)</f>
        <v/>
      </c>
      <c r="I1106" s="29" t="str" cm="1">
        <f t="array" ref="I1106">GetCSVIndex(A2,332+11340)</f>
        <v/>
      </c>
      <c r="J1106" s="26"/>
      <c r="K1106" s="45">
        <v>51</v>
      </c>
      <c r="L1106" s="29" t="e" cm="1">
        <f t="array" ref="L1106">CHOOSE(GetCSVIndex(A2,186+11340)+1,"","Station","Block","","Delay")</f>
        <v>#VALUE!</v>
      </c>
      <c r="M1106" s="29" t="str" cm="1">
        <f t="array" ref="M1106">GetCSVIndex(A2,187+11340)</f>
        <v/>
      </c>
      <c r="N1106" s="27" t="str" cm="1">
        <f t="array" ref="N1106">GetCSVIndex(A2,301+11340)</f>
        <v/>
      </c>
      <c r="O1106" s="43" t="str" cm="1">
        <f t="array" ref="O1106">GetCSVIndex(A2,364+11340)</f>
        <v/>
      </c>
    </row>
    <row r="1107" spans="1:15" ht="21" customHeight="1" x14ac:dyDescent="0.25">
      <c r="A1107" s="42"/>
      <c r="B1107" s="25"/>
      <c r="C1107" s="25"/>
      <c r="D1107" s="26"/>
      <c r="E1107" s="45">
        <v>20</v>
      </c>
      <c r="F1107" s="29" t="e" cm="1">
        <f t="array" ref="F1107">CHOOSE(GetCSVIndex(A2,93+11340)+1,"","Station","Block","","Delay")</f>
        <v>#VALUE!</v>
      </c>
      <c r="G1107" s="29" t="str" cm="1">
        <f t="array" ref="G1107">GetCSVIndex(A2,94+11340)</f>
        <v/>
      </c>
      <c r="H1107" s="45" t="str" cm="1">
        <f t="array" ref="H1107">GetCSVIndex(A2,270+11340)</f>
        <v/>
      </c>
      <c r="I1107" s="29" t="str" cm="1">
        <f t="array" ref="I1107">GetCSVIndex(A2,333+11340)</f>
        <v/>
      </c>
      <c r="J1107" s="26"/>
      <c r="K1107" s="45">
        <v>52</v>
      </c>
      <c r="L1107" s="29" t="e" cm="1">
        <f t="array" ref="L1107">CHOOSE(GetCSVIndex(A2,189+11340)+1,"","Station","Block","","Delay")</f>
        <v>#VALUE!</v>
      </c>
      <c r="M1107" s="29" t="str" cm="1">
        <f t="array" ref="M1107">GetCSVIndex(A2,190+11340)</f>
        <v/>
      </c>
      <c r="N1107" s="27" t="str" cm="1">
        <f t="array" ref="N1107">GetCSVIndex(A2,302+11340)</f>
        <v/>
      </c>
      <c r="O1107" s="43" t="str" cm="1">
        <f t="array" ref="O1107">GetCSVIndex(A2,365+11340)</f>
        <v/>
      </c>
    </row>
    <row r="1108" spans="1:15" ht="21" customHeight="1" x14ac:dyDescent="0.25">
      <c r="A1108" s="42"/>
      <c r="B1108" s="25"/>
      <c r="C1108" s="25"/>
      <c r="D1108" s="26"/>
      <c r="E1108" s="45">
        <v>21</v>
      </c>
      <c r="F1108" s="29" t="e" cm="1">
        <f t="array" ref="F1108">CHOOSE(GetCSVIndex(A2,96+11340)+1,"","Station","Block","","Delay")</f>
        <v>#VALUE!</v>
      </c>
      <c r="G1108" s="29" t="str" cm="1">
        <f t="array" ref="G1108">GetCSVIndex(A2,97+11340)</f>
        <v/>
      </c>
      <c r="H1108" s="45" t="str" cm="1">
        <f t="array" ref="H1108">GetCSVIndex(A2,271+11340)</f>
        <v/>
      </c>
      <c r="I1108" s="29" t="str" cm="1">
        <f t="array" ref="I1108">GetCSVIndex(A2,334+11340)</f>
        <v/>
      </c>
      <c r="J1108" s="26"/>
      <c r="K1108" s="45">
        <v>53</v>
      </c>
      <c r="L1108" s="29" t="e" cm="1">
        <f t="array" ref="L1108">CHOOSE(GetCSVIndex(A2,192+11340)+1,"","Station","Block","","Delay")</f>
        <v>#VALUE!</v>
      </c>
      <c r="M1108" s="29" t="str" cm="1">
        <f t="array" ref="M1108">GetCSVIndex(A2,193+11340)</f>
        <v/>
      </c>
      <c r="N1108" s="27" t="str" cm="1">
        <f t="array" ref="N1108">GetCSVIndex(A2,303+11340)</f>
        <v/>
      </c>
      <c r="O1108" s="43" t="str" cm="1">
        <f t="array" ref="O1108">GetCSVIndex(A2,366+11340)</f>
        <v/>
      </c>
    </row>
    <row r="1109" spans="1:15" ht="21" customHeight="1" x14ac:dyDescent="0.25">
      <c r="A1109" s="42"/>
      <c r="B1109" s="25"/>
      <c r="C1109" s="25"/>
      <c r="D1109" s="26"/>
      <c r="E1109" s="45">
        <v>22</v>
      </c>
      <c r="F1109" s="29" t="e" cm="1">
        <f t="array" ref="F1109">CHOOSE(GetCSVIndex(A2,99+11340)+1,"","Station","Block","","Delay")</f>
        <v>#VALUE!</v>
      </c>
      <c r="G1109" s="29" t="str" cm="1">
        <f t="array" ref="G1109">GetCSVIndex(A2,100+11340)</f>
        <v/>
      </c>
      <c r="H1109" s="45" t="str" cm="1">
        <f t="array" ref="H1109">GetCSVIndex(A2,272+11340)</f>
        <v/>
      </c>
      <c r="I1109" s="29" t="str" cm="1">
        <f t="array" ref="I1109">GetCSVIndex(A2,335+11340)</f>
        <v/>
      </c>
      <c r="J1109" s="26"/>
      <c r="K1109" s="45">
        <v>54</v>
      </c>
      <c r="L1109" s="29" t="e" cm="1">
        <f t="array" ref="L1109">CHOOSE(GetCSVIndex(A2,195+11340)+1,"","Station","Block","","Delay")</f>
        <v>#VALUE!</v>
      </c>
      <c r="M1109" s="29" t="str" cm="1">
        <f t="array" ref="M1109">GetCSVIndex(A2,196+11340)</f>
        <v/>
      </c>
      <c r="N1109" s="27" t="str" cm="1">
        <f t="array" ref="N1109">GetCSVIndex(A2,304+11340)</f>
        <v/>
      </c>
      <c r="O1109" s="43" t="str" cm="1">
        <f t="array" ref="O1109">GetCSVIndex(A2,367+11340)</f>
        <v/>
      </c>
    </row>
    <row r="1110" spans="1:15" ht="21" customHeight="1" x14ac:dyDescent="0.25">
      <c r="A1110" s="42"/>
      <c r="B1110" s="25"/>
      <c r="C1110" s="25"/>
      <c r="D1110" s="26"/>
      <c r="E1110" s="45">
        <v>23</v>
      </c>
      <c r="F1110" s="29" t="e" cm="1">
        <f t="array" ref="F1110">CHOOSE(GetCSVIndex(A2,102+11340)+1,"","Station","Block","","Delay")</f>
        <v>#VALUE!</v>
      </c>
      <c r="G1110" s="29" t="str" cm="1">
        <f t="array" ref="G1110">GetCSVIndex(A2,103+11340)</f>
        <v/>
      </c>
      <c r="H1110" s="45" t="str" cm="1">
        <f t="array" ref="H1110">GetCSVIndex(A2,273+11340)</f>
        <v/>
      </c>
      <c r="I1110" s="29" t="str" cm="1">
        <f t="array" ref="I1110">GetCSVIndex(A2,336+11340)</f>
        <v/>
      </c>
      <c r="J1110" s="26"/>
      <c r="K1110" s="45">
        <v>55</v>
      </c>
      <c r="L1110" s="29" t="e" cm="1">
        <f t="array" ref="L1110">CHOOSE(GetCSVIndex(A2,198+11340)+1,"","Station","Block","","Delay")</f>
        <v>#VALUE!</v>
      </c>
      <c r="M1110" s="29" t="str" cm="1">
        <f t="array" ref="M1110">GetCSVIndex(A2,199+11340)</f>
        <v/>
      </c>
      <c r="N1110" s="27" t="str" cm="1">
        <f t="array" ref="N1110">GetCSVIndex(A2,305+11340)</f>
        <v/>
      </c>
      <c r="O1110" s="43" t="str" cm="1">
        <f t="array" ref="O1110">GetCSVIndex(A2,368+11340)</f>
        <v/>
      </c>
    </row>
    <row r="1111" spans="1:15" ht="21" customHeight="1" x14ac:dyDescent="0.25">
      <c r="A1111" s="42"/>
      <c r="B1111" s="25"/>
      <c r="C1111" s="25"/>
      <c r="D1111" s="26"/>
      <c r="E1111" s="45">
        <v>24</v>
      </c>
      <c r="F1111" s="29" t="e" cm="1">
        <f t="array" ref="F1111">CHOOSE(GetCSVIndex(A2,105+11340)+1,"","Station","Block","","Delay")</f>
        <v>#VALUE!</v>
      </c>
      <c r="G1111" s="29" t="str" cm="1">
        <f t="array" ref="G1111">GetCSVIndex(A2,106+11340)</f>
        <v/>
      </c>
      <c r="H1111" s="45" t="str" cm="1">
        <f t="array" ref="H1111">GetCSVIndex(A2,274+11340)</f>
        <v/>
      </c>
      <c r="I1111" s="29" t="str" cm="1">
        <f t="array" ref="I1111">GetCSVIndex(A2,337+11340)</f>
        <v/>
      </c>
      <c r="J1111" s="26"/>
      <c r="K1111" s="45">
        <v>56</v>
      </c>
      <c r="L1111" s="29" t="e" cm="1">
        <f t="array" ref="L1111">CHOOSE(GetCSVIndex(A2,201+11340)+1,"","Station","Block","","Delay")</f>
        <v>#VALUE!</v>
      </c>
      <c r="M1111" s="29" t="str" cm="1">
        <f t="array" ref="M1111">GetCSVIndex(A2,202+11340)</f>
        <v/>
      </c>
      <c r="N1111" s="27" t="str" cm="1">
        <f t="array" ref="N1111">GetCSVIndex(A2,306+11340)</f>
        <v/>
      </c>
      <c r="O1111" s="43" t="str" cm="1">
        <f t="array" ref="O1111">GetCSVIndex(A2,369+11340)</f>
        <v/>
      </c>
    </row>
    <row r="1112" spans="1:15" ht="21" customHeight="1" x14ac:dyDescent="0.25">
      <c r="A1112" s="42"/>
      <c r="B1112" s="25"/>
      <c r="C1112" s="25"/>
      <c r="D1112" s="26"/>
      <c r="E1112" s="45">
        <v>25</v>
      </c>
      <c r="F1112" s="29" t="e" cm="1">
        <f t="array" ref="F1112">CHOOSE(GetCSVIndex(A2,108+11340)+1,"","Station","Block","","Delay")</f>
        <v>#VALUE!</v>
      </c>
      <c r="G1112" s="29" t="str" cm="1">
        <f t="array" ref="G1112">GetCSVIndex(A2,109+11340)</f>
        <v/>
      </c>
      <c r="H1112" s="45" t="str" cm="1">
        <f t="array" ref="H1112">GetCSVIndex(A2,275+11340)</f>
        <v/>
      </c>
      <c r="I1112" s="29" t="str" cm="1">
        <f t="array" ref="I1112">GetCSVIndex(A2,338+11340)</f>
        <v/>
      </c>
      <c r="J1112" s="26"/>
      <c r="K1112" s="45">
        <v>57</v>
      </c>
      <c r="L1112" s="29" t="e" cm="1">
        <f t="array" ref="L1112">CHOOSE(GetCSVIndex(A2,204+11340)+1,"","Station","Block","","Delay")</f>
        <v>#VALUE!</v>
      </c>
      <c r="M1112" s="29" t="str" cm="1">
        <f t="array" ref="M1112">GetCSVIndex(A2,205+11340)</f>
        <v/>
      </c>
      <c r="N1112" s="27" t="str" cm="1">
        <f t="array" ref="N1112">GetCSVIndex(A2,307+11340)</f>
        <v/>
      </c>
      <c r="O1112" s="43" t="str" cm="1">
        <f t="array" ref="O1112">GetCSVIndex(A2,370+11340)</f>
        <v/>
      </c>
    </row>
    <row r="1113" spans="1:15" ht="21" customHeight="1" x14ac:dyDescent="0.25">
      <c r="A1113" s="42"/>
      <c r="B1113" s="25"/>
      <c r="C1113" s="25"/>
      <c r="D1113" s="26"/>
      <c r="E1113" s="45">
        <v>26</v>
      </c>
      <c r="F1113" s="29" t="e" cm="1">
        <f t="array" ref="F1113">CHOOSE(GetCSVIndex(A2,111+11340)+1,"","Station","Block","","Delay")</f>
        <v>#VALUE!</v>
      </c>
      <c r="G1113" s="29" t="str" cm="1">
        <f t="array" ref="G1113">GetCSVIndex(A2,112+11340)</f>
        <v/>
      </c>
      <c r="H1113" s="45" t="str" cm="1">
        <f t="array" ref="H1113">GetCSVIndex(A2,276+11340)</f>
        <v/>
      </c>
      <c r="I1113" s="29" t="str" cm="1">
        <f t="array" ref="I1113">GetCSVIndex(A2,339+11340)</f>
        <v/>
      </c>
      <c r="J1113" s="26"/>
      <c r="K1113" s="45">
        <v>58</v>
      </c>
      <c r="L1113" s="29" t="e" cm="1">
        <f t="array" ref="L1113">CHOOSE(GetCSVIndex(A2,207+11340)+1,"","Station","Block","","Delay")</f>
        <v>#VALUE!</v>
      </c>
      <c r="M1113" s="29" t="str" cm="1">
        <f t="array" ref="M1113">GetCSVIndex(A2,208+11340)</f>
        <v/>
      </c>
      <c r="N1113" s="27" t="str" cm="1">
        <f t="array" ref="N1113">GetCSVIndex(A2,308+11340)</f>
        <v/>
      </c>
      <c r="O1113" s="43" t="str" cm="1">
        <f t="array" ref="O1113">GetCSVIndex(A2,371+11340)</f>
        <v/>
      </c>
    </row>
    <row r="1114" spans="1:15" ht="21" customHeight="1" x14ac:dyDescent="0.25">
      <c r="A1114" s="42"/>
      <c r="B1114" s="25"/>
      <c r="C1114" s="25"/>
      <c r="D1114" s="26"/>
      <c r="E1114" s="45">
        <v>27</v>
      </c>
      <c r="F1114" s="29" t="e" cm="1">
        <f t="array" ref="F1114">CHOOSE(GetCSVIndex(A2,114+11340)+1,"","Station","Block","","Delay")</f>
        <v>#VALUE!</v>
      </c>
      <c r="G1114" s="29" t="str" cm="1">
        <f t="array" ref="G1114">GetCSVIndex(A2,115+11340)</f>
        <v/>
      </c>
      <c r="H1114" s="45" t="str" cm="1">
        <f t="array" ref="H1114">GetCSVIndex(A2,277+11340)</f>
        <v/>
      </c>
      <c r="I1114" s="29" t="str" cm="1">
        <f t="array" ref="I1114">GetCSVIndex(A2,340+11340)</f>
        <v/>
      </c>
      <c r="J1114" s="26"/>
      <c r="K1114" s="45">
        <v>59</v>
      </c>
      <c r="L1114" s="29" t="e" cm="1">
        <f t="array" ref="L1114">CHOOSE(GetCSVIndex(A2,210+11340)+1,"","Station","Block","","Delay")</f>
        <v>#VALUE!</v>
      </c>
      <c r="M1114" s="29" t="str" cm="1">
        <f t="array" ref="M1114">GetCSVIndex(A2,211+11340)</f>
        <v/>
      </c>
      <c r="N1114" s="27" t="str" cm="1">
        <f t="array" ref="N1114">GetCSVIndex(A2,309+11340)</f>
        <v/>
      </c>
      <c r="O1114" s="43" t="str" cm="1">
        <f t="array" ref="O1114">GetCSVIndex(A2,372+11340)</f>
        <v/>
      </c>
    </row>
    <row r="1115" spans="1:15" ht="21" customHeight="1" x14ac:dyDescent="0.25">
      <c r="A1115" s="42"/>
      <c r="B1115" s="25"/>
      <c r="C1115" s="25"/>
      <c r="D1115" s="26"/>
      <c r="E1115" s="45">
        <v>28</v>
      </c>
      <c r="F1115" s="29" t="e" cm="1">
        <f t="array" ref="F1115">CHOOSE(GetCSVIndex(A2,117+11340)+1,"","Station","Block","","Delay")</f>
        <v>#VALUE!</v>
      </c>
      <c r="G1115" s="29" t="str" cm="1">
        <f t="array" ref="G1115">GetCSVIndex(A2,118+11340)</f>
        <v/>
      </c>
      <c r="H1115" s="45" t="str" cm="1">
        <f t="array" ref="H1115">GetCSVIndex(A2,278+11340)</f>
        <v/>
      </c>
      <c r="I1115" s="29" t="str" cm="1">
        <f t="array" ref="I1115">GetCSVIndex(A2,341+11340)</f>
        <v/>
      </c>
      <c r="J1115" s="26"/>
      <c r="K1115" s="45">
        <v>60</v>
      </c>
      <c r="L1115" s="29" t="e" cm="1">
        <f t="array" ref="L1115">CHOOSE(GetCSVIndex(A2,213+11340)+1,"","Station","Block","","Delay")</f>
        <v>#VALUE!</v>
      </c>
      <c r="M1115" s="29" t="str" cm="1">
        <f t="array" ref="M1115">GetCSVIndex(A2,214+11340)</f>
        <v/>
      </c>
      <c r="N1115" s="27" t="str" cm="1">
        <f t="array" ref="N1115">GetCSVIndex(A2,310+11340)</f>
        <v/>
      </c>
      <c r="O1115" s="43" t="str" cm="1">
        <f t="array" ref="O1115">GetCSVIndex(A2,373+11340)</f>
        <v/>
      </c>
    </row>
    <row r="1116" spans="1:15" ht="21" customHeight="1" x14ac:dyDescent="0.25">
      <c r="A1116" s="42"/>
      <c r="B1116" s="25"/>
      <c r="C1116" s="25"/>
      <c r="D1116" s="26"/>
      <c r="E1116" s="45">
        <v>29</v>
      </c>
      <c r="F1116" s="29" t="e" cm="1">
        <f t="array" ref="F1116">CHOOSE(GetCSVIndex(A2,120+11340)+1,"","Station","Block","","Delay")</f>
        <v>#VALUE!</v>
      </c>
      <c r="G1116" s="29" t="str" cm="1">
        <f t="array" ref="G1116">GetCSVIndex(A2,121+11340)</f>
        <v/>
      </c>
      <c r="H1116" s="45" t="str" cm="1">
        <f t="array" ref="H1116">GetCSVIndex(A2,279+11340)</f>
        <v/>
      </c>
      <c r="I1116" s="29" t="str" cm="1">
        <f t="array" ref="I1116">GetCSVIndex(A2,342+11340)</f>
        <v/>
      </c>
      <c r="J1116" s="26"/>
      <c r="K1116" s="45">
        <v>61</v>
      </c>
      <c r="L1116" s="29" t="e" cm="1">
        <f t="array" ref="L1116">CHOOSE(GetCSVIndex(A2,216+11340)+1,"","Station","Block","","Delay")</f>
        <v>#VALUE!</v>
      </c>
      <c r="M1116" s="29" t="str" cm="1">
        <f t="array" ref="M1116">GetCSVIndex(A2,217+11340)</f>
        <v/>
      </c>
      <c r="N1116" s="27" t="str" cm="1">
        <f t="array" ref="N1116">GetCSVIndex(A2,311+11340)</f>
        <v/>
      </c>
      <c r="O1116" s="43" t="str" cm="1">
        <f t="array" ref="O1116">GetCSVIndex(A2,374+11340)</f>
        <v/>
      </c>
    </row>
    <row r="1117" spans="1:15" ht="21" customHeight="1" x14ac:dyDescent="0.25">
      <c r="A1117" s="42"/>
      <c r="B1117" s="25"/>
      <c r="C1117" s="25"/>
      <c r="D1117" s="26"/>
      <c r="E1117" s="45">
        <v>30</v>
      </c>
      <c r="F1117" s="29" t="e" cm="1">
        <f t="array" ref="F1117">CHOOSE(GetCSVIndex(A2,123+11340)+1,"","Station","Block","","Delay")</f>
        <v>#VALUE!</v>
      </c>
      <c r="G1117" s="29" t="str" cm="1">
        <f t="array" ref="G1117">GetCSVIndex(A2,124+11340)</f>
        <v/>
      </c>
      <c r="H1117" s="45" t="str" cm="1">
        <f t="array" ref="H1117">GetCSVIndex(A2,280+11340)</f>
        <v/>
      </c>
      <c r="I1117" s="29" t="str" cm="1">
        <f t="array" ref="I1117">GetCSVIndex(A2,343+11340)</f>
        <v/>
      </c>
      <c r="J1117" s="26"/>
      <c r="K1117" s="45">
        <v>62</v>
      </c>
      <c r="L1117" s="29" t="e" cm="1">
        <f t="array" ref="L1117">CHOOSE(GetCSVIndex(A2,219+11340)+1,"","Station","Block","","Delay")</f>
        <v>#VALUE!</v>
      </c>
      <c r="M1117" s="29" t="str" cm="1">
        <f t="array" ref="M1117">GetCSVIndex(A2,220+11340)</f>
        <v/>
      </c>
      <c r="N1117" s="27" t="str" cm="1">
        <f t="array" ref="N1117">GetCSVIndex(A2,312+11340)</f>
        <v/>
      </c>
      <c r="O1117" s="43" t="str" cm="1">
        <f t="array" ref="O1117">GetCSVIndex(A2,375+11340)</f>
        <v/>
      </c>
    </row>
    <row r="1118" spans="1:15" ht="21" customHeight="1" x14ac:dyDescent="0.25">
      <c r="A1118" s="42"/>
      <c r="B1118" s="25"/>
      <c r="C1118" s="25"/>
      <c r="D1118" s="26"/>
      <c r="E1118" s="45">
        <v>31</v>
      </c>
      <c r="F1118" s="29" t="e" cm="1">
        <f t="array" ref="F1118">CHOOSE(GetCSVIndex(A2,126+11340)+1,"","Station","Block","","Delay")</f>
        <v>#VALUE!</v>
      </c>
      <c r="G1118" s="29" t="str" cm="1">
        <f t="array" ref="G1118">GetCSVIndex(A2,127+11340)</f>
        <v/>
      </c>
      <c r="H1118" s="45" t="str" cm="1">
        <f t="array" ref="H1118">GetCSVIndex(A2,281+11340)</f>
        <v/>
      </c>
      <c r="I1118" s="29" t="str" cm="1">
        <f t="array" ref="I1118">GetCSVIndex(A2,344+11340)</f>
        <v/>
      </c>
      <c r="J1118" s="26"/>
      <c r="K1118" s="45">
        <v>63</v>
      </c>
      <c r="L1118" s="29" t="e" cm="1">
        <f t="array" ref="L1118">CHOOSE(GetCSVIndex(A2,222+11340)+1,"","Station","Block","","Delay")</f>
        <v>#VALUE!</v>
      </c>
      <c r="M1118" s="29" t="str" cm="1">
        <f t="array" ref="M1118">GetCSVIndex(A2,223+11340)</f>
        <v/>
      </c>
      <c r="N1118" s="27" t="str" cm="1">
        <f t="array" ref="N1118">GetCSVIndex(A2,313+11340)</f>
        <v/>
      </c>
      <c r="O1118" s="43" t="str" cm="1">
        <f t="array" ref="O1118">GetCSVIndex(A2,376+11340)</f>
        <v/>
      </c>
    </row>
    <row r="1119" spans="1:15" ht="21" customHeight="1" x14ac:dyDescent="0.25">
      <c r="A1119" s="37"/>
      <c r="B1119" s="28"/>
      <c r="C1119" s="29"/>
      <c r="D1119" s="29"/>
      <c r="E1119" s="45">
        <v>32</v>
      </c>
      <c r="F1119" s="29" t="e" cm="1">
        <f t="array" ref="F1119">CHOOSE(GetCSVIndex(A2,129+11340)+1,"","Station","Block","","Delay")</f>
        <v>#VALUE!</v>
      </c>
      <c r="G1119" s="29" t="str" cm="1">
        <f t="array" ref="G1119">GetCSVIndex(A2,130+11340)</f>
        <v/>
      </c>
      <c r="H1119" s="45" t="str" cm="1">
        <f t="array" ref="H1119">GetCSVIndex(A2,282+11340)</f>
        <v/>
      </c>
      <c r="I1119" s="29" t="str" cm="1">
        <f t="array" ref="I1119">GetCSVIndex(A2,345+11340)</f>
        <v/>
      </c>
      <c r="J1119" s="29"/>
      <c r="K1119" s="45">
        <v>64</v>
      </c>
      <c r="L1119" s="29" t="e" cm="1">
        <f t="array" ref="L1119">CHOOSE(GetCSVIndex(A2,225+11340)+1,"","Station","Block","","Delay")</f>
        <v>#VALUE!</v>
      </c>
      <c r="M1119" s="29" t="str" cm="1">
        <f t="array" ref="M1119">GetCSVIndex(A2,226+11340)</f>
        <v/>
      </c>
      <c r="N1119" s="27" t="str" cm="1">
        <f t="array" ref="N1119">GetCSVIndex(A2,314+11340)</f>
        <v/>
      </c>
      <c r="O1119" s="43" t="str" cm="1">
        <f t="array" ref="O1119">GetCSVIndex(A2,377+11340)</f>
        <v/>
      </c>
    </row>
    <row r="1120" spans="1:15" ht="23.25" customHeight="1" x14ac:dyDescent="0.25">
      <c r="A1120" s="51" t="str" cm="1">
        <f t="array" ref="A1120">CONCATENATE("Schedule  Program Number : ", GetCSVIndex(A2,5+11718))</f>
        <v xml:space="preserve">Schedule  Program Number : </v>
      </c>
      <c r="B1120" s="52"/>
      <c r="C1120" s="52"/>
      <c r="D1120" s="52"/>
      <c r="E1120" s="52"/>
      <c r="F1120" s="52"/>
      <c r="G1120" s="52"/>
      <c r="H1120" s="52"/>
      <c r="I1120" s="52"/>
      <c r="J1120" s="52"/>
      <c r="K1120" s="52"/>
      <c r="L1120" s="52"/>
      <c r="M1120" s="52"/>
      <c r="N1120" s="52"/>
      <c r="O1120" s="53"/>
    </row>
    <row r="1121" spans="1:15" ht="21" customHeight="1" x14ac:dyDescent="0.25">
      <c r="A1121" s="20" t="s">
        <v>44</v>
      </c>
      <c r="B1121" s="22" t="str" cm="1">
        <f t="array" ref="B1121">GetCSVIndex(A2,5+11718)</f>
        <v/>
      </c>
      <c r="C1121" s="18"/>
      <c r="D1121" s="18"/>
      <c r="E1121" s="18"/>
      <c r="F1121" s="18"/>
      <c r="G1121" s="18" t="s">
        <v>19</v>
      </c>
      <c r="H1121" s="18" t="e" cm="1">
        <f t="array" ref="H1121">CHOOSE(GetCSVIndex(A2,7+11718)+1, "Days of Week", "Odd/Even", "Interval","Manual")</f>
        <v>#VALUE!</v>
      </c>
      <c r="I1121" s="18"/>
      <c r="J1121" s="15"/>
      <c r="K1121" s="15"/>
      <c r="L1121" s="15"/>
      <c r="M1121" s="15"/>
      <c r="N1121" s="15"/>
      <c r="O1121" s="16"/>
    </row>
    <row r="1122" spans="1:15" ht="18" customHeight="1" x14ac:dyDescent="0.25">
      <c r="A1122" s="21" t="s">
        <v>20</v>
      </c>
      <c r="B1122" s="19" t="e" cm="1">
        <f t="array" ref="B1122">CHOOSE(GetCSVIndex(A2,24+11718)+1, "Program", "Global", "Monthly","Solar Sync")</f>
        <v>#VALUE!</v>
      </c>
      <c r="C1122" s="19"/>
      <c r="D1122" s="19"/>
      <c r="E1122" s="19"/>
      <c r="F1122" s="19" t="s">
        <v>21</v>
      </c>
      <c r="G1122" s="19" t="e" cm="1">
        <f t="array" ref="G1122">IF(CHOOSE(GetCSVIndex(A2,7+11718)+1,IF(_xlfn.BITAND(GetCSVIndex(A2,8+11718), 2^0)=0, 0, 1),IF(_xlfn.BITAND(GetCSVIndex(A2,9+11718), 2^0)=0, 0, 1),IF(_xlfn.BITAND(GetCSVIndex(A2,10+11718), 2^0)=0, 0, 1)) =1,"Mon","")</f>
        <v>#VALUE!</v>
      </c>
      <c r="H1122" s="19" t="e" cm="1">
        <f t="array" ref="H1122">CONCATENATE(IF(CHOOSE(GetCSVIndex(A2,7+11718)+1,IF(_xlfn.BITAND(GetCSVIndex(A2,8+11718), 2^1)=0, 0, 1),IF(_xlfn.BITAND(GetCSVIndex(A2,9+11718), 2^1)=0, 0, 1),IF(_xlfn.BITAND(GetCSVIndex(A2,10+11718), 2^1)=0, 0, 1)) =1,"Tue       ","       "),IF(CHOOSE(GetCSVIndex(A2,7+11718)+1,IF(_xlfn.BITAND(GetCSVIndex(A2,8+11718), 2^2)=0, 0, 1),IF(_xlfn.BITAND(GetCSVIndex(A2,9+11718), 2^2)=0, 0, 1),IF(_xlfn.BITAND(GetCSVIndex(A2,10+11718), 2^2)=0, 0, 1)) =1,"Wed",""),IF(CHOOSE(GetCSVIndex(A2,7+11718)+1,IF(_xlfn.BITAND(GetCSVIndex(A2,8+11718), 2^3)=0, 0, 1),IF(_xlfn.BITAND(GetCSVIndex(A2,9+11718), 2^3)=0, 0, 1),IF(_xlfn.BITAND(GetCSVIndex(A2,10+11718), 2^3)=0, 0, 1)) =1,"       Thu","       "))</f>
        <v>#VALUE!</v>
      </c>
      <c r="I1122" s="32" t="e" cm="1">
        <f t="array" ref="I1122">CONCATENATE(IF(CHOOSE(GetCSVIndex(A2,7+11718)+1,IF(_xlfn.BITAND(GetCSVIndex(A2,8+11718), 2^4)=0, 0, 1),IF(_xlfn.BITAND(GetCSVIndex(A2,9+11718), 2^4)=0, 0, 1),IF(_xlfn.BITAND(GetCSVIndex(A2,10+11718), 2^4)=0, 0, 1)) =1,"Fri       ","       "),IF(CHOOSE(GetCSVIndex(A2,7+11718)+1,IF(_xlfn.BITAND(GetCSVIndex(A2,8+11718), 2^5)=0, 0, 1),IF(_xlfn.BITAND(GetCSVIndex(A2,9+11718), 2^5)=0, 0, 1),IF(_xlfn.BITAND(GetCSVIndex(A2,10+11718), 2^5)=0, 0, 1)) =1,"Sat",""),IF(CHOOSE(GetCSVIndex(A2,7+11718)+1,IF(_xlfn.BITAND(GetCSVIndex(A2,8+11718), 2^6)=0, 0, 1),IF(_xlfn.BITAND(GetCSVIndex(A2,9+11718), 2^6)=0, 0, 1),IF(_xlfn.BITAND(GetCSVIndex(A2,10+11718), 2^6)=0, 0, 1)) =1,"       Sun","       "))</f>
        <v>#VALUE!</v>
      </c>
      <c r="J1122" s="19"/>
      <c r="K1122" s="19"/>
      <c r="L1122" s="32" t="s">
        <v>22</v>
      </c>
      <c r="M1122" s="19"/>
      <c r="N1122" s="19" t="str" cm="1">
        <f t="array" ref="N1122">IF(GetCSVIndex(A2,26+11718)="1","Enable","Disable")</f>
        <v>Disable</v>
      </c>
      <c r="O1122" s="24"/>
    </row>
    <row r="1123" spans="1:15" ht="18" customHeight="1" x14ac:dyDescent="0.25">
      <c r="A1123" s="21" t="str" cm="1">
        <f t="array" ref="A1123">CONCATENATE("Program ", GetCSVIndex(A2,5+11718))</f>
        <v xml:space="preserve">Program </v>
      </c>
      <c r="B1123" s="23" t="str" cm="1">
        <f t="array" ref="B1123">CONCATENATE(GetCSVIndex(A2,25+11718)," %")</f>
        <v xml:space="preserve"> %</v>
      </c>
      <c r="C1123" s="19"/>
      <c r="D1123" s="19"/>
      <c r="E1123" s="19"/>
      <c r="F1123" s="19" t="str" cm="1">
        <f t="array" ref="F1123">IF(GetCSVIndex(A2,7)="2","Water Every"," ")</f>
        <v xml:space="preserve"> </v>
      </c>
      <c r="G1123" s="47" t="str" cm="1">
        <f t="array" ref="G1123">IF(GetCSVIndex(A2,7+11718)="2",GetCSVIndex(A2,11+11718)," ")</f>
        <v xml:space="preserve"> </v>
      </c>
      <c r="H1123" s="19" t="str" cm="1">
        <f t="array" ref="H1123">IF(GetCSVIndex(A2,7+11718)="2","Days"," ")</f>
        <v xml:space="preserve"> </v>
      </c>
      <c r="I1123" s="32" t="str" cm="1">
        <f t="array" ref="I1123">IF(GetCSVIndex(A2,7+11718)="2","Water After"," ")</f>
        <v xml:space="preserve"> </v>
      </c>
      <c r="J1123" s="19"/>
      <c r="K1123" s="19" t="str" cm="1">
        <f t="array" ref="K1123">IF(GetCSVIndex(A2,7+11718)="2",GetCSVIndex(A2,12+11718)," ")</f>
        <v xml:space="preserve"> </v>
      </c>
      <c r="L1123" s="47" t="str" cm="1">
        <f t="array" ref="L1123">IF(GetCSVIndex(A2,7+11718)="2","Days"," ")</f>
        <v xml:space="preserve"> </v>
      </c>
      <c r="M1123" s="32"/>
      <c r="N1123" s="32"/>
      <c r="O1123" s="24"/>
    </row>
    <row r="1124" spans="1:15" ht="21" customHeight="1" x14ac:dyDescent="0.25">
      <c r="A1124" s="20" t="s">
        <v>23</v>
      </c>
      <c r="B1124" s="18" t="s">
        <v>24</v>
      </c>
      <c r="C1124" s="18" t="str" cm="1">
        <f t="array" ref="C1124">CHOOSE(GetCSVIndex(A2,13)+1, "Auto", "Start to End","Manual")</f>
        <v>Start to End</v>
      </c>
      <c r="D1124" s="31"/>
      <c r="E1124" s="17" t="s">
        <v>38</v>
      </c>
      <c r="F1124" s="18" t="s">
        <v>39</v>
      </c>
      <c r="G1124" s="18" t="s">
        <v>40</v>
      </c>
      <c r="H1124" s="18" t="s">
        <v>41</v>
      </c>
      <c r="I1124" s="18" t="s">
        <v>43</v>
      </c>
      <c r="J1124" s="31"/>
      <c r="K1124" s="17" t="s">
        <v>38</v>
      </c>
      <c r="L1124" s="18" t="s">
        <v>39</v>
      </c>
      <c r="M1124" s="18" t="s">
        <v>40</v>
      </c>
      <c r="N1124" s="22" t="s">
        <v>41</v>
      </c>
      <c r="O1124" s="44" t="s">
        <v>42</v>
      </c>
    </row>
    <row r="1125" spans="1:15" ht="21" customHeight="1" x14ac:dyDescent="0.25">
      <c r="A1125" s="36" t="s">
        <v>25</v>
      </c>
      <c r="B1125" s="46" t="str" cm="1">
        <f t="array" ref="B1125">IF(GetCSVIndex(A2,6+11718)="1","Over","Stack")</f>
        <v>Stack</v>
      </c>
      <c r="C1125" s="26" t="str" cm="1">
        <f t="array" ref="C1125">GetCSVIndex(A2,29+11718)</f>
        <v/>
      </c>
      <c r="D1125" s="25"/>
      <c r="E1125" s="45">
        <v>1</v>
      </c>
      <c r="F1125" s="29" t="e" cm="1">
        <f t="array" ref="F1125">CHOOSE(GetCSVIndex(A2,36+11718)+1,"","Station","Block","","Delay")</f>
        <v>#VALUE!</v>
      </c>
      <c r="G1125" s="29" t="str" cm="1">
        <f t="array" ref="G1125">GetCSVIndex(A2,37+11718)</f>
        <v/>
      </c>
      <c r="H1125" s="45" t="str" cm="1">
        <f t="array" ref="H1125">GetCSVIndex(A2,3+11718)</f>
        <v/>
      </c>
      <c r="I1125" s="29" t="str" cm="1">
        <f t="array" ref="I1125">GetCSVIndex(A2,1+11718)</f>
        <v/>
      </c>
      <c r="J1125" s="25"/>
      <c r="K1125" s="45">
        <v>33</v>
      </c>
      <c r="L1125" s="29" t="e" cm="1">
        <f t="array" ref="L1125">CHOOSE(GetCSVIndex(A2,132+11718)+1,"","Station","Block","","Delay")</f>
        <v>#VALUE!</v>
      </c>
      <c r="M1125" s="29" t="str" cm="1">
        <f t="array" ref="M1125">GetCSVIndex(A2,133+11718)</f>
        <v/>
      </c>
      <c r="N1125" s="27" t="str" cm="1">
        <f t="array" ref="N1125">GetCSVIndex(A2,283+11718)</f>
        <v/>
      </c>
      <c r="O1125" s="43" t="str" cm="1">
        <f t="array" ref="O1125">GetCSVIndex(A2,346+11718)</f>
        <v/>
      </c>
    </row>
    <row r="1126" spans="1:15" ht="21" customHeight="1" x14ac:dyDescent="0.25">
      <c r="A1126" s="36" t="s">
        <v>26</v>
      </c>
      <c r="B1126" s="25" t="str" cm="1">
        <f t="array" ref="B1126">IF(GetCSVIndex(A2,2+11718)="1092:15","Not Set",CONCATENATE("From     ",GetCSVIndex(A2,2+11718)))</f>
        <v xml:space="preserve">From     </v>
      </c>
      <c r="C1126" s="26" t="str" cm="1">
        <f t="array" ref="C1126">IF(GetCSVIndex(C4,1+60)="1092:15","Not Set",CONCATENATE("To     ",GetCSVIndex(C4,1+60)))</f>
        <v xml:space="preserve">To     </v>
      </c>
      <c r="D1126" s="25"/>
      <c r="E1126" s="45">
        <v>2</v>
      </c>
      <c r="F1126" s="29" t="e" cm="1">
        <f t="array" ref="F1126">CHOOSE(GetCSVIndex(A2,39+11718)+1,"","Station","Block","","Delay")</f>
        <v>#VALUE!</v>
      </c>
      <c r="G1126" s="29" t="str" cm="1">
        <f t="array" ref="G1126">GetCSVIndex(A2,40+11718)</f>
        <v/>
      </c>
      <c r="H1126" s="45" t="str" cm="1">
        <f t="array" ref="H1126">GetCSVIndex(A2,252+11718)</f>
        <v/>
      </c>
      <c r="I1126" s="29" t="str" cm="1">
        <f t="array" ref="I1126">GetCSVIndex(A2,315+11718)</f>
        <v/>
      </c>
      <c r="J1126" s="25"/>
      <c r="K1126" s="45">
        <v>34</v>
      </c>
      <c r="L1126" s="29" t="e" cm="1">
        <f t="array" ref="L1126">CHOOSE(GetCSVIndex(A2,135+11718)+1,"","Station","Block","","Delay")</f>
        <v>#VALUE!</v>
      </c>
      <c r="M1126" s="29" t="str" cm="1">
        <f t="array" ref="M1126">GetCSVIndex(A2,136+11718)</f>
        <v/>
      </c>
      <c r="N1126" s="27" t="str" cm="1">
        <f t="array" ref="N1126">GetCSVIndex(A2,284+11718)</f>
        <v/>
      </c>
      <c r="O1126" s="43" t="str" cm="1">
        <f t="array" ref="O1126">GetCSVIndex(A2,347+11718)</f>
        <v/>
      </c>
    </row>
    <row r="1127" spans="1:15" ht="21" customHeight="1" x14ac:dyDescent="0.25">
      <c r="A1127" s="36" t="s">
        <v>27</v>
      </c>
      <c r="B1127" s="25"/>
      <c r="C1127" s="26" t="str" cm="1">
        <f t="array" ref="C1127">CONCATENATE(GetCSVIndex(A2,249+11718),":", GetCSVIndex(A2,250+11718),":", GetCSVIndex(A2,251+11718))</f>
        <v>::</v>
      </c>
      <c r="D1127" s="26"/>
      <c r="E1127" s="45">
        <v>3</v>
      </c>
      <c r="F1127" s="29" t="e" cm="1">
        <f t="array" ref="F1127">CHOOSE(GetCSVIndex(A2,42+11718)+1,"","Station","Block","","Delay")</f>
        <v>#VALUE!</v>
      </c>
      <c r="G1127" s="29" t="str" cm="1">
        <f t="array" ref="G1127">GetCSVIndex(A2,43+11718)</f>
        <v/>
      </c>
      <c r="H1127" s="45" t="str" cm="1">
        <f t="array" ref="H1127">GetCSVIndex(A2,253+11718)</f>
        <v/>
      </c>
      <c r="I1127" s="29" t="str" cm="1">
        <f t="array" ref="I1127">GetCSVIndex(A2,316+11718)</f>
        <v/>
      </c>
      <c r="J1127" s="25"/>
      <c r="K1127" s="45">
        <v>35</v>
      </c>
      <c r="L1127" s="29" t="e" cm="1">
        <f t="array" ref="L1127">CHOOSE(GetCSVIndex(A2,138+11718)+1,"","Station","Block","","Delay")</f>
        <v>#VALUE!</v>
      </c>
      <c r="M1127" s="29" t="str" cm="1">
        <f t="array" ref="M1127">GetCSVIndex(A2,139+11718)</f>
        <v/>
      </c>
      <c r="N1127" s="27" t="str" cm="1">
        <f t="array" ref="N1127">GetCSVIndex(A2,285+11718)</f>
        <v/>
      </c>
      <c r="O1127" s="43" t="str" cm="1">
        <f t="array" ref="O1127">GetCSVIndex(A2,348+11718)</f>
        <v/>
      </c>
    </row>
    <row r="1128" spans="1:15" ht="21" customHeight="1" x14ac:dyDescent="0.25">
      <c r="A1128" s="36"/>
      <c r="B1128" s="25"/>
      <c r="C1128" s="25"/>
      <c r="D1128" s="25"/>
      <c r="E1128" s="45">
        <v>4</v>
      </c>
      <c r="F1128" s="29" t="e" cm="1">
        <f t="array" ref="F1128">CHOOSE(GetCSVIndex(A2,45+11718)+1,"","Station","Block","","Delay")</f>
        <v>#VALUE!</v>
      </c>
      <c r="G1128" s="29" t="str" cm="1">
        <f t="array" ref="G1128">GetCSVIndex(A2,46+11718)</f>
        <v/>
      </c>
      <c r="H1128" s="45" t="str" cm="1">
        <f t="array" ref="H1128">GetCSVIndex(A2,254+11718)</f>
        <v/>
      </c>
      <c r="I1128" s="29" t="str" cm="1">
        <f t="array" ref="I1128">GetCSVIndex(A2,317+11718)</f>
        <v/>
      </c>
      <c r="J1128" s="25"/>
      <c r="K1128" s="45">
        <v>36</v>
      </c>
      <c r="L1128" s="29" t="e" cm="1">
        <f t="array" ref="L1128">CHOOSE(GetCSVIndex(A2,141+11718)+1,"","Station","Block","","Delay")</f>
        <v>#VALUE!</v>
      </c>
      <c r="M1128" s="29" t="str" cm="1">
        <f t="array" ref="M1128">GetCSVIndex(A2,142+11718)</f>
        <v/>
      </c>
      <c r="N1128" s="27" t="str" cm="1">
        <f t="array" ref="N1128">GetCSVIndex(A2,286+11718)</f>
        <v/>
      </c>
      <c r="O1128" s="43" t="str" cm="1">
        <f t="array" ref="O1128">GetCSVIndex(A2,349+11718)</f>
        <v/>
      </c>
    </row>
    <row r="1129" spans="1:15" ht="21" customHeight="1" x14ac:dyDescent="0.25">
      <c r="A1129" s="37" t="s">
        <v>28</v>
      </c>
      <c r="B1129" s="28"/>
      <c r="C1129" s="29" t="str" cm="1">
        <f t="array" ref="C1129">IF(GetCSVIndex(A2,14+11718)&lt;&gt;"65535",CONCATENATE(GetCSVIndex(A2,229+11718),":", GetCSVIndex(A2,239+11718)),"OFF")</f>
        <v>:</v>
      </c>
      <c r="D1129" s="25"/>
      <c r="E1129" s="45">
        <v>5</v>
      </c>
      <c r="F1129" s="29" t="e" cm="1">
        <f t="array" ref="F1129">CHOOSE(GetCSVIndex(A2,48+11718)+1,"","Station","Block","","Delay")</f>
        <v>#VALUE!</v>
      </c>
      <c r="G1129" s="29" t="str" cm="1">
        <f t="array" ref="G1129">GetCSVIndex(A2,49+11718)</f>
        <v/>
      </c>
      <c r="H1129" s="45" t="str" cm="1">
        <f t="array" ref="H1129">GetCSVIndex(A2,255+11718)</f>
        <v/>
      </c>
      <c r="I1129" s="29" t="str" cm="1">
        <f t="array" ref="I1129">GetCSVIndex(A2,318+11718)</f>
        <v/>
      </c>
      <c r="J1129" s="25"/>
      <c r="K1129" s="45">
        <v>37</v>
      </c>
      <c r="L1129" s="29" t="e" cm="1">
        <f t="array" ref="L1129">CHOOSE(GetCSVIndex(A2,144+11718)+1,"","Station","Block","","Delay")</f>
        <v>#VALUE!</v>
      </c>
      <c r="M1129" s="29" t="str" cm="1">
        <f t="array" ref="M1129">GetCSVIndex(A2,145+11718)</f>
        <v/>
      </c>
      <c r="N1129" s="27" t="str" cm="1">
        <f t="array" ref="N1129">GetCSVIndex(A2,287+11718)</f>
        <v/>
      </c>
      <c r="O1129" s="43" t="str" cm="1">
        <f t="array" ref="O1129">GetCSVIndex(A2,350+11718)</f>
        <v/>
      </c>
    </row>
    <row r="1130" spans="1:15" ht="21" customHeight="1" x14ac:dyDescent="0.25">
      <c r="A1130" s="38" t="s">
        <v>29</v>
      </c>
      <c r="B1130" s="30"/>
      <c r="C1130" s="29" t="str" cm="1">
        <f t="array" ref="C1130">IF(GetCSVIndex(A2,15+11718)&lt;&gt;"65535",CONCATENATE(GetCSVIndex(A2,231+11718),":", GetCSVIndex(A2,241+11718)),"OFF")</f>
        <v>:</v>
      </c>
      <c r="D1130" s="25"/>
      <c r="E1130" s="45">
        <v>6</v>
      </c>
      <c r="F1130" s="29" t="e" cm="1">
        <f t="array" ref="F1130">CHOOSE(GetCSVIndex(A2,51+11718)+1,"","Station","Block","","Delay")</f>
        <v>#VALUE!</v>
      </c>
      <c r="G1130" s="29" t="str" cm="1">
        <f t="array" ref="G1130">GetCSVIndex(A2,52+11718)</f>
        <v/>
      </c>
      <c r="H1130" s="45" t="str" cm="1">
        <f t="array" ref="H1130">GetCSVIndex(A2,256+11718)</f>
        <v/>
      </c>
      <c r="I1130" s="29" t="str" cm="1">
        <f t="array" ref="I1130">GetCSVIndex(A2,319+11718)</f>
        <v/>
      </c>
      <c r="J1130" s="25"/>
      <c r="K1130" s="45">
        <v>38</v>
      </c>
      <c r="L1130" s="29" t="e" cm="1">
        <f t="array" ref="L1130">CHOOSE(GetCSVIndex(A2,147+11718)+1,"","Station","Block","","Delay")</f>
        <v>#VALUE!</v>
      </c>
      <c r="M1130" s="29" t="str" cm="1">
        <f t="array" ref="M1130">GetCSVIndex(A2,148+11718)</f>
        <v/>
      </c>
      <c r="N1130" s="27" t="str" cm="1">
        <f t="array" ref="N1130">GetCSVIndex(A2,288+11718)</f>
        <v/>
      </c>
      <c r="O1130" s="43" t="str" cm="1">
        <f t="array" ref="O1130">GetCSVIndex(A2,351+11718)</f>
        <v/>
      </c>
    </row>
    <row r="1131" spans="1:15" ht="21" customHeight="1" x14ac:dyDescent="0.25">
      <c r="A1131" s="38" t="s">
        <v>30</v>
      </c>
      <c r="B1131" s="30"/>
      <c r="C1131" s="29" t="str" cm="1">
        <f t="array" ref="C1131">IF(GetCSVIndex(A2,16+11718)&lt;&gt;"65535",CONCATENATE(GetCSVIndex(A2,232+11718),":", GetCSVIndex(A2,242+11718)),"OFF")</f>
        <v>:</v>
      </c>
      <c r="D1131" s="25"/>
      <c r="E1131" s="45">
        <v>7</v>
      </c>
      <c r="F1131" s="29" t="e" cm="1">
        <f t="array" ref="F1131">CHOOSE(GetCSVIndex(A2,54+11718)+1,"","Station","Block","","Delay")</f>
        <v>#VALUE!</v>
      </c>
      <c r="G1131" s="29" t="str" cm="1">
        <f t="array" ref="G1131">GetCSVIndex(A2,55+11718)</f>
        <v/>
      </c>
      <c r="H1131" s="45" t="str" cm="1">
        <f t="array" ref="H1131">GetCSVIndex(A2,257+11718)</f>
        <v/>
      </c>
      <c r="I1131" s="29" t="str" cm="1">
        <f t="array" ref="I1131">GetCSVIndex(A2,320+11718)</f>
        <v/>
      </c>
      <c r="J1131" s="25"/>
      <c r="K1131" s="45">
        <v>39</v>
      </c>
      <c r="L1131" s="29" t="e" cm="1">
        <f t="array" ref="L1131">CHOOSE(GetCSVIndex(A2,150+11718)+1,"","Station","Block","","Delay")</f>
        <v>#VALUE!</v>
      </c>
      <c r="M1131" s="29" t="str" cm="1">
        <f t="array" ref="M1131">GetCSVIndex(A2,151+11718)</f>
        <v/>
      </c>
      <c r="N1131" s="27" t="str" cm="1">
        <f t="array" ref="N1131">GetCSVIndex(A2,289+11718)</f>
        <v/>
      </c>
      <c r="O1131" s="43" t="str" cm="1">
        <f t="array" ref="O1131">GetCSVIndex(A2,352+11718)</f>
        <v/>
      </c>
    </row>
    <row r="1132" spans="1:15" ht="21" customHeight="1" x14ac:dyDescent="0.25">
      <c r="A1132" s="38" t="s">
        <v>31</v>
      </c>
      <c r="B1132" s="30"/>
      <c r="C1132" s="29" t="str" cm="1">
        <f t="array" ref="C1132">IF(GetCSVIndex(A2,17+11718)&lt;&gt;"65535",CONCATENATE(GetCSVIndex(A2,233+11718),":", GetCSVIndex(A2,243+11718)),"OFF")</f>
        <v>:</v>
      </c>
      <c r="D1132" s="25"/>
      <c r="E1132" s="45">
        <v>8</v>
      </c>
      <c r="F1132" s="29" t="e" cm="1">
        <f t="array" ref="F1132">CHOOSE(GetCSVIndex(A2,57+11718)+1,"","Station","Block","","Delay")</f>
        <v>#VALUE!</v>
      </c>
      <c r="G1132" s="29" t="str" cm="1">
        <f t="array" ref="G1132">GetCSVIndex(A2,58+11718)</f>
        <v/>
      </c>
      <c r="H1132" s="45" t="str" cm="1">
        <f t="array" ref="H1132">GetCSVIndex(A2,258+11718)</f>
        <v/>
      </c>
      <c r="I1132" s="29" t="str" cm="1">
        <f t="array" ref="I1132">GetCSVIndex(A2,321+11718)</f>
        <v/>
      </c>
      <c r="J1132" s="25"/>
      <c r="K1132" s="45">
        <v>40</v>
      </c>
      <c r="L1132" s="29" t="e" cm="1">
        <f t="array" ref="L1132">CHOOSE(GetCSVIndex(A2,153+11718)+1,"","Station","Block","","Delay")</f>
        <v>#VALUE!</v>
      </c>
      <c r="M1132" s="29" t="str" cm="1">
        <f t="array" ref="M1132">GetCSVIndex(A2,154+11718)</f>
        <v/>
      </c>
      <c r="N1132" s="27" t="str" cm="1">
        <f t="array" ref="N1132">GetCSVIndex(A2,290+11718)</f>
        <v/>
      </c>
      <c r="O1132" s="43" t="str" cm="1">
        <f t="array" ref="O1132">GetCSVIndex(A2,353+11718)</f>
        <v/>
      </c>
    </row>
    <row r="1133" spans="1:15" ht="21" customHeight="1" x14ac:dyDescent="0.25">
      <c r="A1133" s="38" t="s">
        <v>32</v>
      </c>
      <c r="B1133" s="30"/>
      <c r="C1133" s="29" t="str" cm="1">
        <f t="array" ref="C1133">IF(GetCSVIndex(A2,18+11718)&lt;&gt;"65535",CONCATENATE(GetCSVIndex(A2,234+11718),":", GetCSVIndex(A2,244+11718)),"OFF")</f>
        <v>:</v>
      </c>
      <c r="D1133" s="25"/>
      <c r="E1133" s="45">
        <v>9</v>
      </c>
      <c r="F1133" s="29" t="e" cm="1">
        <f t="array" ref="F1133">CHOOSE(GetCSVIndex(A2,60+11718)+1,"","Station","Block","","Delay")</f>
        <v>#VALUE!</v>
      </c>
      <c r="G1133" s="29" t="str" cm="1">
        <f t="array" ref="G1133">GetCSVIndex(A2,61+11718)</f>
        <v/>
      </c>
      <c r="H1133" s="45" t="str" cm="1">
        <f t="array" ref="H1133">GetCSVIndex(A2,259+11718)</f>
        <v/>
      </c>
      <c r="I1133" s="29" t="str" cm="1">
        <f t="array" ref="I1133">GetCSVIndex(A2,322+11718)</f>
        <v/>
      </c>
      <c r="J1133" s="25"/>
      <c r="K1133" s="45">
        <v>41</v>
      </c>
      <c r="L1133" s="29" t="e" cm="1">
        <f t="array" ref="L1133">CHOOSE(GetCSVIndex(A2,156+11718)+1,"","Station","Block","","Delay")</f>
        <v>#VALUE!</v>
      </c>
      <c r="M1133" s="29" t="str" cm="1">
        <f t="array" ref="M1133">GetCSVIndex(A2,157+11718)</f>
        <v/>
      </c>
      <c r="N1133" s="27" t="str" cm="1">
        <f t="array" ref="N1133">GetCSVIndex(A2,291+11718)</f>
        <v/>
      </c>
      <c r="O1133" s="43" t="str" cm="1">
        <f t="array" ref="O1133">GetCSVIndex(A2,354+11718)</f>
        <v/>
      </c>
    </row>
    <row r="1134" spans="1:15" ht="21" customHeight="1" x14ac:dyDescent="0.25">
      <c r="A1134" s="38" t="s">
        <v>33</v>
      </c>
      <c r="B1134" s="30"/>
      <c r="C1134" s="29" t="str" cm="1">
        <f t="array" ref="C1134">IF(GetCSVIndex(A2,19+11718)&lt;&gt;"65535",CONCATENATE(GetCSVIndex(A2,235+11718),":", GetCSVIndex(A2,245+11718)),"OFF")</f>
        <v>:</v>
      </c>
      <c r="D1134" s="25"/>
      <c r="E1134" s="45">
        <v>10</v>
      </c>
      <c r="F1134" s="29" t="e" cm="1">
        <f t="array" ref="F1134">CHOOSE(GetCSVIndex(A2,63+11718)+1,"","Station","Block","","Delay")</f>
        <v>#VALUE!</v>
      </c>
      <c r="G1134" s="29" t="str" cm="1">
        <f t="array" ref="G1134">GetCSVIndex(A2,64+11718)</f>
        <v/>
      </c>
      <c r="H1134" s="45" t="str" cm="1">
        <f t="array" ref="H1134">GetCSVIndex(A2,260+11718)</f>
        <v/>
      </c>
      <c r="I1134" s="29" t="str" cm="1">
        <f t="array" ref="I1134">GetCSVIndex(A2,323+11718)</f>
        <v/>
      </c>
      <c r="J1134" s="25"/>
      <c r="K1134" s="45">
        <v>42</v>
      </c>
      <c r="L1134" s="29" t="e" cm="1">
        <f t="array" ref="L1134">CHOOSE(GetCSVIndex(A2,159+11718)+1,"","Station","Block","","Delay")</f>
        <v>#VALUE!</v>
      </c>
      <c r="M1134" s="29" t="str" cm="1">
        <f t="array" ref="M1134">GetCSVIndex(A2,160+11718)</f>
        <v/>
      </c>
      <c r="N1134" s="27" t="str" cm="1">
        <f t="array" ref="N1134">GetCSVIndex(A2,292+11718)</f>
        <v/>
      </c>
      <c r="O1134" s="43" t="str" cm="1">
        <f t="array" ref="O1134">GetCSVIndex(A2,355+11718)</f>
        <v/>
      </c>
    </row>
    <row r="1135" spans="1:15" ht="21" customHeight="1" x14ac:dyDescent="0.25">
      <c r="A1135" s="38" t="s">
        <v>34</v>
      </c>
      <c r="B1135" s="30"/>
      <c r="C1135" s="29" t="str" cm="1">
        <f t="array" ref="C1135">IF(GetCSVIndex(A2,20+11718)&lt;&gt;"65535",CONCATENATE(GetCSVIndex(A2,236+11718),":", GetCSVIndex(A2,246+11718)),"OFF")</f>
        <v>:</v>
      </c>
      <c r="D1135" s="25"/>
      <c r="E1135" s="45">
        <v>11</v>
      </c>
      <c r="F1135" s="29" t="e" cm="1">
        <f t="array" ref="F1135">CHOOSE(GetCSVIndex(A2,66+11718)+1,"","Station","Block","","Delay")</f>
        <v>#VALUE!</v>
      </c>
      <c r="G1135" s="29" t="str" cm="1">
        <f t="array" ref="G1135">GetCSVIndex(A2,67+11718)</f>
        <v/>
      </c>
      <c r="H1135" s="45" t="str" cm="1">
        <f t="array" ref="H1135">GetCSVIndex(A2,261+11718)</f>
        <v/>
      </c>
      <c r="I1135" s="29" t="str" cm="1">
        <f t="array" ref="I1135">GetCSVIndex(A2,324+11718)</f>
        <v/>
      </c>
      <c r="J1135" s="25"/>
      <c r="K1135" s="45">
        <v>43</v>
      </c>
      <c r="L1135" s="29" t="e" cm="1">
        <f t="array" ref="L1135">CHOOSE(GetCSVIndex(A2,162+11718)+1,"","Station","Block","","Delay")</f>
        <v>#VALUE!</v>
      </c>
      <c r="M1135" s="29" t="str" cm="1">
        <f t="array" ref="M1135">GetCSVIndex(A2,163+11718)</f>
        <v/>
      </c>
      <c r="N1135" s="27" t="str" cm="1">
        <f t="array" ref="N1135">GetCSVIndex(A2,293+11718)</f>
        <v/>
      </c>
      <c r="O1135" s="43" t="str" cm="1">
        <f t="array" ref="O1135">GetCSVIndex(A2,356+11718)</f>
        <v/>
      </c>
    </row>
    <row r="1136" spans="1:15" ht="21" customHeight="1" x14ac:dyDescent="0.25">
      <c r="A1136" s="38" t="s">
        <v>35</v>
      </c>
      <c r="B1136" s="30"/>
      <c r="C1136" s="29" t="str" cm="1">
        <f t="array" ref="C1136">IF(GetCSVIndex(A2,21+11718)&lt;&gt;"65535",CONCATENATE(GetCSVIndex(A2,237+11718),":", GetCSVIndex(A2,247+11718)),"OFF")</f>
        <v>:</v>
      </c>
      <c r="D1136" s="25"/>
      <c r="E1136" s="45">
        <v>12</v>
      </c>
      <c r="F1136" s="29" t="e" cm="1">
        <f t="array" ref="F1136">CHOOSE(GetCSVIndex(A2,69+11718)+1,"","Station","Block","","Delay")</f>
        <v>#VALUE!</v>
      </c>
      <c r="G1136" s="29" t="str" cm="1">
        <f t="array" ref="G1136">GetCSVIndex(A2,70+11718)</f>
        <v/>
      </c>
      <c r="H1136" s="45" t="str" cm="1">
        <f t="array" ref="H1136">GetCSVIndex(A2,262+11718)</f>
        <v/>
      </c>
      <c r="I1136" s="29" t="str" cm="1">
        <f t="array" ref="I1136">GetCSVIndex(A2,325+11718)</f>
        <v/>
      </c>
      <c r="J1136" s="25"/>
      <c r="K1136" s="45">
        <v>44</v>
      </c>
      <c r="L1136" s="29" t="e" cm="1">
        <f t="array" ref="L1136">CHOOSE(GetCSVIndex(A2,165+11718)+1,"","Station","Block","","Delay")</f>
        <v>#VALUE!</v>
      </c>
      <c r="M1136" s="29" t="str" cm="1">
        <f t="array" ref="M1136">GetCSVIndex(A2,166+11718)</f>
        <v/>
      </c>
      <c r="N1136" s="27" t="str" cm="1">
        <f t="array" ref="N1136">GetCSVIndex(A2,294+11718)</f>
        <v/>
      </c>
      <c r="O1136" s="43" t="str" cm="1">
        <f t="array" ref="O1136">GetCSVIndex(A2,357+11718)</f>
        <v/>
      </c>
    </row>
    <row r="1137" spans="1:15" ht="21" customHeight="1" x14ac:dyDescent="0.25">
      <c r="A1137" s="38" t="s">
        <v>36</v>
      </c>
      <c r="B1137" s="30"/>
      <c r="C1137" s="29" t="str" cm="1">
        <f t="array" ref="C1137">IF(GetCSVIndex(A2,22+11718)&lt;&gt;"65535",CONCATENATE(GetCSVIndex(A2,238+11718),":", GetCSVIndex(A2,248+11718)),"OFF")</f>
        <v>:</v>
      </c>
      <c r="D1137" s="25"/>
      <c r="E1137" s="45">
        <v>13</v>
      </c>
      <c r="F1137" s="29" t="e" cm="1">
        <f t="array" ref="F1137">CHOOSE(GetCSVIndex(A2,72+11718)+1,"","Station","Block","","Delay")</f>
        <v>#VALUE!</v>
      </c>
      <c r="G1137" s="29" t="str" cm="1">
        <f t="array" ref="G1137">GetCSVIndex(A2,73+11718)</f>
        <v/>
      </c>
      <c r="H1137" s="45" t="str" cm="1">
        <f t="array" ref="H1137">GetCSVIndex(A2,263+11718)</f>
        <v/>
      </c>
      <c r="I1137" s="29" t="str" cm="1">
        <f t="array" ref="I1137">GetCSVIndex(A2,326+11718)</f>
        <v/>
      </c>
      <c r="J1137" s="25"/>
      <c r="K1137" s="45">
        <v>45</v>
      </c>
      <c r="L1137" s="29" t="e" cm="1">
        <f t="array" ref="L1137">CHOOSE(GetCSVIndex(A2,168+11718)+1,"","Station","Block","","Delay")</f>
        <v>#VALUE!</v>
      </c>
      <c r="M1137" s="29" t="str" cm="1">
        <f t="array" ref="M1137">GetCSVIndex(A2,169+11718)</f>
        <v/>
      </c>
      <c r="N1137" s="27" t="str" cm="1">
        <f t="array" ref="N1137">GetCSVIndex(A2,295+11718)</f>
        <v/>
      </c>
      <c r="O1137" s="43" t="str" cm="1">
        <f t="array" ref="O1137">GetCSVIndex(A2,358+11718)</f>
        <v/>
      </c>
    </row>
    <row r="1138" spans="1:15" ht="21" customHeight="1" x14ac:dyDescent="0.25">
      <c r="A1138" s="36" t="s">
        <v>37</v>
      </c>
      <c r="B1138" s="25"/>
      <c r="C1138" s="29" t="str" cm="1">
        <f t="array" ref="C1138">IF(GetCSVIndex(A2,23+11718)&lt;&gt;"65535",CONCATENATE(GetCSVIndex(A2,230+11718),":", GetCSVIndex(A2,240+11718)),"OFF")</f>
        <v>:</v>
      </c>
      <c r="D1138" s="25"/>
      <c r="E1138" s="45">
        <v>14</v>
      </c>
      <c r="F1138" s="29" t="e" cm="1">
        <f t="array" ref="F1138">CHOOSE(GetCSVIndex(A2,75+11718)+1,"","Station","Block","","Delay")</f>
        <v>#VALUE!</v>
      </c>
      <c r="G1138" s="29" t="str" cm="1">
        <f t="array" ref="G1138">GetCSVIndex(A2,76+11718)</f>
        <v/>
      </c>
      <c r="H1138" s="45" t="str" cm="1">
        <f t="array" ref="H1138">GetCSVIndex(A2,264+11718)</f>
        <v/>
      </c>
      <c r="I1138" s="29" t="str" cm="1">
        <f t="array" ref="I1138">GetCSVIndex(A2,327+11718)</f>
        <v/>
      </c>
      <c r="J1138" s="25"/>
      <c r="K1138" s="45">
        <v>46</v>
      </c>
      <c r="L1138" s="29" t="e" cm="1">
        <f t="array" ref="L1138">CHOOSE(GetCSVIndex(A2,171+11718)+1,"","Station","Block","","Delay")</f>
        <v>#VALUE!</v>
      </c>
      <c r="M1138" s="29" t="str" cm="1">
        <f t="array" ref="M1138">GetCSVIndex(A2,172+11718)</f>
        <v/>
      </c>
      <c r="N1138" s="27" t="str" cm="1">
        <f t="array" ref="N1138">GetCSVIndex(A2,296+11718)</f>
        <v/>
      </c>
      <c r="O1138" s="43" t="str" cm="1">
        <f t="array" ref="O1138">GetCSVIndex(A2,359+11718)</f>
        <v/>
      </c>
    </row>
    <row r="1139" spans="1:15" ht="21" customHeight="1" x14ac:dyDescent="0.25">
      <c r="A1139" s="39"/>
      <c r="B1139" s="40"/>
      <c r="C1139" s="41"/>
      <c r="D1139" s="26"/>
      <c r="E1139" s="45">
        <v>15</v>
      </c>
      <c r="F1139" s="29" t="e" cm="1">
        <f t="array" ref="F1139">CHOOSE(GetCSVIndex(A2,78+11718)+1,"","Station","Block","","Delay")</f>
        <v>#VALUE!</v>
      </c>
      <c r="G1139" s="29" t="str" cm="1">
        <f t="array" ref="G1139">GetCSVIndex(A2,79+11718)</f>
        <v/>
      </c>
      <c r="H1139" s="45" t="str" cm="1">
        <f t="array" ref="H1139">GetCSVIndex(A2,265+11718)</f>
        <v/>
      </c>
      <c r="I1139" s="29" t="str" cm="1">
        <f t="array" ref="I1139">GetCSVIndex(A2,328+11718)</f>
        <v/>
      </c>
      <c r="J1139" s="26"/>
      <c r="K1139" s="45">
        <v>47</v>
      </c>
      <c r="L1139" s="29" t="e" cm="1">
        <f t="array" ref="L1139">CHOOSE(GetCSVIndex(A2,174+11718)+1,"","Station","Block","","Delay")</f>
        <v>#VALUE!</v>
      </c>
      <c r="M1139" s="29" t="str" cm="1">
        <f t="array" ref="M1139">GetCSVIndex(A2,175+11718)</f>
        <v/>
      </c>
      <c r="N1139" s="27" t="str" cm="1">
        <f t="array" ref="N1139">GetCSVIndex(A2,297+11718)</f>
        <v/>
      </c>
      <c r="O1139" s="43" t="str" cm="1">
        <f t="array" ref="O1139">GetCSVIndex(A2,360+11718)</f>
        <v/>
      </c>
    </row>
    <row r="1140" spans="1:15" ht="21" customHeight="1" x14ac:dyDescent="0.25">
      <c r="A1140" s="42"/>
      <c r="B1140" s="25"/>
      <c r="C1140" s="25"/>
      <c r="D1140" s="26"/>
      <c r="E1140" s="45">
        <v>16</v>
      </c>
      <c r="F1140" s="29" t="e" cm="1">
        <f t="array" ref="F1140">CHOOSE(GetCSVIndex(A2,81+11718)+1,"","Station","Block","","Delay")</f>
        <v>#VALUE!</v>
      </c>
      <c r="G1140" s="29" t="str" cm="1">
        <f t="array" ref="G1140">GetCSVIndex(A2,82+11718)</f>
        <v/>
      </c>
      <c r="H1140" s="45" t="str" cm="1">
        <f t="array" ref="H1140">GetCSVIndex(A2,266+11718)</f>
        <v/>
      </c>
      <c r="I1140" s="29" t="str" cm="1">
        <f t="array" ref="I1140">GetCSVIndex(A2,329+11718)</f>
        <v/>
      </c>
      <c r="J1140" s="25"/>
      <c r="K1140" s="45">
        <v>48</v>
      </c>
      <c r="L1140" s="29" t="e" cm="1">
        <f t="array" ref="L1140">CHOOSE(GetCSVIndex(A2,177+11718)+1,"","Station","Block","","Delay")</f>
        <v>#VALUE!</v>
      </c>
      <c r="M1140" s="29" t="str" cm="1">
        <f t="array" ref="M1140">GetCSVIndex(A2,178+11718)</f>
        <v/>
      </c>
      <c r="N1140" s="27" t="str" cm="1">
        <f t="array" ref="N1140">GetCSVIndex(A2,298+11718)</f>
        <v/>
      </c>
      <c r="O1140" s="43" t="str" cm="1">
        <f t="array" ref="O1140">GetCSVIndex(A2,361+11718)</f>
        <v/>
      </c>
    </row>
    <row r="1141" spans="1:15" ht="21" customHeight="1" x14ac:dyDescent="0.25">
      <c r="A1141" s="42"/>
      <c r="B1141" s="25"/>
      <c r="C1141" s="25"/>
      <c r="D1141" s="26"/>
      <c r="E1141" s="45">
        <v>17</v>
      </c>
      <c r="F1141" s="29" t="e" cm="1">
        <f t="array" ref="F1141">CHOOSE(GetCSVIndex(A2,84+11718)+1,"","Station","Block","","Delay")</f>
        <v>#VALUE!</v>
      </c>
      <c r="G1141" s="29" t="str" cm="1">
        <f t="array" ref="G1141">GetCSVIndex(A2,85+11718)</f>
        <v/>
      </c>
      <c r="H1141" s="45" t="str" cm="1">
        <f t="array" ref="H1141">GetCSVIndex(A2,267+11718)</f>
        <v/>
      </c>
      <c r="I1141" s="29" t="str" cm="1">
        <f t="array" ref="I1141">GetCSVIndex(A2,330+11718)</f>
        <v/>
      </c>
      <c r="J1141" s="26"/>
      <c r="K1141" s="45">
        <v>49</v>
      </c>
      <c r="L1141" s="29" t="e" cm="1">
        <f t="array" ref="L1141">CHOOSE(GetCSVIndex(A2,180+11718)+1,"","Station","Block","","Delay")</f>
        <v>#VALUE!</v>
      </c>
      <c r="M1141" s="29" t="str" cm="1">
        <f t="array" ref="M1141">GetCSVIndex(A2,181+11718)</f>
        <v/>
      </c>
      <c r="N1141" s="27" t="str" cm="1">
        <f t="array" ref="N1141">GetCSVIndex(A2,299+11718)</f>
        <v/>
      </c>
      <c r="O1141" s="43" t="str" cm="1">
        <f t="array" ref="O1141">GetCSVIndex(A2,362+11718)</f>
        <v/>
      </c>
    </row>
    <row r="1142" spans="1:15" ht="21" customHeight="1" x14ac:dyDescent="0.25">
      <c r="A1142" s="42"/>
      <c r="B1142" s="25"/>
      <c r="C1142" s="25"/>
      <c r="D1142" s="26"/>
      <c r="E1142" s="45">
        <v>18</v>
      </c>
      <c r="F1142" s="29" t="e" cm="1">
        <f t="array" ref="F1142">CHOOSE(GetCSVIndex(A2,87+11718)+1,"","Station","Block","","Delay")</f>
        <v>#VALUE!</v>
      </c>
      <c r="G1142" s="29" t="str" cm="1">
        <f t="array" ref="G1142">GetCSVIndex(A2,88+11718)</f>
        <v/>
      </c>
      <c r="H1142" s="45" t="str" cm="1">
        <f t="array" ref="H1142">GetCSVIndex(A2,268+11718)</f>
        <v/>
      </c>
      <c r="I1142" s="29" t="str" cm="1">
        <f t="array" ref="I1142">GetCSVIndex(A2,331+11718)</f>
        <v/>
      </c>
      <c r="J1142" s="26"/>
      <c r="K1142" s="45">
        <v>50</v>
      </c>
      <c r="L1142" s="29" t="e" cm="1">
        <f t="array" ref="L1142">CHOOSE(GetCSVIndex(A2,183+11718)+1,"","Station","Block","","Delay")</f>
        <v>#VALUE!</v>
      </c>
      <c r="M1142" s="29" t="str" cm="1">
        <f t="array" ref="M1142">GetCSVIndex(A2,184+11718)</f>
        <v/>
      </c>
      <c r="N1142" s="27" t="str" cm="1">
        <f t="array" ref="N1142">GetCSVIndex(A2,300+11718)</f>
        <v/>
      </c>
      <c r="O1142" s="43" t="str" cm="1">
        <f t="array" ref="O1142">GetCSVIndex(A2,363+11718)</f>
        <v/>
      </c>
    </row>
    <row r="1143" spans="1:15" ht="21" customHeight="1" x14ac:dyDescent="0.25">
      <c r="A1143" s="42"/>
      <c r="B1143" s="25"/>
      <c r="C1143" s="25"/>
      <c r="D1143" s="26"/>
      <c r="E1143" s="45">
        <v>19</v>
      </c>
      <c r="F1143" s="29" t="e" cm="1">
        <f t="array" ref="F1143">CHOOSE(GetCSVIndex(A2,90+11718)+1,"","Station","Block","","Delay")</f>
        <v>#VALUE!</v>
      </c>
      <c r="G1143" s="29" t="str" cm="1">
        <f t="array" ref="G1143">GetCSVIndex(A2,91+11718)</f>
        <v/>
      </c>
      <c r="H1143" s="45" t="str" cm="1">
        <f t="array" ref="H1143">GetCSVIndex(A2,269+11718)</f>
        <v/>
      </c>
      <c r="I1143" s="29" t="str" cm="1">
        <f t="array" ref="I1143">GetCSVIndex(A2,332+11718)</f>
        <v/>
      </c>
      <c r="J1143" s="26"/>
      <c r="K1143" s="45">
        <v>51</v>
      </c>
      <c r="L1143" s="29" t="e" cm="1">
        <f t="array" ref="L1143">CHOOSE(GetCSVIndex(A2,186+11718)+1,"","Station","Block","","Delay")</f>
        <v>#VALUE!</v>
      </c>
      <c r="M1143" s="29" t="str" cm="1">
        <f t="array" ref="M1143">GetCSVIndex(A2,187+11718)</f>
        <v/>
      </c>
      <c r="N1143" s="27" t="str" cm="1">
        <f t="array" ref="N1143">GetCSVIndex(A2,301+11718)</f>
        <v/>
      </c>
      <c r="O1143" s="43" t="str" cm="1">
        <f t="array" ref="O1143">GetCSVIndex(A2,364+11718)</f>
        <v/>
      </c>
    </row>
    <row r="1144" spans="1:15" ht="21" customHeight="1" x14ac:dyDescent="0.25">
      <c r="A1144" s="42"/>
      <c r="B1144" s="25"/>
      <c r="C1144" s="25"/>
      <c r="D1144" s="26"/>
      <c r="E1144" s="45">
        <v>20</v>
      </c>
      <c r="F1144" s="29" t="e" cm="1">
        <f t="array" ref="F1144">CHOOSE(GetCSVIndex(A2,93+11718)+1,"","Station","Block","","Delay")</f>
        <v>#VALUE!</v>
      </c>
      <c r="G1144" s="29" t="str" cm="1">
        <f t="array" ref="G1144">GetCSVIndex(A2,94+11718)</f>
        <v/>
      </c>
      <c r="H1144" s="45" t="str" cm="1">
        <f t="array" ref="H1144">GetCSVIndex(A2,270+11718)</f>
        <v/>
      </c>
      <c r="I1144" s="29" t="str" cm="1">
        <f t="array" ref="I1144">GetCSVIndex(A2,333+11718)</f>
        <v/>
      </c>
      <c r="J1144" s="26"/>
      <c r="K1144" s="45">
        <v>52</v>
      </c>
      <c r="L1144" s="29" t="e" cm="1">
        <f t="array" ref="L1144">CHOOSE(GetCSVIndex(A2,189+11718)+1,"","Station","Block","","Delay")</f>
        <v>#VALUE!</v>
      </c>
      <c r="M1144" s="29" t="str" cm="1">
        <f t="array" ref="M1144">GetCSVIndex(A2,190+11718)</f>
        <v/>
      </c>
      <c r="N1144" s="27" t="str" cm="1">
        <f t="array" ref="N1144">GetCSVIndex(A2,302+11718)</f>
        <v/>
      </c>
      <c r="O1144" s="43" t="str" cm="1">
        <f t="array" ref="O1144">GetCSVIndex(A2,365+11718)</f>
        <v/>
      </c>
    </row>
    <row r="1145" spans="1:15" ht="21" customHeight="1" x14ac:dyDescent="0.25">
      <c r="A1145" s="42"/>
      <c r="B1145" s="25"/>
      <c r="C1145" s="25"/>
      <c r="D1145" s="26"/>
      <c r="E1145" s="45">
        <v>21</v>
      </c>
      <c r="F1145" s="29" t="e" cm="1">
        <f t="array" ref="F1145">CHOOSE(GetCSVIndex(A2,96+11718)+1,"","Station","Block","","Delay")</f>
        <v>#VALUE!</v>
      </c>
      <c r="G1145" s="29" t="str" cm="1">
        <f t="array" ref="G1145">GetCSVIndex(A2,97+11718)</f>
        <v/>
      </c>
      <c r="H1145" s="45" t="str" cm="1">
        <f t="array" ref="H1145">GetCSVIndex(A2,271+11718)</f>
        <v/>
      </c>
      <c r="I1145" s="29" t="str" cm="1">
        <f t="array" ref="I1145">GetCSVIndex(A2,334+11718)</f>
        <v/>
      </c>
      <c r="J1145" s="26"/>
      <c r="K1145" s="45">
        <v>53</v>
      </c>
      <c r="L1145" s="29" t="e" cm="1">
        <f t="array" ref="L1145">CHOOSE(GetCSVIndex(A2,192+11718)+1,"","Station","Block","","Delay")</f>
        <v>#VALUE!</v>
      </c>
      <c r="M1145" s="29" t="str" cm="1">
        <f t="array" ref="M1145">GetCSVIndex(A2,193+11718)</f>
        <v/>
      </c>
      <c r="N1145" s="27" t="str" cm="1">
        <f t="array" ref="N1145">GetCSVIndex(A2,303+11718)</f>
        <v/>
      </c>
      <c r="O1145" s="43" t="str" cm="1">
        <f t="array" ref="O1145">GetCSVIndex(A2,366+11718)</f>
        <v/>
      </c>
    </row>
    <row r="1146" spans="1:15" ht="21" customHeight="1" x14ac:dyDescent="0.25">
      <c r="A1146" s="42"/>
      <c r="B1146" s="25"/>
      <c r="C1146" s="25"/>
      <c r="D1146" s="26"/>
      <c r="E1146" s="45">
        <v>22</v>
      </c>
      <c r="F1146" s="29" t="e" cm="1">
        <f t="array" ref="F1146">CHOOSE(GetCSVIndex(A2,99+11718)+1,"","Station","Block","","Delay")</f>
        <v>#VALUE!</v>
      </c>
      <c r="G1146" s="29" t="str" cm="1">
        <f t="array" ref="G1146">GetCSVIndex(A2,100+11718)</f>
        <v/>
      </c>
      <c r="H1146" s="45" t="str" cm="1">
        <f t="array" ref="H1146">GetCSVIndex(A2,272+11718)</f>
        <v/>
      </c>
      <c r="I1146" s="29" t="str" cm="1">
        <f t="array" ref="I1146">GetCSVIndex(A2,335+11718)</f>
        <v/>
      </c>
      <c r="J1146" s="26"/>
      <c r="K1146" s="45">
        <v>54</v>
      </c>
      <c r="L1146" s="29" t="e" cm="1">
        <f t="array" ref="L1146">CHOOSE(GetCSVIndex(A2,195+11718)+1,"","Station","Block","","Delay")</f>
        <v>#VALUE!</v>
      </c>
      <c r="M1146" s="29" t="str" cm="1">
        <f t="array" ref="M1146">GetCSVIndex(A2,196+11718)</f>
        <v/>
      </c>
      <c r="N1146" s="27" t="str" cm="1">
        <f t="array" ref="N1146">GetCSVIndex(A2,304+11718)</f>
        <v/>
      </c>
      <c r="O1146" s="43" t="str" cm="1">
        <f t="array" ref="O1146">GetCSVIndex(A2,367+11718)</f>
        <v/>
      </c>
    </row>
    <row r="1147" spans="1:15" ht="21" customHeight="1" x14ac:dyDescent="0.25">
      <c r="A1147" s="42"/>
      <c r="B1147" s="25"/>
      <c r="C1147" s="25"/>
      <c r="D1147" s="26"/>
      <c r="E1147" s="45">
        <v>23</v>
      </c>
      <c r="F1147" s="29" t="e" cm="1">
        <f t="array" ref="F1147">CHOOSE(GetCSVIndex(A2,102+11718)+1,"","Station","Block","","Delay")</f>
        <v>#VALUE!</v>
      </c>
      <c r="G1147" s="29" t="str" cm="1">
        <f t="array" ref="G1147">GetCSVIndex(A2,103+11718)</f>
        <v/>
      </c>
      <c r="H1147" s="45" t="str" cm="1">
        <f t="array" ref="H1147">GetCSVIndex(A2,273+11718)</f>
        <v/>
      </c>
      <c r="I1147" s="29" t="str" cm="1">
        <f t="array" ref="I1147">GetCSVIndex(A2,336+11718)</f>
        <v/>
      </c>
      <c r="J1147" s="26"/>
      <c r="K1147" s="45">
        <v>55</v>
      </c>
      <c r="L1147" s="29" t="e" cm="1">
        <f t="array" ref="L1147">CHOOSE(GetCSVIndex(A2,198+11718)+1,"","Station","Block","","Delay")</f>
        <v>#VALUE!</v>
      </c>
      <c r="M1147" s="29" t="str" cm="1">
        <f t="array" ref="M1147">GetCSVIndex(A2,199+11718)</f>
        <v/>
      </c>
      <c r="N1147" s="27" t="str" cm="1">
        <f t="array" ref="N1147">GetCSVIndex(A2,305+11718)</f>
        <v/>
      </c>
      <c r="O1147" s="43" t="str" cm="1">
        <f t="array" ref="O1147">GetCSVIndex(A2,368+11718)</f>
        <v/>
      </c>
    </row>
    <row r="1148" spans="1:15" ht="21" customHeight="1" x14ac:dyDescent="0.25">
      <c r="A1148" s="42"/>
      <c r="B1148" s="25"/>
      <c r="C1148" s="25"/>
      <c r="D1148" s="26"/>
      <c r="E1148" s="45">
        <v>24</v>
      </c>
      <c r="F1148" s="29" t="e" cm="1">
        <f t="array" ref="F1148">CHOOSE(GetCSVIndex(A2,105+11718)+1,"","Station","Block","","Delay")</f>
        <v>#VALUE!</v>
      </c>
      <c r="G1148" s="29" t="str" cm="1">
        <f t="array" ref="G1148">GetCSVIndex(A2,106+11718)</f>
        <v/>
      </c>
      <c r="H1148" s="45" t="str" cm="1">
        <f t="array" ref="H1148">GetCSVIndex(A2,274+11718)</f>
        <v/>
      </c>
      <c r="I1148" s="29" t="str" cm="1">
        <f t="array" ref="I1148">GetCSVIndex(A2,337+11718)</f>
        <v/>
      </c>
      <c r="J1148" s="26"/>
      <c r="K1148" s="45">
        <v>56</v>
      </c>
      <c r="L1148" s="29" t="e" cm="1">
        <f t="array" ref="L1148">CHOOSE(GetCSVIndex(A2,201+11718)+1,"","Station","Block","","Delay")</f>
        <v>#VALUE!</v>
      </c>
      <c r="M1148" s="29" t="str" cm="1">
        <f t="array" ref="M1148">GetCSVIndex(A2,202+11718)</f>
        <v/>
      </c>
      <c r="N1148" s="27" t="str" cm="1">
        <f t="array" ref="N1148">GetCSVIndex(A2,306+11718)</f>
        <v/>
      </c>
      <c r="O1148" s="43" t="str" cm="1">
        <f t="array" ref="O1148">GetCSVIndex(A2,369+11718)</f>
        <v/>
      </c>
    </row>
    <row r="1149" spans="1:15" ht="21" customHeight="1" x14ac:dyDescent="0.25">
      <c r="A1149" s="42"/>
      <c r="B1149" s="25"/>
      <c r="C1149" s="25"/>
      <c r="D1149" s="26"/>
      <c r="E1149" s="45">
        <v>25</v>
      </c>
      <c r="F1149" s="29" t="e" cm="1">
        <f t="array" ref="F1149">CHOOSE(GetCSVIndex(A2,108+11718)+1,"","Station","Block","","Delay")</f>
        <v>#VALUE!</v>
      </c>
      <c r="G1149" s="29" t="str" cm="1">
        <f t="array" ref="G1149">GetCSVIndex(A2,109+11718)</f>
        <v/>
      </c>
      <c r="H1149" s="45" t="str" cm="1">
        <f t="array" ref="H1149">GetCSVIndex(A2,275+11718)</f>
        <v/>
      </c>
      <c r="I1149" s="29" t="str" cm="1">
        <f t="array" ref="I1149">GetCSVIndex(A2,338+11718)</f>
        <v/>
      </c>
      <c r="J1149" s="26"/>
      <c r="K1149" s="45">
        <v>57</v>
      </c>
      <c r="L1149" s="29" t="e" cm="1">
        <f t="array" ref="L1149">CHOOSE(GetCSVIndex(A2,204+11718)+1,"","Station","Block","","Delay")</f>
        <v>#VALUE!</v>
      </c>
      <c r="M1149" s="29" t="str" cm="1">
        <f t="array" ref="M1149">GetCSVIndex(A2,205+11718)</f>
        <v/>
      </c>
      <c r="N1149" s="27" t="str" cm="1">
        <f t="array" ref="N1149">GetCSVIndex(A2,307+11718)</f>
        <v/>
      </c>
      <c r="O1149" s="43" t="str" cm="1">
        <f t="array" ref="O1149">GetCSVIndex(A2,370+11718)</f>
        <v/>
      </c>
    </row>
    <row r="1150" spans="1:15" ht="21" customHeight="1" x14ac:dyDescent="0.25">
      <c r="A1150" s="42"/>
      <c r="B1150" s="25"/>
      <c r="C1150" s="25"/>
      <c r="D1150" s="26"/>
      <c r="E1150" s="45">
        <v>26</v>
      </c>
      <c r="F1150" s="29" t="e" cm="1">
        <f t="array" ref="F1150">CHOOSE(GetCSVIndex(A2,111+11718)+1,"","Station","Block","","Delay")</f>
        <v>#VALUE!</v>
      </c>
      <c r="G1150" s="29" t="str" cm="1">
        <f t="array" ref="G1150">GetCSVIndex(A2,112+11718)</f>
        <v/>
      </c>
      <c r="H1150" s="45" t="str" cm="1">
        <f t="array" ref="H1150">GetCSVIndex(A2,276+11718)</f>
        <v/>
      </c>
      <c r="I1150" s="29" t="str" cm="1">
        <f t="array" ref="I1150">GetCSVIndex(A2,339+11718)</f>
        <v/>
      </c>
      <c r="J1150" s="26"/>
      <c r="K1150" s="45">
        <v>58</v>
      </c>
      <c r="L1150" s="29" t="e" cm="1">
        <f t="array" ref="L1150">CHOOSE(GetCSVIndex(A2,207+11718)+1,"","Station","Block","","Delay")</f>
        <v>#VALUE!</v>
      </c>
      <c r="M1150" s="29" t="str" cm="1">
        <f t="array" ref="M1150">GetCSVIndex(A2,208+11718)</f>
        <v/>
      </c>
      <c r="N1150" s="27" t="str" cm="1">
        <f t="array" ref="N1150">GetCSVIndex(A2,308+11718)</f>
        <v/>
      </c>
      <c r="O1150" s="43" t="str" cm="1">
        <f t="array" ref="O1150">GetCSVIndex(A2,371+11718)</f>
        <v/>
      </c>
    </row>
    <row r="1151" spans="1:15" ht="21" customHeight="1" x14ac:dyDescent="0.25">
      <c r="A1151" s="42"/>
      <c r="B1151" s="25"/>
      <c r="C1151" s="25"/>
      <c r="D1151" s="26"/>
      <c r="E1151" s="45">
        <v>27</v>
      </c>
      <c r="F1151" s="29" t="e" cm="1">
        <f t="array" ref="F1151">CHOOSE(GetCSVIndex(A2,114+11718)+1,"","Station","Block","","Delay")</f>
        <v>#VALUE!</v>
      </c>
      <c r="G1151" s="29" t="str" cm="1">
        <f t="array" ref="G1151">GetCSVIndex(A2,115+11718)</f>
        <v/>
      </c>
      <c r="H1151" s="45" t="str" cm="1">
        <f t="array" ref="H1151">GetCSVIndex(A2,277+11718)</f>
        <v/>
      </c>
      <c r="I1151" s="29" t="str" cm="1">
        <f t="array" ref="I1151">GetCSVIndex(A2,340+11718)</f>
        <v/>
      </c>
      <c r="J1151" s="26"/>
      <c r="K1151" s="45">
        <v>59</v>
      </c>
      <c r="L1151" s="29" t="e" cm="1">
        <f t="array" ref="L1151">CHOOSE(GetCSVIndex(A2,210+11718)+1,"","Station","Block","","Delay")</f>
        <v>#VALUE!</v>
      </c>
      <c r="M1151" s="29" t="str" cm="1">
        <f t="array" ref="M1151">GetCSVIndex(A2,211+11718)</f>
        <v/>
      </c>
      <c r="N1151" s="27" t="str" cm="1">
        <f t="array" ref="N1151">GetCSVIndex(A2,309+11718)</f>
        <v/>
      </c>
      <c r="O1151" s="43" t="str" cm="1">
        <f t="array" ref="O1151">GetCSVIndex(A2,372+11718)</f>
        <v/>
      </c>
    </row>
    <row r="1152" spans="1:15" ht="21" customHeight="1" x14ac:dyDescent="0.25">
      <c r="A1152" s="42"/>
      <c r="B1152" s="25"/>
      <c r="C1152" s="25"/>
      <c r="D1152" s="26"/>
      <c r="E1152" s="45">
        <v>28</v>
      </c>
      <c r="F1152" s="29" t="e" cm="1">
        <f t="array" ref="F1152">CHOOSE(GetCSVIndex(A2,117+11718)+1,"","Station","Block","","Delay")</f>
        <v>#VALUE!</v>
      </c>
      <c r="G1152" s="29" t="str" cm="1">
        <f t="array" ref="G1152">GetCSVIndex(A2,118+11718)</f>
        <v/>
      </c>
      <c r="H1152" s="45" t="str" cm="1">
        <f t="array" ref="H1152">GetCSVIndex(A2,278+11718)</f>
        <v/>
      </c>
      <c r="I1152" s="29" t="str" cm="1">
        <f t="array" ref="I1152">GetCSVIndex(A2,341+11718)</f>
        <v/>
      </c>
      <c r="J1152" s="26"/>
      <c r="K1152" s="45">
        <v>60</v>
      </c>
      <c r="L1152" s="29" t="e" cm="1">
        <f t="array" ref="L1152">CHOOSE(GetCSVIndex(A2,213+11718)+1,"","Station","Block","","Delay")</f>
        <v>#VALUE!</v>
      </c>
      <c r="M1152" s="29" t="str" cm="1">
        <f t="array" ref="M1152">GetCSVIndex(A2,214+11718)</f>
        <v/>
      </c>
      <c r="N1152" s="27" t="str" cm="1">
        <f t="array" ref="N1152">GetCSVIndex(A2,310+11718)</f>
        <v/>
      </c>
      <c r="O1152" s="43" t="str" cm="1">
        <f t="array" ref="O1152">GetCSVIndex(A2,373+11718)</f>
        <v/>
      </c>
    </row>
    <row r="1153" spans="1:15" ht="21" customHeight="1" x14ac:dyDescent="0.25">
      <c r="A1153" s="42"/>
      <c r="B1153" s="25"/>
      <c r="C1153" s="25"/>
      <c r="D1153" s="26"/>
      <c r="E1153" s="45">
        <v>29</v>
      </c>
      <c r="F1153" s="29" t="e" cm="1">
        <f t="array" ref="F1153">CHOOSE(GetCSVIndex(A2,120+11718)+1,"","Station","Block","","Delay")</f>
        <v>#VALUE!</v>
      </c>
      <c r="G1153" s="29" t="str" cm="1">
        <f t="array" ref="G1153">GetCSVIndex(A2,121+11718)</f>
        <v/>
      </c>
      <c r="H1153" s="45" t="str" cm="1">
        <f t="array" ref="H1153">GetCSVIndex(A2,279+11718)</f>
        <v/>
      </c>
      <c r="I1153" s="29" t="str" cm="1">
        <f t="array" ref="I1153">GetCSVIndex(A2,342+11718)</f>
        <v/>
      </c>
      <c r="J1153" s="26"/>
      <c r="K1153" s="45">
        <v>61</v>
      </c>
      <c r="L1153" s="29" t="e" cm="1">
        <f t="array" ref="L1153">CHOOSE(GetCSVIndex(A2,216+11718)+1,"","Station","Block","","Delay")</f>
        <v>#VALUE!</v>
      </c>
      <c r="M1153" s="29" t="str" cm="1">
        <f t="array" ref="M1153">GetCSVIndex(A2,217+11718)</f>
        <v/>
      </c>
      <c r="N1153" s="27" t="str" cm="1">
        <f t="array" ref="N1153">GetCSVIndex(A2,311+11718)</f>
        <v/>
      </c>
      <c r="O1153" s="43" t="str" cm="1">
        <f t="array" ref="O1153">GetCSVIndex(A2,374+11718)</f>
        <v/>
      </c>
    </row>
    <row r="1154" spans="1:15" ht="21" customHeight="1" x14ac:dyDescent="0.25">
      <c r="A1154" s="42"/>
      <c r="B1154" s="25"/>
      <c r="C1154" s="25"/>
      <c r="D1154" s="26"/>
      <c r="E1154" s="45">
        <v>30</v>
      </c>
      <c r="F1154" s="29" t="e" cm="1">
        <f t="array" ref="F1154">CHOOSE(GetCSVIndex(A2,123+11718)+1,"","Station","Block","","Delay")</f>
        <v>#VALUE!</v>
      </c>
      <c r="G1154" s="29" t="str" cm="1">
        <f t="array" ref="G1154">GetCSVIndex(A2,124+11718)</f>
        <v/>
      </c>
      <c r="H1154" s="45" t="str" cm="1">
        <f t="array" ref="H1154">GetCSVIndex(A2,280+11718)</f>
        <v/>
      </c>
      <c r="I1154" s="29" t="str" cm="1">
        <f t="array" ref="I1154">GetCSVIndex(A2,343+11718)</f>
        <v/>
      </c>
      <c r="J1154" s="26"/>
      <c r="K1154" s="45">
        <v>62</v>
      </c>
      <c r="L1154" s="29" t="e" cm="1">
        <f t="array" ref="L1154">CHOOSE(GetCSVIndex(A2,219+11718)+1,"","Station","Block","","Delay")</f>
        <v>#VALUE!</v>
      </c>
      <c r="M1154" s="29" t="str" cm="1">
        <f t="array" ref="M1154">GetCSVIndex(A2,220+11718)</f>
        <v/>
      </c>
      <c r="N1154" s="27" t="str" cm="1">
        <f t="array" ref="N1154">GetCSVIndex(A2,312+11718)</f>
        <v/>
      </c>
      <c r="O1154" s="43" t="str" cm="1">
        <f t="array" ref="O1154">GetCSVIndex(A2,375+11718)</f>
        <v/>
      </c>
    </row>
    <row r="1155" spans="1:15" ht="21" customHeight="1" x14ac:dyDescent="0.25">
      <c r="A1155" s="42"/>
      <c r="B1155" s="25"/>
      <c r="C1155" s="25"/>
      <c r="D1155" s="26"/>
      <c r="E1155" s="45">
        <v>31</v>
      </c>
      <c r="F1155" s="29" t="e" cm="1">
        <f t="array" ref="F1155">CHOOSE(GetCSVIndex(A2,126+11718)+1,"","Station","Block","","Delay")</f>
        <v>#VALUE!</v>
      </c>
      <c r="G1155" s="29" t="str" cm="1">
        <f t="array" ref="G1155">GetCSVIndex(A2,127+11718)</f>
        <v/>
      </c>
      <c r="H1155" s="45" t="str" cm="1">
        <f t="array" ref="H1155">GetCSVIndex(A2,281+11718)</f>
        <v/>
      </c>
      <c r="I1155" s="29" t="str" cm="1">
        <f t="array" ref="I1155">GetCSVIndex(A2,344+11718)</f>
        <v/>
      </c>
      <c r="J1155" s="26"/>
      <c r="K1155" s="45">
        <v>63</v>
      </c>
      <c r="L1155" s="29" t="e" cm="1">
        <f t="array" ref="L1155">CHOOSE(GetCSVIndex(A2,222+11718)+1,"","Station","Block","","Delay")</f>
        <v>#VALUE!</v>
      </c>
      <c r="M1155" s="29" t="str" cm="1">
        <f t="array" ref="M1155">GetCSVIndex(A2,223+11718)</f>
        <v/>
      </c>
      <c r="N1155" s="27" t="str" cm="1">
        <f t="array" ref="N1155">GetCSVIndex(A2,313+11718)</f>
        <v/>
      </c>
      <c r="O1155" s="43" t="str" cm="1">
        <f t="array" ref="O1155">GetCSVIndex(A2,376+11718)</f>
        <v/>
      </c>
    </row>
    <row r="1156" spans="1:15" ht="21" customHeight="1" x14ac:dyDescent="0.25">
      <c r="A1156" s="37"/>
      <c r="B1156" s="28"/>
      <c r="C1156" s="29"/>
      <c r="D1156" s="29"/>
      <c r="E1156" s="45">
        <v>32</v>
      </c>
      <c r="F1156" s="29" t="e" cm="1">
        <f t="array" ref="F1156">CHOOSE(GetCSVIndex(A2,129+11718)+1,"","Station","Block","","Delay")</f>
        <v>#VALUE!</v>
      </c>
      <c r="G1156" s="29" t="str" cm="1">
        <f t="array" ref="G1156">GetCSVIndex(A2,130+11718)</f>
        <v/>
      </c>
      <c r="H1156" s="45" t="str" cm="1">
        <f t="array" ref="H1156">GetCSVIndex(A2,282+11718)</f>
        <v/>
      </c>
      <c r="I1156" s="29" t="str" cm="1">
        <f t="array" ref="I1156">GetCSVIndex(A2,345+11718)</f>
        <v/>
      </c>
      <c r="J1156" s="29"/>
      <c r="K1156" s="45">
        <v>64</v>
      </c>
      <c r="L1156" s="29" t="e" cm="1">
        <f t="array" ref="L1156">CHOOSE(GetCSVIndex(A2,225+11718)+1,"","Station","Block","","Delay")</f>
        <v>#VALUE!</v>
      </c>
      <c r="M1156" s="29" t="str" cm="1">
        <f t="array" ref="M1156">GetCSVIndex(A2,226+11718)</f>
        <v/>
      </c>
      <c r="N1156" s="27" t="str" cm="1">
        <f t="array" ref="N1156">GetCSVIndex(A2,314+11718)</f>
        <v/>
      </c>
      <c r="O1156" s="43" t="str" cm="1">
        <f t="array" ref="O1156">GetCSVIndex(A2,377+11718)</f>
        <v/>
      </c>
    </row>
  </sheetData>
  <mergeCells count="31">
    <mergeCell ref="A1120:O1120"/>
    <mergeCell ref="A935:O935"/>
    <mergeCell ref="A972:O972"/>
    <mergeCell ref="A1009:O1009"/>
    <mergeCell ref="A1046:O1046"/>
    <mergeCell ref="A1083:O1083"/>
    <mergeCell ref="A750:O750"/>
    <mergeCell ref="A787:O787"/>
    <mergeCell ref="A824:O824"/>
    <mergeCell ref="A861:O861"/>
    <mergeCell ref="A898:O898"/>
    <mergeCell ref="A565:O565"/>
    <mergeCell ref="A602:O602"/>
    <mergeCell ref="A639:O639"/>
    <mergeCell ref="A676:O676"/>
    <mergeCell ref="A713:O713"/>
    <mergeCell ref="A380:O380"/>
    <mergeCell ref="A417:O417"/>
    <mergeCell ref="A454:O454"/>
    <mergeCell ref="A491:O491"/>
    <mergeCell ref="A528:O528"/>
    <mergeCell ref="A195:O195"/>
    <mergeCell ref="A232:O232"/>
    <mergeCell ref="A269:O269"/>
    <mergeCell ref="A306:O306"/>
    <mergeCell ref="A343:O343"/>
    <mergeCell ref="A10:O10"/>
    <mergeCell ref="A47:O47"/>
    <mergeCell ref="A84:O84"/>
    <mergeCell ref="A121:O121"/>
    <mergeCell ref="A158:O158"/>
  </mergeCells>
  <phoneticPr fontId="6" type="noConversion"/>
  <conditionalFormatting sqref="A16:O1326">
    <cfRule type="containsText" dxfId="1" priority="2" operator="containsText" text="Not Set">
      <formula>NOT(ISERROR(SEARCH("Not Set",A16)))</formula>
    </cfRule>
    <cfRule type="containsText" dxfId="0" priority="1" operator="containsText" text="OFF">
      <formula>NOT(ISERROR(SEARCH("OFF",A16)))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Button 5">
              <controlPr defaultSize="0" print="0" autoFill="0" autoPict="0" macro="[0]!GetDataFromTxt.GetDataFromTxt">
                <anchor moveWithCells="1" sizeWithCells="1">
                  <from>
                    <xdr:col>4</xdr:col>
                    <xdr:colOff>9525</xdr:colOff>
                    <xdr:row>5</xdr:row>
                    <xdr:rowOff>85725</xdr:rowOff>
                  </from>
                  <to>
                    <xdr:col>4</xdr:col>
                    <xdr:colOff>809625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40"/>
  <sheetViews>
    <sheetView workbookViewId="0">
      <selection activeCell="V7" sqref="V7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18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2</v>
      </c>
      <c r="C9" s="5" t="s">
        <v>7</v>
      </c>
      <c r="D9" s="5" t="s">
        <v>7</v>
      </c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>
        <v>47.041297935103202</v>
      </c>
      <c r="D15" s="6">
        <v>47.041297935103202</v>
      </c>
    </row>
    <row r="16" spans="2:10" x14ac:dyDescent="0.25">
      <c r="B16" s="4">
        <v>7</v>
      </c>
      <c r="C16" s="6">
        <v>47.206741573033703</v>
      </c>
      <c r="D16" s="6">
        <v>47.206741573033703</v>
      </c>
    </row>
    <row r="17" spans="2:4" x14ac:dyDescent="0.25">
      <c r="B17" s="4">
        <v>8</v>
      </c>
      <c r="C17" s="6"/>
      <c r="D17" s="6"/>
    </row>
    <row r="18" spans="2:4" x14ac:dyDescent="0.25">
      <c r="B18" s="4">
        <v>9</v>
      </c>
      <c r="C18" s="6">
        <v>48.5475309984772</v>
      </c>
      <c r="D18" s="6">
        <v>48.5475309984772</v>
      </c>
    </row>
    <row r="19" spans="2:4" x14ac:dyDescent="0.25">
      <c r="B19" s="4">
        <v>10</v>
      </c>
      <c r="C19" s="6">
        <v>45.635949943117097</v>
      </c>
      <c r="D19" s="6">
        <v>45.635949943117097</v>
      </c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  <row r="22" spans="2:4" x14ac:dyDescent="0.25">
      <c r="B22" s="4">
        <v>13</v>
      </c>
      <c r="C22" s="6"/>
      <c r="D22" s="6"/>
    </row>
    <row r="23" spans="2:4" x14ac:dyDescent="0.25">
      <c r="B23" s="4">
        <v>14</v>
      </c>
      <c r="C23" s="6"/>
      <c r="D23" s="6"/>
    </row>
    <row r="24" spans="2:4" x14ac:dyDescent="0.25">
      <c r="B24" s="4">
        <v>15</v>
      </c>
      <c r="C24" s="6"/>
      <c r="D24" s="6"/>
    </row>
    <row r="25" spans="2:4" x14ac:dyDescent="0.25">
      <c r="B25" s="4">
        <v>16</v>
      </c>
      <c r="C25" s="6"/>
      <c r="D25" s="6"/>
    </row>
    <row r="26" spans="2:4" x14ac:dyDescent="0.25">
      <c r="B26" s="4">
        <v>17</v>
      </c>
      <c r="C26" s="6"/>
      <c r="D26" s="6"/>
    </row>
    <row r="27" spans="2:4" x14ac:dyDescent="0.25">
      <c r="B27" s="4">
        <v>18</v>
      </c>
      <c r="C27" s="6"/>
      <c r="D27" s="6"/>
    </row>
    <row r="28" spans="2:4" x14ac:dyDescent="0.25">
      <c r="B28" s="4">
        <v>19</v>
      </c>
      <c r="C28" s="6"/>
      <c r="D28" s="6"/>
    </row>
    <row r="29" spans="2:4" x14ac:dyDescent="0.25">
      <c r="B29" s="4">
        <v>20</v>
      </c>
      <c r="C29" s="6"/>
      <c r="D29" s="6"/>
    </row>
    <row r="30" spans="2:4" x14ac:dyDescent="0.25">
      <c r="B30" s="4">
        <v>21</v>
      </c>
      <c r="C30" s="6"/>
      <c r="D30" s="6"/>
    </row>
    <row r="31" spans="2:4" x14ac:dyDescent="0.25">
      <c r="B31" s="4">
        <v>22</v>
      </c>
      <c r="C31" s="6"/>
      <c r="D31" s="6"/>
    </row>
    <row r="32" spans="2:4" x14ac:dyDescent="0.25">
      <c r="B32" s="4">
        <v>23</v>
      </c>
      <c r="C32" s="6"/>
      <c r="D32" s="6"/>
    </row>
    <row r="33" spans="2:4" x14ac:dyDescent="0.25">
      <c r="B33" s="4">
        <v>24</v>
      </c>
      <c r="C33" s="6"/>
      <c r="D33" s="6"/>
    </row>
    <row r="34" spans="2:4" x14ac:dyDescent="0.25">
      <c r="B34" s="4">
        <v>25</v>
      </c>
      <c r="C34" s="6"/>
      <c r="D34" s="6"/>
    </row>
    <row r="35" spans="2:4" x14ac:dyDescent="0.25">
      <c r="B35" s="4">
        <v>26</v>
      </c>
      <c r="C35" s="6"/>
      <c r="D35" s="6"/>
    </row>
    <row r="36" spans="2:4" x14ac:dyDescent="0.25">
      <c r="B36" s="4">
        <v>27</v>
      </c>
      <c r="C36" s="6"/>
      <c r="D36" s="6"/>
    </row>
    <row r="37" spans="2:4" x14ac:dyDescent="0.25">
      <c r="B37" s="4">
        <v>28</v>
      </c>
      <c r="C37" s="6"/>
      <c r="D37" s="6"/>
    </row>
    <row r="38" spans="2:4" x14ac:dyDescent="0.25">
      <c r="B38" s="4">
        <v>29</v>
      </c>
      <c r="C38" s="6"/>
      <c r="D38" s="6"/>
    </row>
    <row r="39" spans="2:4" x14ac:dyDescent="0.25">
      <c r="B39" s="4">
        <v>30</v>
      </c>
      <c r="C39" s="6"/>
      <c r="D39" s="6"/>
    </row>
    <row r="40" spans="2:4" x14ac:dyDescent="0.25">
      <c r="B40" s="4">
        <v>31</v>
      </c>
      <c r="C40" s="6"/>
      <c r="D40" s="6"/>
    </row>
  </sheetData>
  <dataValidations disablePrompts="1" count="3">
    <dataValidation type="list" allowBlank="1" showInputMessage="1" showErrorMessage="1" sqref="C4" xr:uid="{00000000-0002-0000-0100-000000000000}">
      <formula1>"2018,2019,2020,2021,2022,2023,2024,2025,2026,2027,2028"</formula1>
    </dataValidation>
    <dataValidation type="list" allowBlank="1" showInputMessage="1" showErrorMessage="1" sqref="C5" xr:uid="{00000000-0002-0000-0100-000001000000}">
      <formula1>"1,2,3,4,5,6,7,8,9,10,11,12"</formula1>
    </dataValidation>
    <dataValidation type="whole" allowBlank="1" showInputMessage="1" showErrorMessage="1" sqref="C6" xr:uid="{00000000-0002-0000-0100-000002000000}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AllColumns_AllDay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21"/>
  <sheetViews>
    <sheetView workbookViewId="0">
      <selection activeCell="B3" sqref="B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12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hidden="1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1</v>
      </c>
      <c r="C9" s="5" t="s">
        <v>7</v>
      </c>
      <c r="D9" s="5"/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/>
      <c r="D15" s="6"/>
    </row>
    <row r="16" spans="2:10" x14ac:dyDescent="0.25">
      <c r="B16" s="4">
        <v>7</v>
      </c>
      <c r="C16" s="6"/>
      <c r="D16" s="6"/>
    </row>
    <row r="17" spans="2:4" x14ac:dyDescent="0.25">
      <c r="B17" s="4">
        <v>8</v>
      </c>
      <c r="C17" s="6">
        <v>47.781663275686597</v>
      </c>
      <c r="D17" s="6"/>
    </row>
    <row r="18" spans="2:4" x14ac:dyDescent="0.25">
      <c r="B18" s="4">
        <v>9</v>
      </c>
      <c r="C18" s="6"/>
      <c r="D18" s="6"/>
    </row>
    <row r="19" spans="2:4" x14ac:dyDescent="0.25">
      <c r="B19" s="4">
        <v>10</v>
      </c>
      <c r="C19" s="6"/>
      <c r="D19" s="6"/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</sheetData>
  <dataValidations disablePrompts="1" count="3">
    <dataValidation type="whole" allowBlank="1" showInputMessage="1" showErrorMessage="1" sqref="C6" xr:uid="{00000000-0002-0000-0200-000000000000}">
      <formula1>1</formula1>
      <formula2>31</formula2>
    </dataValidation>
    <dataValidation type="list" allowBlank="1" showInputMessage="1" showErrorMessage="1" sqref="C5" xr:uid="{00000000-0002-0000-0200-000001000000}">
      <formula1>"1,2,3,4,5,6,7,8,9,10,11,12"</formula1>
    </dataValidation>
    <dataValidation type="list" allowBlank="1" showInputMessage="1" showErrorMessage="1" sqref="C4" xr:uid="{00000000-0002-0000-0200-000002000000}">
      <formula1>"2018,2019,2020,2021,2022,2023,2024,2025,2026,2027,2028"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AllColumns_AllMonth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P40"/>
  <sheetViews>
    <sheetView zoomScale="85" zoomScaleNormal="85" workbookViewId="0">
      <selection activeCell="C3" sqref="C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7.85546875" style="3" customWidth="1"/>
    <col min="5" max="16" width="12.28515625" bestFit="1" customWidth="1"/>
  </cols>
  <sheetData>
    <row r="2" spans="2:16" x14ac:dyDescent="0.25">
      <c r="B2" s="1" t="s">
        <v>3</v>
      </c>
      <c r="C2" s="2" t="s">
        <v>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2018</v>
      </c>
    </row>
    <row r="5" spans="2:16" x14ac:dyDescent="0.25">
      <c r="B5" s="1" t="s">
        <v>1</v>
      </c>
      <c r="C5" s="2">
        <v>1</v>
      </c>
    </row>
    <row r="6" spans="2:16" x14ac:dyDescent="0.25">
      <c r="B6" s="1" t="s">
        <v>2</v>
      </c>
      <c r="C6" s="2">
        <v>1</v>
      </c>
    </row>
    <row r="7" spans="2:16" x14ac:dyDescent="0.25">
      <c r="B7" s="7"/>
    </row>
    <row r="8" spans="2:16" x14ac:dyDescent="0.25">
      <c r="C8" s="8"/>
      <c r="D8" s="8"/>
    </row>
    <row r="9" spans="2:16" ht="24.75" customHeight="1" x14ac:dyDescent="0.25">
      <c r="B9" s="5" t="str">
        <f>C3</f>
        <v>Hourly</v>
      </c>
      <c r="C9" s="9"/>
      <c r="D9" s="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count="5">
    <dataValidation type="list" allowBlank="1" showInputMessage="1" showErrorMessage="1" sqref="C4" xr:uid="{00000000-0002-0000-0300-000000000000}">
      <formula1>"2018,2019,2020,2021,2022,2023,2024,2025,2026,2027,2028"</formula1>
    </dataValidation>
    <dataValidation type="list" allowBlank="1" showInputMessage="1" showErrorMessage="1" sqref="C5" xr:uid="{00000000-0002-0000-0300-000001000000}">
      <formula1>"1,2,3,4,5,6,7,8,9,10,11,12"</formula1>
    </dataValidation>
    <dataValidation type="whole" allowBlank="1" showInputMessage="1" showErrorMessage="1" sqref="C6" xr:uid="{00000000-0002-0000-0300-000002000000}">
      <formula1>1</formula1>
      <formula2>31</formula2>
    </dataValidation>
    <dataValidation type="list" allowBlank="1" showInputMessage="1" showErrorMessage="1" sqref="C8:D8" xr:uid="{00000000-0002-0000-0300-000003000000}">
      <formula1>"RT,AVG,MAX,MIN,SUM,COUNT"</formula1>
    </dataValidation>
    <dataValidation type="list" allowBlank="1" showInputMessage="1" showErrorMessage="1" sqref="C3" xr:uid="{00000000-0002-0000-0300-000004000000}">
      <formula1>"Hourly,Daily,Monthly"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P33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B6" s="1" t="s">
        <v>2</v>
      </c>
      <c r="C6" s="2">
        <v>9</v>
      </c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Hourly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4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1">
        <v>5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6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7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8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1">
        <v>9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11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12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1">
        <v>13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14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15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1">
        <v>16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17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18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19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1">
        <v>20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22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23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</sheetData>
  <dataValidations disablePrompts="1" count="5">
    <dataValidation type="list" allowBlank="1" showInputMessage="1" showErrorMessage="1" sqref="C3" xr:uid="{00000000-0002-0000-0400-000000000000}">
      <formula1>"Hourly,Daily,Monthly"</formula1>
    </dataValidation>
    <dataValidation type="list" allowBlank="1" showInputMessage="1" showErrorMessage="1" sqref="C8:F8" xr:uid="{00000000-0002-0000-0400-000001000000}">
      <formula1>"RT,AVG,MAX,MIN,SUM,COUNT"</formula1>
    </dataValidation>
    <dataValidation type="whole" allowBlank="1" showInputMessage="1" showErrorMessage="1" sqref="C6" xr:uid="{00000000-0002-0000-0400-000002000000}">
      <formula1>1</formula1>
      <formula2>31</formula2>
    </dataValidation>
    <dataValidation type="list" allowBlank="1" showInputMessage="1" showErrorMessage="1" sqref="C5" xr:uid="{00000000-0002-0000-0400-000003000000}">
      <formula1>"1,2,3,4,5,6,7,8,9,10,11,12"</formula1>
    </dataValidation>
    <dataValidation type="list" allowBlank="1" showInputMessage="1" showErrorMessage="1" sqref="C4" xr:uid="{00000000-0002-0000-0400-000004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P40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8" width="17.42578125" customWidth="1"/>
    <col min="9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10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Daily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disablePrompts="1" count="4">
    <dataValidation type="list" allowBlank="1" showInputMessage="1" showErrorMessage="1" sqref="C3" xr:uid="{00000000-0002-0000-0500-000000000000}">
      <formula1>"Hourly,Daily,Monthly"</formula1>
    </dataValidation>
    <dataValidation type="list" allowBlank="1" showInputMessage="1" showErrorMessage="1" sqref="C8:F8" xr:uid="{00000000-0002-0000-0500-000001000000}">
      <formula1>"RT,AVG,MAX,MIN,SUM,COUNT"</formula1>
    </dataValidation>
    <dataValidation type="list" allowBlank="1" showInputMessage="1" showErrorMessage="1" sqref="C5" xr:uid="{00000000-0002-0000-0500-000002000000}">
      <formula1>"1,2,3,4,5,6,7,8,9,10,11,12"</formula1>
    </dataValidation>
    <dataValidation type="list" allowBlank="1" showInputMessage="1" showErrorMessage="1" sqref="C4" xr:uid="{00000000-0002-0000-0500-000003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2:P21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11</v>
      </c>
    </row>
    <row r="4" spans="2:16" x14ac:dyDescent="0.25">
      <c r="B4" s="1" t="s">
        <v>0</v>
      </c>
      <c r="C4" s="2">
        <v>2021</v>
      </c>
    </row>
    <row r="5" spans="2:16" x14ac:dyDescent="0.25">
      <c r="C5"/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Monthly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</sheetData>
  <dataValidations count="3">
    <dataValidation type="list" allowBlank="1" showInputMessage="1" showErrorMessage="1" sqref="C3" xr:uid="{00000000-0002-0000-0600-000000000000}">
      <formula1>"Hourly,Daily,Monthly"</formula1>
    </dataValidation>
    <dataValidation type="list" allowBlank="1" showInputMessage="1" showErrorMessage="1" sqref="C8:F8" xr:uid="{00000000-0002-0000-0600-000001000000}">
      <formula1>"RT,AVG,MAX,MIN,SUM,COUNT"</formula1>
    </dataValidation>
    <dataValidation type="list" allowBlank="1" showInputMessage="1" showErrorMessage="1" sqref="C4" xr:uid="{00000000-0002-0000-0600-000002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settings</vt:lpstr>
      <vt:lpstr>Schedule</vt:lpstr>
      <vt:lpstr>DailyReport</vt:lpstr>
      <vt:lpstr>MonthlyReport</vt:lpstr>
      <vt:lpstr>AdvancedReport</vt:lpstr>
      <vt:lpstr>24 Hours</vt:lpstr>
      <vt:lpstr>31 Days</vt:lpstr>
      <vt:lpstr>12 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Ahmed saadawy</cp:lastModifiedBy>
  <cp:lastPrinted>2018-07-08T14:23:53Z</cp:lastPrinted>
  <dcterms:created xsi:type="dcterms:W3CDTF">2011-08-25T14:29:57Z</dcterms:created>
  <dcterms:modified xsi:type="dcterms:W3CDTF">2024-10-29T21:33:44Z</dcterms:modified>
</cp:coreProperties>
</file>