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ed\OneDrive - streamcontrols.com\Desktop\Work\Hunter\HunterApp\Reports\"/>
    </mc:Choice>
  </mc:AlternateContent>
  <xr:revisionPtr revIDLastSave="0" documentId="13_ncr:1_{4FAA4D8D-8724-426C-BE9B-34F53E3BECC5}" xr6:coauthVersionLast="47" xr6:coauthVersionMax="47" xr10:uidLastSave="{00000000-0000-0000-0000-000000000000}"/>
  <bookViews>
    <workbookView xWindow="-120" yWindow="-120" windowWidth="29040" windowHeight="15720" firstSheet="1" activeTab="1" xr2:uid="{00000000-000D-0000-FFFF-FFFF00000000}"/>
  </bookViews>
  <sheets>
    <sheet name="settings" sheetId="11" state="hidden" r:id="rId1"/>
    <sheet name="Block" sheetId="19" r:id="rId2"/>
    <sheet name="DailyReport" sheetId="12" state="hidden" r:id="rId3"/>
    <sheet name="MonthlyReport" sheetId="13" state="hidden" r:id="rId4"/>
    <sheet name="AdvancedReport" sheetId="14" state="hidden" r:id="rId5"/>
    <sheet name="24 Hours" sheetId="16" state="hidden" r:id="rId6"/>
    <sheet name="31 Days" sheetId="17" state="hidden" r:id="rId7"/>
    <sheet name="12 Months" sheetId="18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9" l="1"/>
  <c r="B17" i="19" a="1"/>
  <c r="B17" i="19" l="1"/>
  <c r="A9" i="19"/>
  <c r="A2" i="19" l="1"/>
  <c r="B9" i="18" l="1"/>
  <c r="B9" i="17"/>
  <c r="B9" i="16"/>
  <c r="B9" i="14"/>
  <c r="C20" i="19" a="1"/>
  <c r="D67" i="19" a="1"/>
  <c r="E23" i="19" a="1"/>
  <c r="C55" i="19" a="1"/>
  <c r="E71" i="19" a="1"/>
  <c r="E29" i="19" a="1"/>
  <c r="D39" i="19" a="1"/>
  <c r="G70" i="19" a="1"/>
  <c r="C46" i="19" a="1"/>
  <c r="E60" i="19" a="1"/>
  <c r="C15" i="19" a="1"/>
  <c r="I28" i="19" a="1"/>
  <c r="H57" i="19" a="1"/>
  <c r="G48" i="19" a="1"/>
  <c r="C28" i="19" a="1"/>
  <c r="E34" i="19" a="1"/>
  <c r="E33" i="19" a="1"/>
  <c r="I18" i="19" a="1"/>
  <c r="F62" i="19" a="1"/>
  <c r="G62" i="19" a="1"/>
  <c r="C38" i="19" a="1"/>
  <c r="D36" i="19" a="1"/>
  <c r="D34" i="19" a="1"/>
  <c r="B66" i="19" a="1"/>
  <c r="B16" i="19" a="1"/>
  <c r="E59" i="19" a="1"/>
  <c r="F45" i="19" a="1"/>
  <c r="B37" i="19" a="1"/>
  <c r="E68" i="19" a="1"/>
  <c r="D61" i="19" a="1"/>
  <c r="G46" i="19" a="1"/>
  <c r="E56" i="19" a="1"/>
  <c r="C53" i="19" a="1"/>
  <c r="E19" i="19" a="1"/>
  <c r="G54" i="19" a="1"/>
  <c r="F15" i="19" a="1"/>
  <c r="F64" i="19" a="1"/>
  <c r="H60" i="19" a="1"/>
  <c r="D73" i="19" a="1"/>
  <c r="F19" i="19" a="1"/>
  <c r="G59" i="19" a="1"/>
  <c r="G27" i="19" a="1"/>
  <c r="H63" i="19" a="1"/>
  <c r="H36" i="19" a="1"/>
  <c r="E72" i="19" a="1"/>
  <c r="F27" i="19" a="1"/>
  <c r="D54" i="19" a="1"/>
  <c r="C63" i="19" a="1"/>
  <c r="F23" i="19" a="1"/>
  <c r="F47" i="19" a="1"/>
  <c r="B51" i="19" a="1"/>
  <c r="H41" i="19" a="1"/>
  <c r="I66" i="19" a="1"/>
  <c r="D18" i="19" a="1"/>
  <c r="I12" i="19" a="1"/>
  <c r="G32" i="19" a="1"/>
  <c r="H18" i="19" a="1"/>
  <c r="G26" i="19" a="1"/>
  <c r="G58" i="19" a="1"/>
  <c r="E57" i="19" a="1"/>
  <c r="D29" i="19" a="1"/>
  <c r="H53" i="19" a="1"/>
  <c r="G75" i="19" a="1"/>
  <c r="D45" i="19" a="1"/>
  <c r="H73" i="19" a="1"/>
  <c r="G69" i="19" a="1"/>
  <c r="B74" i="19" a="1"/>
  <c r="B22" i="19" a="1"/>
  <c r="C59" i="19" a="1"/>
  <c r="E24" i="19" a="1"/>
  <c r="C25" i="19" a="1"/>
  <c r="I65" i="19" a="1"/>
  <c r="H20" i="19" a="1"/>
  <c r="F14" i="19" a="1"/>
  <c r="I43" i="19" a="1"/>
  <c r="E16" i="19" a="1"/>
  <c r="F43" i="19" a="1"/>
  <c r="H69" i="19" a="1"/>
  <c r="E17" i="19" a="1"/>
  <c r="C54" i="19" a="1"/>
  <c r="H31" i="19" a="1"/>
  <c r="D41" i="19" a="1"/>
  <c r="D30" i="19" a="1"/>
  <c r="I39" i="19" a="1"/>
  <c r="B35" i="19" a="1"/>
  <c r="D32" i="19" a="1"/>
  <c r="H39" i="19" a="1"/>
  <c r="B70" i="19" a="1"/>
  <c r="H59" i="19" a="1"/>
  <c r="C31" i="19" a="1"/>
  <c r="G45" i="19" a="1"/>
  <c r="D35" i="19" a="1"/>
  <c r="B61" i="19" a="1"/>
  <c r="B29" i="19" a="1"/>
  <c r="D62" i="19" a="1"/>
  <c r="D44" i="19" a="1"/>
  <c r="B75" i="19" a="1"/>
  <c r="G22" i="19" a="1"/>
  <c r="F44" i="19" a="1"/>
  <c r="F71" i="19" a="1"/>
  <c r="G64" i="19" a="1"/>
  <c r="I73" i="19" a="1"/>
  <c r="H55" i="19" a="1"/>
  <c r="B63" i="19" a="1"/>
  <c r="G39" i="19" a="1"/>
  <c r="F20" i="19" a="1"/>
  <c r="G40" i="19" a="1"/>
  <c r="I24" i="19" a="1"/>
  <c r="D15" i="19" a="1"/>
  <c r="C30" i="19" a="1"/>
  <c r="G65" i="19" a="1"/>
  <c r="F41" i="19" a="1"/>
  <c r="B41" i="19" a="1"/>
  <c r="I74" i="19" a="1"/>
  <c r="B54" i="19" a="1"/>
  <c r="D37" i="19" a="1"/>
  <c r="I17" i="19" a="1"/>
  <c r="I42" i="19" a="1"/>
  <c r="G50" i="19" a="1"/>
  <c r="H25" i="19" a="1"/>
  <c r="E61" i="19" a="1"/>
  <c r="C70" i="19" a="1"/>
  <c r="I32" i="19" a="1"/>
  <c r="C23" i="19" a="1"/>
  <c r="G67" i="19" a="1"/>
  <c r="G21" i="19" a="1"/>
  <c r="C21" i="19" a="1"/>
  <c r="I75" i="19" a="1"/>
  <c r="H71" i="19" a="1"/>
  <c r="C13" i="19" a="1"/>
  <c r="I26" i="19" a="1"/>
  <c r="E25" i="19" a="1"/>
  <c r="E64" i="19" a="1"/>
  <c r="F52" i="19" a="1"/>
  <c r="F70" i="19" a="1"/>
  <c r="C51" i="19" a="1"/>
  <c r="I61" i="19" a="1"/>
  <c r="D12" i="19" a="1"/>
  <c r="H65" i="19" a="1"/>
  <c r="F54" i="19" a="1"/>
  <c r="D19" i="19" a="1"/>
  <c r="C72" i="19" a="1"/>
  <c r="F32" i="19" a="1"/>
  <c r="I49" i="19" a="1"/>
  <c r="I45" i="19" a="1"/>
  <c r="D26" i="19" a="1"/>
  <c r="G43" i="19" a="1"/>
  <c r="G44" i="19" a="1"/>
  <c r="C49" i="19" a="1"/>
  <c r="I53" i="19" a="1"/>
  <c r="E22" i="19" a="1"/>
  <c r="I34" i="19" a="1"/>
  <c r="D72" i="19" a="1"/>
  <c r="D20" i="19" a="1"/>
  <c r="E30" i="19" a="1"/>
  <c r="E28" i="19" a="1"/>
  <c r="B52" i="19" a="1"/>
  <c r="B14" i="19" a="1"/>
  <c r="B30" i="19" a="1"/>
  <c r="F55" i="19" a="1"/>
  <c r="F39" i="19" a="1"/>
  <c r="E76" i="19" a="1"/>
  <c r="D40" i="19" a="1"/>
  <c r="D75" i="19" a="1"/>
  <c r="C42" i="19" a="1"/>
  <c r="G71" i="19" a="1"/>
  <c r="E66" i="19" a="1"/>
  <c r="H64" i="19" a="1"/>
  <c r="G18" i="19" a="1"/>
  <c r="C36" i="19" a="1"/>
  <c r="G42" i="19" a="1"/>
  <c r="E14" i="19" a="1"/>
  <c r="F65" i="19" a="1"/>
  <c r="G12" i="19" a="1"/>
  <c r="B40" i="19" a="1"/>
  <c r="B48" i="19" a="1"/>
  <c r="E62" i="19" a="1"/>
  <c r="I48" i="19" a="1"/>
  <c r="E26" i="19" a="1"/>
  <c r="D58" i="19" a="1"/>
  <c r="H40" i="19" a="1"/>
  <c r="H45" i="19" a="1"/>
  <c r="D63" i="19" a="1"/>
  <c r="B42" i="19" a="1"/>
  <c r="H50" i="19" a="1"/>
  <c r="C35" i="19" a="1"/>
  <c r="C19" i="19" a="1"/>
  <c r="G72" i="19" a="1"/>
  <c r="D65" i="19" a="1"/>
  <c r="B25" i="19" a="1"/>
  <c r="B28" i="19" a="1"/>
  <c r="F38" i="19" a="1"/>
  <c r="G37" i="19" a="1"/>
  <c r="D13" i="19" a="1"/>
  <c r="D14" i="19" a="1"/>
  <c r="B12" i="19" a="1"/>
  <c r="G34" i="19" a="1"/>
  <c r="E40" i="19" a="1"/>
  <c r="D74" i="19" a="1"/>
  <c r="G17" i="19" a="1"/>
  <c r="G41" i="19" a="1"/>
  <c r="E32" i="19" a="1"/>
  <c r="G55" i="19" a="1"/>
  <c r="D46" i="19" a="1"/>
  <c r="H72" i="19" a="1"/>
  <c r="D21" i="19" a="1"/>
  <c r="F31" i="19" a="1"/>
  <c r="I16" i="19" a="1"/>
  <c r="D33" i="19" a="1"/>
  <c r="C43" i="19" a="1"/>
  <c r="B58" i="19" a="1"/>
  <c r="H56" i="19" a="1"/>
  <c r="D71" i="19" a="1"/>
  <c r="I54" i="19" a="1"/>
  <c r="C37" i="19" a="1"/>
  <c r="C40" i="19" a="1"/>
  <c r="G30" i="19" a="1"/>
  <c r="C14" i="19" a="1"/>
  <c r="H17" i="19" a="1"/>
  <c r="D22" i="19" a="1"/>
  <c r="B62" i="19" a="1"/>
  <c r="F69" i="19" a="1"/>
  <c r="G15" i="19" a="1"/>
  <c r="D49" i="19" a="1"/>
  <c r="D64" i="19" a="1"/>
  <c r="D48" i="19" a="1"/>
  <c r="C74" i="19" a="1"/>
  <c r="I31" i="19" a="1"/>
  <c r="E53" i="19" a="1"/>
  <c r="E15" i="19" a="1"/>
  <c r="D31" i="19" a="1"/>
  <c r="E67" i="19" a="1"/>
  <c r="G20" i="19" a="1"/>
  <c r="H38" i="19" a="1"/>
  <c r="F58" i="19" a="1"/>
  <c r="E73" i="19" a="1"/>
  <c r="F50" i="19" a="1"/>
  <c r="F24" i="19" a="1"/>
  <c r="I71" i="19" a="1"/>
  <c r="G23" i="19" a="1"/>
  <c r="G19" i="19" a="1"/>
  <c r="I30" i="19" a="1"/>
  <c r="B60" i="19" a="1"/>
  <c r="C73" i="19" a="1"/>
  <c r="E75" i="19" a="1"/>
  <c r="C39" i="19" a="1"/>
  <c r="C58" i="19" a="1"/>
  <c r="B57" i="19" a="1"/>
  <c r="E43" i="19" a="1"/>
  <c r="G36" i="19" a="1"/>
  <c r="I14" i="19" a="1"/>
  <c r="E70" i="19" a="1"/>
  <c r="G16" i="19" a="1"/>
  <c r="E18" i="19" a="1"/>
  <c r="I40" i="19" a="1"/>
  <c r="H35" i="19" a="1"/>
  <c r="G49" i="19" a="1"/>
  <c r="B59" i="19" a="1"/>
  <c r="C24" i="19" a="1"/>
  <c r="I22" i="19" a="1"/>
  <c r="F49" i="19" a="1"/>
  <c r="C48" i="19" a="1"/>
  <c r="E39" i="19" a="1"/>
  <c r="H34" i="19" a="1"/>
  <c r="H28" i="19" a="1"/>
  <c r="B33" i="19" a="1"/>
  <c r="C44" i="19" a="1"/>
  <c r="C75" i="19" a="1"/>
  <c r="B50" i="19" a="1"/>
  <c r="I27" i="19" a="1"/>
  <c r="F12" i="19" a="1"/>
  <c r="I70" i="19" a="1"/>
  <c r="D56" i="19" a="1"/>
  <c r="D16" i="19" a="1"/>
  <c r="E63" i="19" a="1"/>
  <c r="F36" i="19" a="1"/>
  <c r="C27" i="19" a="1"/>
  <c r="H51" i="19" a="1"/>
  <c r="H27" i="19" a="1"/>
  <c r="I72" i="19" a="1"/>
  <c r="G38" i="19" a="1"/>
  <c r="B20" i="19" a="1"/>
  <c r="F22" i="19" a="1"/>
  <c r="D42" i="19" a="1"/>
  <c r="B43" i="19" a="1"/>
  <c r="G35" i="19" a="1"/>
  <c r="C61" i="19" a="1"/>
  <c r="I19" i="19" a="1"/>
  <c r="F76" i="19" a="1"/>
  <c r="D50" i="19" a="1"/>
  <c r="D51" i="19" a="1"/>
  <c r="F28" i="19" a="1"/>
  <c r="G31" i="19" a="1"/>
  <c r="F48" i="19" a="1"/>
  <c r="I21" i="19" a="1"/>
  <c r="F29" i="19" a="1"/>
  <c r="H24" i="19" a="1"/>
  <c r="I60" i="19" a="1"/>
  <c r="E52" i="19" a="1"/>
  <c r="I52" i="19" a="1"/>
  <c r="F73" i="19" a="1"/>
  <c r="H43" i="19" a="1"/>
  <c r="F16" i="19" a="1"/>
  <c r="G53" i="19" a="1"/>
  <c r="I38" i="19" a="1"/>
  <c r="H13" i="19" a="1"/>
  <c r="C34" i="19" a="1"/>
  <c r="I13" i="19" a="1"/>
  <c r="I57" i="19" a="1"/>
  <c r="E46" i="19" a="1"/>
  <c r="B49" i="19" a="1"/>
  <c r="E44" i="19" a="1"/>
  <c r="E36" i="19" a="1"/>
  <c r="H30" i="19" a="1"/>
  <c r="H29" i="19" a="1"/>
  <c r="F66" i="19" a="1"/>
  <c r="D24" i="19" a="1"/>
  <c r="H26" i="19" a="1"/>
  <c r="F18" i="19" a="1"/>
  <c r="B36" i="19" a="1"/>
  <c r="C69" i="19" a="1"/>
  <c r="D47" i="19" a="1"/>
  <c r="G33" i="19" a="1"/>
  <c r="E13" i="19" a="1"/>
  <c r="G74" i="19" a="1"/>
  <c r="I20" i="19" a="1"/>
  <c r="I51" i="19" a="1"/>
  <c r="G66" i="19" a="1"/>
  <c r="I29" i="19" a="1"/>
  <c r="B21" i="19" a="1"/>
  <c r="B18" i="19" a="1"/>
  <c r="I59" i="19" a="1"/>
  <c r="F74" i="19" a="1"/>
  <c r="B69" i="19" a="1"/>
  <c r="F57" i="19" a="1"/>
  <c r="D25" i="19" a="1"/>
  <c r="B27" i="19" a="1"/>
  <c r="D60" i="19" a="1"/>
  <c r="B67" i="19" a="1"/>
  <c r="H19" i="19" a="1"/>
  <c r="I50" i="19" a="1"/>
  <c r="F63" i="19" a="1"/>
  <c r="F21" i="19" a="1"/>
  <c r="H37" i="19" a="1"/>
  <c r="I55" i="19" a="1"/>
  <c r="E50" i="19" a="1"/>
  <c r="F61" i="19" a="1"/>
  <c r="B56" i="19" a="1"/>
  <c r="I36" i="19" a="1"/>
  <c r="B71" i="19" a="1"/>
  <c r="F33" i="19" a="1"/>
  <c r="D43" i="19" a="1"/>
  <c r="E51" i="19" a="1"/>
  <c r="I44" i="19" a="1"/>
  <c r="I64" i="19" a="1"/>
  <c r="B76" i="19" a="1"/>
  <c r="F26" i="19" a="1"/>
  <c r="H76" i="19" a="1"/>
  <c r="D69" i="19" a="1"/>
  <c r="I62" i="19" a="1"/>
  <c r="E37" i="19" a="1"/>
  <c r="F51" i="19" a="1"/>
  <c r="C62" i="19" a="1"/>
  <c r="D70" i="19" a="1"/>
  <c r="H14" i="19" a="1"/>
  <c r="C66" i="19" a="1"/>
  <c r="H21" i="19" a="1"/>
  <c r="C16" i="19" a="1"/>
  <c r="C32" i="19" a="1"/>
  <c r="I15" i="19" a="1"/>
  <c r="G14" i="19" a="1"/>
  <c r="B34" i="19" a="1"/>
  <c r="G76" i="19" a="1"/>
  <c r="F60" i="19" a="1"/>
  <c r="F17" i="19" a="1"/>
  <c r="H33" i="19" a="1"/>
  <c r="F67" i="19" a="1"/>
  <c r="D59" i="19" a="1"/>
  <c r="G47" i="19" a="1"/>
  <c r="B64" i="19" a="1"/>
  <c r="H12" i="19" a="1"/>
  <c r="H48" i="19" a="1"/>
  <c r="F53" i="19" a="1"/>
  <c r="I46" i="19" a="1"/>
  <c r="E35" i="19" a="1"/>
  <c r="B44" i="19" a="1"/>
  <c r="H74" i="19" a="1"/>
  <c r="B65" i="19" a="1"/>
  <c r="G63" i="19" a="1"/>
  <c r="E55" i="19" a="1"/>
  <c r="F25" i="19" a="1"/>
  <c r="H46" i="19" a="1"/>
  <c r="B23" i="19" a="1"/>
  <c r="H32" i="19" a="1"/>
  <c r="B24" i="19" a="1"/>
  <c r="D28" i="19" a="1"/>
  <c r="E74" i="19" a="1"/>
  <c r="E58" i="19" a="1"/>
  <c r="C26" i="19" a="1"/>
  <c r="I67" i="19" a="1"/>
  <c r="G57" i="19" a="1"/>
  <c r="B53" i="19" a="1"/>
  <c r="B45" i="19" a="1"/>
  <c r="H62" i="19" a="1"/>
  <c r="D52" i="19" a="1"/>
  <c r="B68" i="19" a="1"/>
  <c r="C50" i="19" a="1"/>
  <c r="H61" i="19" a="1"/>
  <c r="G56" i="19" a="1"/>
  <c r="C71" i="19" a="1"/>
  <c r="G51" i="19" a="1"/>
  <c r="H16" i="19" a="1"/>
  <c r="C12" i="19" a="1"/>
  <c r="H66" i="19" a="1"/>
  <c r="C17" i="19" a="1"/>
  <c r="B72" i="19" a="1"/>
  <c r="C29" i="19" a="1"/>
  <c r="E31" i="19" a="1"/>
  <c r="B31" i="19" a="1"/>
  <c r="B26" i="19" a="1"/>
  <c r="F72" i="19" a="1"/>
  <c r="E54" i="19" a="1"/>
  <c r="H54" i="19" a="1"/>
  <c r="E47" i="19" a="1"/>
  <c r="G25" i="19" a="1"/>
  <c r="E20" i="19" a="1"/>
  <c r="D23" i="19" a="1"/>
  <c r="H15" i="19" a="1"/>
  <c r="C41" i="19" a="1"/>
  <c r="H44" i="19" a="1"/>
  <c r="I37" i="19" a="1"/>
  <c r="C18" i="19" a="1"/>
  <c r="B47" i="19" a="1"/>
  <c r="E12" i="19" a="1"/>
  <c r="C45" i="19" a="1"/>
  <c r="B38" i="19" a="1"/>
  <c r="B39" i="19" a="1"/>
  <c r="D27" i="19" a="1"/>
  <c r="D68" i="19" a="1"/>
  <c r="F68" i="19" a="1"/>
  <c r="G28" i="19" a="1"/>
  <c r="I47" i="19" a="1"/>
  <c r="G29" i="19" a="1"/>
  <c r="F40" i="19" a="1"/>
  <c r="H42" i="19" a="1"/>
  <c r="F75" i="19" a="1"/>
  <c r="I56" i="19" a="1"/>
  <c r="E49" i="19" a="1"/>
  <c r="E65" i="19" a="1"/>
  <c r="I25" i="19" a="1"/>
  <c r="H68" i="19" a="1"/>
  <c r="E38" i="19" a="1"/>
  <c r="C47" i="19" a="1"/>
  <c r="I33" i="19" a="1"/>
  <c r="F30" i="19" a="1"/>
  <c r="C60" i="19" a="1"/>
  <c r="E42" i="19" a="1"/>
  <c r="C33" i="19" a="1"/>
  <c r="I23" i="19" a="1"/>
  <c r="D55" i="19" a="1"/>
  <c r="C67" i="19" a="1"/>
  <c r="B19" i="19" a="1"/>
  <c r="B32" i="19" a="1"/>
  <c r="H23" i="19" a="1"/>
  <c r="G60" i="19" a="1"/>
  <c r="E48" i="19" a="1"/>
  <c r="H58" i="19" a="1"/>
  <c r="E21" i="19" a="1"/>
  <c r="F46" i="19" a="1"/>
  <c r="B73" i="19" a="1"/>
  <c r="F35" i="19" a="1"/>
  <c r="H22" i="19" a="1"/>
  <c r="F34" i="19" a="1"/>
  <c r="C64" i="19" a="1"/>
  <c r="G52" i="19" a="1"/>
  <c r="H75" i="19" a="1"/>
  <c r="C22" i="19" a="1"/>
  <c r="G61" i="19" a="1"/>
  <c r="H52" i="19" a="1"/>
  <c r="E45" i="19" a="1"/>
  <c r="H47" i="19" a="1"/>
  <c r="B13" i="19" a="1"/>
  <c r="C52" i="19" a="1"/>
  <c r="C57" i="19" a="1"/>
  <c r="B46" i="19" a="1"/>
  <c r="D57" i="19" a="1"/>
  <c r="H49" i="19" a="1"/>
  <c r="G13" i="19" a="1"/>
  <c r="H67" i="19" a="1"/>
  <c r="C56" i="19" a="1"/>
  <c r="I68" i="19" a="1"/>
  <c r="G68" i="19" a="1"/>
  <c r="C65" i="19" a="1"/>
  <c r="C68" i="19" a="1"/>
  <c r="E69" i="19" a="1"/>
  <c r="F56" i="19" a="1"/>
  <c r="D66" i="19" a="1"/>
  <c r="H70" i="19" a="1"/>
  <c r="F37" i="19" a="1"/>
  <c r="F42" i="19" a="1"/>
  <c r="F59" i="19" a="1"/>
  <c r="I41" i="19" a="1"/>
  <c r="D38" i="19" a="1"/>
  <c r="I35" i="19" a="1"/>
  <c r="C76" i="19" a="1"/>
  <c r="I63" i="19" a="1"/>
  <c r="B15" i="19" a="1"/>
  <c r="I69" i="19" a="1"/>
  <c r="B55" i="19" a="1"/>
  <c r="I76" i="19" a="1"/>
  <c r="F13" i="19" a="1"/>
  <c r="D76" i="19" a="1"/>
  <c r="D53" i="19" a="1"/>
  <c r="D17" i="19" a="1"/>
  <c r="I58" i="19" a="1"/>
  <c r="E27" i="19" a="1"/>
  <c r="G24" i="19" a="1"/>
  <c r="E41" i="19" a="1"/>
  <c r="G73" i="19" a="1"/>
  <c r="G73" i="19" l="1"/>
  <c r="E41" i="19"/>
  <c r="G24" i="19"/>
  <c r="E27" i="19"/>
  <c r="I58" i="19"/>
  <c r="D17" i="19"/>
  <c r="D53" i="19"/>
  <c r="D76" i="19"/>
  <c r="F13" i="19"/>
  <c r="I76" i="19"/>
  <c r="B55" i="19"/>
  <c r="I69" i="19"/>
  <c r="B15" i="19"/>
  <c r="I63" i="19"/>
  <c r="C76" i="19"/>
  <c r="I35" i="19"/>
  <c r="D38" i="19"/>
  <c r="I41" i="19"/>
  <c r="F59" i="19"/>
  <c r="F42" i="19"/>
  <c r="F37" i="19"/>
  <c r="H70" i="19"/>
  <c r="D66" i="19"/>
  <c r="F56" i="19"/>
  <c r="E69" i="19"/>
  <c r="C68" i="19"/>
  <c r="C65" i="19"/>
  <c r="G68" i="19"/>
  <c r="I68" i="19"/>
  <c r="C56" i="19"/>
  <c r="H67" i="19"/>
  <c r="G13" i="19"/>
  <c r="H49" i="19"/>
  <c r="D57" i="19"/>
  <c r="B46" i="19"/>
  <c r="C57" i="19"/>
  <c r="C52" i="19"/>
  <c r="B13" i="19"/>
  <c r="H47" i="19"/>
  <c r="E45" i="19"/>
  <c r="H52" i="19"/>
  <c r="G61" i="19"/>
  <c r="C22" i="19"/>
  <c r="H75" i="19"/>
  <c r="G52" i="19"/>
  <c r="C64" i="19"/>
  <c r="F34" i="19"/>
  <c r="H22" i="19"/>
  <c r="F35" i="19"/>
  <c r="B73" i="19"/>
  <c r="F46" i="19"/>
  <c r="E21" i="19"/>
  <c r="H58" i="19"/>
  <c r="E48" i="19"/>
  <c r="G60" i="19"/>
  <c r="H23" i="19"/>
  <c r="B32" i="19"/>
  <c r="B19" i="19"/>
  <c r="C67" i="19"/>
  <c r="D55" i="19"/>
  <c r="I23" i="19"/>
  <c r="C33" i="19"/>
  <c r="E42" i="19"/>
  <c r="C60" i="19"/>
  <c r="F30" i="19"/>
  <c r="I33" i="19"/>
  <c r="C47" i="19"/>
  <c r="E38" i="19"/>
  <c r="H68" i="19"/>
  <c r="I25" i="19"/>
  <c r="E65" i="19"/>
  <c r="E49" i="19"/>
  <c r="I56" i="19"/>
  <c r="F75" i="19"/>
  <c r="H42" i="19"/>
  <c r="F40" i="19"/>
  <c r="G29" i="19"/>
  <c r="I47" i="19"/>
  <c r="G28" i="19"/>
  <c r="F68" i="19"/>
  <c r="D68" i="19"/>
  <c r="D27" i="19"/>
  <c r="B39" i="19"/>
  <c r="B38" i="19"/>
  <c r="C45" i="19"/>
  <c r="E12" i="19"/>
  <c r="B47" i="19"/>
  <c r="C18" i="19"/>
  <c r="I37" i="19"/>
  <c r="H44" i="19"/>
  <c r="C41" i="19"/>
  <c r="H15" i="19"/>
  <c r="D23" i="19"/>
  <c r="E20" i="19"/>
  <c r="G25" i="19"/>
  <c r="E47" i="19"/>
  <c r="H54" i="19"/>
  <c r="E54" i="19"/>
  <c r="F72" i="19"/>
  <c r="B26" i="19"/>
  <c r="B31" i="19"/>
  <c r="E31" i="19"/>
  <c r="C29" i="19"/>
  <c r="B72" i="19"/>
  <c r="C17" i="19"/>
  <c r="H66" i="19"/>
  <c r="C12" i="19"/>
  <c r="H16" i="19"/>
  <c r="G51" i="19"/>
  <c r="C71" i="19"/>
  <c r="G56" i="19"/>
  <c r="H61" i="19"/>
  <c r="C50" i="19"/>
  <c r="B68" i="19"/>
  <c r="D52" i="19"/>
  <c r="H62" i="19"/>
  <c r="B45" i="19"/>
  <c r="B53" i="19"/>
  <c r="G57" i="19"/>
  <c r="I67" i="19"/>
  <c r="C26" i="19"/>
  <c r="E58" i="19"/>
  <c r="E74" i="19"/>
  <c r="D28" i="19"/>
  <c r="B24" i="19"/>
  <c r="H32" i="19"/>
  <c r="B23" i="19"/>
  <c r="H46" i="19"/>
  <c r="F25" i="19"/>
  <c r="E55" i="19"/>
  <c r="G63" i="19"/>
  <c r="B65" i="19"/>
  <c r="H74" i="19"/>
  <c r="B44" i="19"/>
  <c r="E35" i="19"/>
  <c r="I46" i="19"/>
  <c r="F53" i="19"/>
  <c r="H48" i="19"/>
  <c r="H12" i="19"/>
  <c r="B64" i="19"/>
  <c r="G47" i="19"/>
  <c r="D59" i="19"/>
  <c r="F67" i="19"/>
  <c r="H33" i="19"/>
  <c r="F17" i="19"/>
  <c r="F60" i="19"/>
  <c r="G76" i="19"/>
  <c r="B34" i="19"/>
  <c r="G14" i="19"/>
  <c r="I15" i="19"/>
  <c r="C32" i="19"/>
  <c r="C16" i="19"/>
  <c r="H21" i="19"/>
  <c r="C66" i="19"/>
  <c r="H14" i="19"/>
  <c r="D70" i="19"/>
  <c r="C62" i="19"/>
  <c r="F51" i="19"/>
  <c r="E37" i="19"/>
  <c r="I62" i="19"/>
  <c r="D69" i="19"/>
  <c r="H76" i="19"/>
  <c r="F26" i="19"/>
  <c r="B76" i="19"/>
  <c r="I64" i="19"/>
  <c r="I44" i="19"/>
  <c r="E51" i="19"/>
  <c r="D43" i="19"/>
  <c r="F33" i="19"/>
  <c r="B71" i="19"/>
  <c r="I36" i="19"/>
  <c r="B56" i="19"/>
  <c r="F61" i="19"/>
  <c r="E50" i="19"/>
  <c r="I55" i="19"/>
  <c r="H37" i="19"/>
  <c r="F21" i="19"/>
  <c r="F63" i="19"/>
  <c r="I50" i="19"/>
  <c r="H19" i="19"/>
  <c r="B67" i="19"/>
  <c r="D60" i="19"/>
  <c r="B27" i="19"/>
  <c r="D25" i="19"/>
  <c r="F57" i="19"/>
  <c r="B69" i="19"/>
  <c r="F74" i="19"/>
  <c r="I59" i="19"/>
  <c r="B18" i="19"/>
  <c r="B21" i="19"/>
  <c r="I29" i="19"/>
  <c r="G66" i="19"/>
  <c r="I51" i="19"/>
  <c r="I20" i="19"/>
  <c r="G74" i="19"/>
  <c r="E13" i="19"/>
  <c r="G33" i="19"/>
  <c r="D47" i="19"/>
  <c r="C69" i="19"/>
  <c r="B36" i="19"/>
  <c r="F18" i="19"/>
  <c r="H26" i="19"/>
  <c r="D24" i="19"/>
  <c r="F66" i="19"/>
  <c r="H29" i="19"/>
  <c r="H30" i="19"/>
  <c r="E36" i="19"/>
  <c r="E44" i="19"/>
  <c r="B49" i="19"/>
  <c r="E46" i="19"/>
  <c r="I57" i="19"/>
  <c r="I13" i="19"/>
  <c r="C34" i="19"/>
  <c r="H13" i="19"/>
  <c r="I38" i="19"/>
  <c r="G53" i="19"/>
  <c r="F16" i="19"/>
  <c r="H43" i="19"/>
  <c r="F73" i="19"/>
  <c r="I52" i="19"/>
  <c r="E52" i="19"/>
  <c r="I60" i="19"/>
  <c r="H24" i="19"/>
  <c r="F29" i="19"/>
  <c r="I21" i="19"/>
  <c r="F48" i="19"/>
  <c r="G31" i="19"/>
  <c r="F28" i="19"/>
  <c r="D51" i="19"/>
  <c r="D50" i="19"/>
  <c r="F76" i="19"/>
  <c r="I19" i="19"/>
  <c r="C61" i="19"/>
  <c r="G35" i="19"/>
  <c r="B43" i="19"/>
  <c r="D42" i="19"/>
  <c r="F22" i="19"/>
  <c r="B20" i="19"/>
  <c r="G38" i="19"/>
  <c r="I72" i="19"/>
  <c r="H27" i="19"/>
  <c r="H51" i="19"/>
  <c r="C27" i="19"/>
  <c r="F36" i="19"/>
  <c r="E63" i="19"/>
  <c r="D16" i="19"/>
  <c r="D56" i="19"/>
  <c r="I70" i="19"/>
  <c r="F12" i="19"/>
  <c r="I27" i="19"/>
  <c r="B50" i="19"/>
  <c r="C75" i="19"/>
  <c r="C44" i="19"/>
  <c r="B33" i="19"/>
  <c r="H28" i="19"/>
  <c r="H34" i="19"/>
  <c r="E39" i="19"/>
  <c r="C48" i="19"/>
  <c r="F49" i="19"/>
  <c r="I22" i="19"/>
  <c r="C24" i="19"/>
  <c r="B59" i="19"/>
  <c r="G49" i="19"/>
  <c r="H35" i="19"/>
  <c r="I40" i="19"/>
  <c r="E18" i="19"/>
  <c r="G16" i="19"/>
  <c r="E70" i="19"/>
  <c r="I14" i="19"/>
  <c r="G36" i="19"/>
  <c r="E43" i="19"/>
  <c r="B57" i="19"/>
  <c r="C58" i="19"/>
  <c r="C39" i="19"/>
  <c r="E75" i="19"/>
  <c r="C73" i="19"/>
  <c r="B60" i="19"/>
  <c r="I30" i="19"/>
  <c r="G19" i="19"/>
  <c r="G23" i="19"/>
  <c r="I71" i="19"/>
  <c r="F24" i="19"/>
  <c r="F50" i="19"/>
  <c r="E73" i="19"/>
  <c r="F58" i="19"/>
  <c r="H38" i="19"/>
  <c r="G20" i="19"/>
  <c r="E67" i="19"/>
  <c r="D31" i="19"/>
  <c r="E15" i="19"/>
  <c r="E53" i="19"/>
  <c r="I31" i="19"/>
  <c r="C74" i="19"/>
  <c r="D48" i="19"/>
  <c r="D64" i="19"/>
  <c r="D49" i="19"/>
  <c r="G15" i="19"/>
  <c r="F69" i="19"/>
  <c r="B62" i="19"/>
  <c r="D22" i="19"/>
  <c r="H17" i="19"/>
  <c r="C14" i="19"/>
  <c r="G30" i="19"/>
  <c r="C40" i="19"/>
  <c r="C37" i="19"/>
  <c r="I54" i="19"/>
  <c r="D71" i="19"/>
  <c r="H56" i="19"/>
  <c r="B58" i="19"/>
  <c r="C43" i="19"/>
  <c r="D33" i="19"/>
  <c r="I16" i="19"/>
  <c r="F31" i="19"/>
  <c r="D21" i="19"/>
  <c r="H72" i="19"/>
  <c r="D46" i="19"/>
  <c r="G55" i="19"/>
  <c r="E32" i="19"/>
  <c r="G41" i="19"/>
  <c r="G17" i="19"/>
  <c r="D74" i="19"/>
  <c r="E40" i="19"/>
  <c r="G34" i="19"/>
  <c r="B12" i="19"/>
  <c r="D14" i="19"/>
  <c r="D13" i="19"/>
  <c r="G37" i="19"/>
  <c r="F38" i="19"/>
  <c r="B28" i="19"/>
  <c r="B25" i="19"/>
  <c r="D65" i="19"/>
  <c r="G72" i="19"/>
  <c r="C19" i="19"/>
  <c r="C35" i="19"/>
  <c r="H50" i="19"/>
  <c r="B42" i="19"/>
  <c r="D63" i="19"/>
  <c r="H45" i="19"/>
  <c r="H40" i="19"/>
  <c r="D58" i="19"/>
  <c r="E26" i="19"/>
  <c r="I48" i="19"/>
  <c r="E62" i="19"/>
  <c r="B48" i="19"/>
  <c r="B40" i="19"/>
  <c r="G12" i="19"/>
  <c r="F65" i="19"/>
  <c r="E14" i="19"/>
  <c r="G42" i="19"/>
  <c r="C36" i="19"/>
  <c r="G18" i="19"/>
  <c r="H64" i="19"/>
  <c r="E66" i="19"/>
  <c r="G71" i="19"/>
  <c r="C42" i="19"/>
  <c r="D75" i="19"/>
  <c r="D40" i="19"/>
  <c r="E76" i="19"/>
  <c r="F39" i="19"/>
  <c r="F55" i="19"/>
  <c r="B30" i="19"/>
  <c r="B14" i="19"/>
  <c r="B52" i="19"/>
  <c r="E28" i="19"/>
  <c r="E30" i="19"/>
  <c r="D20" i="19"/>
  <c r="D72" i="19"/>
  <c r="I34" i="19"/>
  <c r="E22" i="19"/>
  <c r="I53" i="19"/>
  <c r="C49" i="19"/>
  <c r="G44" i="19"/>
  <c r="G43" i="19"/>
  <c r="D26" i="19"/>
  <c r="I45" i="19"/>
  <c r="I49" i="19"/>
  <c r="F32" i="19"/>
  <c r="C72" i="19"/>
  <c r="D19" i="19"/>
  <c r="F54" i="19"/>
  <c r="H65" i="19"/>
  <c r="D12" i="19"/>
  <c r="I61" i="19"/>
  <c r="C51" i="19"/>
  <c r="F70" i="19"/>
  <c r="F52" i="19"/>
  <c r="E64" i="19"/>
  <c r="E25" i="19"/>
  <c r="I26" i="19"/>
  <c r="C13" i="19"/>
  <c r="H71" i="19"/>
  <c r="I75" i="19"/>
  <c r="C21" i="19"/>
  <c r="G21" i="19"/>
  <c r="G67" i="19"/>
  <c r="C23" i="19"/>
  <c r="I32" i="19"/>
  <c r="C70" i="19"/>
  <c r="E61" i="19"/>
  <c r="H25" i="19"/>
  <c r="G50" i="19"/>
  <c r="I42" i="19"/>
  <c r="I17" i="19"/>
  <c r="D37" i="19"/>
  <c r="B54" i="19"/>
  <c r="I74" i="19"/>
  <c r="B41" i="19"/>
  <c r="F41" i="19"/>
  <c r="G65" i="19"/>
  <c r="C30" i="19"/>
  <c r="D15" i="19"/>
  <c r="I24" i="19"/>
  <c r="G40" i="19"/>
  <c r="F20" i="19"/>
  <c r="G39" i="19"/>
  <c r="B63" i="19"/>
  <c r="H55" i="19"/>
  <c r="I73" i="19"/>
  <c r="G64" i="19"/>
  <c r="F71" i="19"/>
  <c r="F44" i="19"/>
  <c r="G22" i="19"/>
  <c r="B75" i="19"/>
  <c r="D44" i="19"/>
  <c r="D62" i="19"/>
  <c r="B29" i="19"/>
  <c r="B61" i="19"/>
  <c r="D35" i="19"/>
  <c r="G45" i="19"/>
  <c r="C31" i="19"/>
  <c r="H59" i="19"/>
  <c r="B70" i="19"/>
  <c r="H39" i="19"/>
  <c r="D32" i="19"/>
  <c r="B35" i="19"/>
  <c r="I39" i="19"/>
  <c r="D30" i="19"/>
  <c r="D41" i="19"/>
  <c r="H31" i="19"/>
  <c r="C54" i="19"/>
  <c r="E17" i="19"/>
  <c r="H69" i="19"/>
  <c r="F43" i="19"/>
  <c r="E16" i="19"/>
  <c r="I43" i="19"/>
  <c r="F14" i="19"/>
  <c r="H20" i="19"/>
  <c r="I65" i="19"/>
  <c r="C25" i="19"/>
  <c r="E24" i="19"/>
  <c r="C59" i="19"/>
  <c r="B22" i="19"/>
  <c r="B74" i="19"/>
  <c r="G69" i="19"/>
  <c r="H73" i="19"/>
  <c r="D45" i="19"/>
  <c r="G75" i="19"/>
  <c r="H53" i="19"/>
  <c r="D29" i="19"/>
  <c r="E57" i="19"/>
  <c r="G58" i="19"/>
  <c r="G26" i="19"/>
  <c r="H18" i="19"/>
  <c r="G32" i="19"/>
  <c r="I12" i="19"/>
  <c r="D18" i="19"/>
  <c r="I66" i="19"/>
  <c r="H41" i="19"/>
  <c r="B51" i="19"/>
  <c r="F47" i="19"/>
  <c r="F23" i="19"/>
  <c r="C63" i="19"/>
  <c r="D54" i="19"/>
  <c r="F27" i="19"/>
  <c r="E72" i="19"/>
  <c r="H36" i="19"/>
  <c r="H63" i="19"/>
  <c r="G27" i="19"/>
  <c r="G59" i="19"/>
  <c r="F19" i="19"/>
  <c r="D73" i="19"/>
  <c r="H60" i="19"/>
  <c r="F64" i="19"/>
  <c r="F15" i="19"/>
  <c r="G54" i="19"/>
  <c r="E19" i="19"/>
  <c r="C53" i="19"/>
  <c r="E56" i="19"/>
  <c r="G46" i="19"/>
  <c r="D61" i="19"/>
  <c r="E68" i="19"/>
  <c r="B37" i="19"/>
  <c r="F45" i="19"/>
  <c r="E59" i="19"/>
  <c r="B16" i="19"/>
  <c r="B66" i="19"/>
  <c r="D34" i="19"/>
  <c r="D36" i="19"/>
  <c r="C38" i="19"/>
  <c r="G62" i="19"/>
  <c r="F62" i="19"/>
  <c r="I18" i="19"/>
  <c r="E33" i="19"/>
  <c r="E34" i="19"/>
  <c r="C28" i="19"/>
  <c r="G48" i="19"/>
  <c r="H57" i="19"/>
  <c r="I28" i="19"/>
  <c r="C15" i="19"/>
  <c r="E60" i="19"/>
  <c r="C46" i="19"/>
  <c r="G70" i="19"/>
  <c r="D39" i="19"/>
  <c r="E29" i="19"/>
  <c r="E71" i="19"/>
  <c r="C55" i="19"/>
  <c r="E23" i="19"/>
  <c r="D67" i="19"/>
  <c r="C20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<sst xmlns="http://schemas.openxmlformats.org/spreadsheetml/2006/main" count="89" uniqueCount="33">
  <si>
    <t>Year</t>
  </si>
  <si>
    <t>Month</t>
  </si>
  <si>
    <t>Day</t>
  </si>
  <si>
    <t>Model</t>
  </si>
  <si>
    <t>DEFAULT</t>
  </si>
  <si>
    <t>BaseAddress</t>
  </si>
  <si>
    <t>FirstDataRowNo</t>
  </si>
  <si>
    <t>TEST.SIM1</t>
  </si>
  <si>
    <t>Type</t>
  </si>
  <si>
    <t>Hourly</t>
  </si>
  <si>
    <t>Daily</t>
  </si>
  <si>
    <t>Monthly</t>
  </si>
  <si>
    <t>/Historical/AllMonthsData/DEFAULT?TagName=TEST.SIM1&amp;YearDate=2018-08-01</t>
  </si>
  <si>
    <t>RT</t>
  </si>
  <si>
    <t>FAST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</si>
  <si>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Hide this sheet after modifing these fields</t>
    </r>
  </si>
  <si>
    <t>http://localhost:49110/</t>
  </si>
  <si>
    <t>Group.Tag</t>
  </si>
  <si>
    <t>/Historical/AllDaysData/DEFAULT?TagName=Day&amp;MonthDate=2018-08-01</t>
  </si>
  <si>
    <t>Block Number</t>
  </si>
  <si>
    <t>Block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</si>
  <si>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</si>
  <si>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</si>
  <si>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</si>
  <si>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</si>
  <si>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</si>
  <si>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</si>
  <si>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</si>
  <si>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</si>
  <si>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Path/File access error</t>
  </si>
  <si>
    <t xml:space="preserve">Controller </t>
  </si>
  <si>
    <t>C:\Users\ahmed\OneDrive - streamcontrols.com\Desktop\Work\Hunter\HunterApp\Reports\</t>
  </si>
  <si>
    <t>ï»¿-1,1,2,4,5,6,7,8,9,-1-1,22,23,24,25,26,27,28,0,-1-1,0,0,0,0,0,0,0,0,-1-1,0,0,0,0,0,0,0,0,-1-1,5,6,7,8,9,10,11,12,-1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</si>
</sst>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7ABD1"/>
        <bgColor indexed="64"/>
      </patternFill>
    </fill>
    <fill>
      <patternFill patternType="solid">
        <fgColor rgb="FF00658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center"/>
    </xf>
    <xf numFmtId="0" fontId="4" fillId="2" borderId="0" xfId="1" applyFill="1"/>
    <xf numFmtId="0" fontId="0" fillId="0" borderId="1" xfId="0" applyBorder="1" applyAlignment="1">
      <alignment horizontal="center" vertical="center"/>
    </xf>
    <xf numFmtId="0" fontId="0" fillId="0" borderId="0" xfId="0" applyAlignment="1">
      <alignment wrapText="1"/>
    </xf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4E1DF"/>
      <color rgb="FF00658A"/>
      <color rgb="FF47ABD1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5</xdr:row>
          <xdr:rowOff>114300</xdr:rowOff>
        </xdr:from>
        <xdr:to>
          <xdr:col>3</xdr:col>
          <xdr:colOff>1171575</xdr:colOff>
          <xdr:row>7</xdr:row>
          <xdr:rowOff>161925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4911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workbookViewId="0">
      <selection activeCell="D10" sqref="D10"/>
    </sheetView>
  </sheetViews>
  <sheetFormatPr defaultRowHeight="15" x14ac:dyDescent="0.25"/>
  <cols>
    <col min="1" max="1" width="19.42578125" customWidth="1"/>
    <col min="2" max="2" width="21.85546875" bestFit="1" customWidth="1"/>
  </cols>
  <sheetData>
    <row r="1" spans="1:2" x14ac:dyDescent="0.25">
      <c r="A1" t="s">
        <v>5</v>
      </c>
      <c r="B1" s="13" t="s">
        <v>16</v>
      </c>
    </row>
    <row r="2" spans="1:2" x14ac:dyDescent="0.25">
      <c r="A2" t="s">
        <v>6</v>
      </c>
      <c r="B2" s="12">
        <v>10</v>
      </c>
    </row>
    <row r="4" spans="1:2" x14ac:dyDescent="0.25">
      <c r="A4" t="s">
        <v>15</v>
      </c>
    </row>
  </sheetData>
  <hyperlinks>
    <hyperlink ref="B1" r:id="rId1" xr:uid="{161E075D-C8B4-4029-B928-920504FD4A8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6AE-F82C-47C3-AC4E-9FA0E7CDBAAD}">
  <sheetPr codeName="Sheet4"/>
  <dimension ref="A1:I92"/>
  <sheetViews>
    <sheetView tabSelected="1" topLeftCell="A6" workbookViewId="0">
      <selection activeCell="A7" sqref="A7"/>
    </sheetView>
  </sheetViews>
  <sheetFormatPr defaultRowHeight="15" x14ac:dyDescent="0.25"/>
  <cols>
    <col min="1" max="1" width="14.140625" customWidth="1"/>
    <col min="2" max="9" width="20.7109375" customWidth="1"/>
  </cols>
  <sheetData>
    <row r="1" spans="1:9" ht="165" hidden="1" x14ac:dyDescent="0.25">
      <c r="A1" s="15" t="s">
        <v>32</v>
      </c>
      <c r="B1" t="str">
        <f>CONCATENATE(E1,"ReportText\C", TEXT(C7, "000"), "_Block.txt")</f>
        <v>C:\Users\ahmed\OneDrive - streamcontrols.com\Desktop\Work\Hunter\HunterApp\Reports\ReportText\C001_Block.txt</v>
      </c>
      <c r="E1" t="s">
        <v>31</v>
      </c>
    </row>
    <row r="2" spans="1:9" ht="15.75" hidden="1" customHeight="1" x14ac:dyDescent="0.25">
      <c r="A2" t="str">
        <f>MID(A1,4,10000)</f>
        <v>-1,1,2,4,5,6,7,8,9,-1-1,22,23,24,25,26,27,28,0,-1-1,0,0,0,0,0,0,0,0,-1-1,0,0,0,0,0,0,0,0,-1-1,5,6,7,8,9,10,11,12,-1</v>
      </c>
    </row>
    <row r="3" spans="1:9" ht="15.75" hidden="1" customHeight="1" x14ac:dyDescent="0.25"/>
    <row r="4" spans="1:9" ht="15.75" hidden="1" customHeight="1" x14ac:dyDescent="0.25">
      <c r="B4" t="s">
        <v>29</v>
      </c>
      <c r="C4" t="s">
        <v>29</v>
      </c>
      <c r="D4" t="s">
        <v>29</v>
      </c>
      <c r="E4" t="s">
        <v>29</v>
      </c>
      <c r="F4" t="s">
        <v>29</v>
      </c>
      <c r="G4" t="s">
        <v>29</v>
      </c>
    </row>
    <row r="5" spans="1:9" ht="15.75" hidden="1" customHeight="1" x14ac:dyDescent="0.25"/>
    <row r="6" spans="1:9" ht="15.75" customHeight="1" x14ac:dyDescent="0.25"/>
    <row r="7" spans="1:9" ht="15.75" customHeight="1" x14ac:dyDescent="0.25">
      <c r="B7" s="1" t="s">
        <v>30</v>
      </c>
      <c r="C7" s="2">
        <v>1</v>
      </c>
    </row>
    <row r="8" spans="1:9" ht="15.75" customHeight="1" x14ac:dyDescent="0.25"/>
    <row r="9" spans="1:9" ht="30.75" customHeight="1" x14ac:dyDescent="0.25">
      <c r="A9" s="16" t="str">
        <f>CONCATENATE("Controller C",TEXT(C7,"000"))</f>
        <v>Controller C001</v>
      </c>
      <c r="B9" s="17"/>
      <c r="C9" s="17"/>
      <c r="D9" s="17"/>
      <c r="E9" s="17"/>
      <c r="F9" s="17"/>
      <c r="G9" s="17"/>
      <c r="H9" s="17"/>
      <c r="I9" s="18"/>
    </row>
    <row r="10" spans="1:9" ht="23.25" customHeight="1" x14ac:dyDescent="0.25">
      <c r="A10" s="19" t="s">
        <v>20</v>
      </c>
      <c r="B10" s="20"/>
      <c r="C10" s="20"/>
      <c r="D10" s="20"/>
      <c r="E10" s="20"/>
      <c r="F10" s="20"/>
      <c r="G10" s="20"/>
      <c r="H10" s="20"/>
      <c r="I10" s="21"/>
    </row>
    <row r="11" spans="1:9" x14ac:dyDescent="0.25">
      <c r="A11" s="5" t="s">
        <v>19</v>
      </c>
      <c r="B11" s="5" t="s">
        <v>21</v>
      </c>
      <c r="C11" s="5" t="s">
        <v>22</v>
      </c>
      <c r="D11" s="5" t="s">
        <v>23</v>
      </c>
      <c r="E11" s="5" t="s">
        <v>24</v>
      </c>
      <c r="F11" s="5" t="s">
        <v>25</v>
      </c>
      <c r="G11" s="5" t="s">
        <v>26</v>
      </c>
      <c r="H11" s="5" t="s">
        <v>27</v>
      </c>
      <c r="I11" s="5" t="s">
        <v>28</v>
      </c>
    </row>
    <row r="12" spans="1:9" x14ac:dyDescent="0.25">
      <c r="A12" s="14">
        <v>1</v>
      </c>
      <c r="B12" s="11" t="str" cm="1">
        <f t="array" ref="B12">GetCSVIndex(A2,1)</f>
        <v>1</v>
      </c>
      <c r="C12" s="11" t="str" cm="1">
        <f t="array" ref="C12">GetCSVIndex(A2,2)</f>
        <v>2</v>
      </c>
      <c r="D12" s="11" t="str" cm="1">
        <f t="array" ref="D12">GetCSVIndex(A2,3)</f>
        <v>4</v>
      </c>
      <c r="E12" s="11" t="str" cm="1">
        <f t="array" ref="E12">GetCSVIndex(A2,4)</f>
        <v>5</v>
      </c>
      <c r="F12" s="11" t="str" cm="1">
        <f t="array" ref="F12">GetCSVIndex(A2,5)</f>
        <v>6</v>
      </c>
      <c r="G12" s="11" t="str" cm="1">
        <f t="array" ref="G12">GetCSVIndex(A2,6)</f>
        <v>7</v>
      </c>
      <c r="H12" s="11" t="str" cm="1">
        <f t="array" ref="H12">GetCSVIndex(A2,7)</f>
        <v>8</v>
      </c>
      <c r="I12" s="11" t="str" cm="1">
        <f t="array" ref="I12">GetCSVIndex(A2,8)</f>
        <v>9</v>
      </c>
    </row>
    <row r="13" spans="1:9" x14ac:dyDescent="0.25">
      <c r="A13" s="14">
        <v>2</v>
      </c>
      <c r="B13" s="11" t="str" cm="1">
        <f t="array" ref="B13">GetCSVIndex(A2,10)</f>
        <v>22</v>
      </c>
      <c r="C13" s="11" t="str" cm="1">
        <f t="array" ref="C13">GetCSVIndex(A2,11)</f>
        <v>23</v>
      </c>
      <c r="D13" s="11" t="str" cm="1">
        <f t="array" ref="D13">GetCSVIndex(A2,12)</f>
        <v>24</v>
      </c>
      <c r="E13" s="11" t="str" cm="1">
        <f t="array" ref="E13">GetCSVIndex(A2,13)</f>
        <v>25</v>
      </c>
      <c r="F13" s="11" t="str" cm="1">
        <f t="array" ref="F13">GetCSVIndex(A2,14)</f>
        <v>26</v>
      </c>
      <c r="G13" s="11" t="str" cm="1">
        <f t="array" ref="G13">GetCSVIndex(A2,15)</f>
        <v>27</v>
      </c>
      <c r="H13" s="11" t="str" cm="1">
        <f t="array" ref="H13">GetCSVIndex(A2,16)</f>
        <v>28</v>
      </c>
      <c r="I13" s="11" t="str" cm="1">
        <f t="array" ref="I13">GetCSVIndex(A2,17)</f>
        <v>0</v>
      </c>
    </row>
    <row r="14" spans="1:9" x14ac:dyDescent="0.25">
      <c r="A14" s="14">
        <v>3</v>
      </c>
      <c r="B14" s="11" t="str" cm="1">
        <f t="array" ref="B14">GetCSVIndex(A2,19)</f>
        <v>0</v>
      </c>
      <c r="C14" s="11" t="str" cm="1">
        <f t="array" ref="C14">GetCSVIndex(A2,20)</f>
        <v>0</v>
      </c>
      <c r="D14" s="11" t="str" cm="1">
        <f t="array" ref="D14">GetCSVIndex(A2,21)</f>
        <v>0</v>
      </c>
      <c r="E14" s="11" t="str" cm="1">
        <f t="array" ref="E14">GetCSVIndex(A2,22)</f>
        <v>0</v>
      </c>
      <c r="F14" s="11" t="str" cm="1">
        <f t="array" ref="F14">GetCSVIndex(A2,23)</f>
        <v>0</v>
      </c>
      <c r="G14" s="11" t="str" cm="1">
        <f t="array" ref="G14">GetCSVIndex(A2,24)</f>
        <v>0</v>
      </c>
      <c r="H14" s="11" t="str" cm="1">
        <f t="array" ref="H14">GetCSVIndex(A2,25)</f>
        <v>0</v>
      </c>
      <c r="I14" s="11" t="str" cm="1">
        <f t="array" ref="I14">GetCSVIndex(A2,26)</f>
        <v>0</v>
      </c>
    </row>
    <row r="15" spans="1:9" x14ac:dyDescent="0.25">
      <c r="A15" s="14">
        <v>4</v>
      </c>
      <c r="B15" s="11" t="str" cm="1">
        <f t="array" ref="B15">GetCSVIndex(A2,28)</f>
        <v>0</v>
      </c>
      <c r="C15" s="11" t="str" cm="1">
        <f t="array" ref="C15">GetCSVIndex(A2,29)</f>
        <v>0</v>
      </c>
      <c r="D15" s="11" t="str" cm="1">
        <f t="array" ref="D15">GetCSVIndex(A2,30)</f>
        <v>0</v>
      </c>
      <c r="E15" s="11" t="str" cm="1">
        <f t="array" ref="E15">GetCSVIndex(A2,31)</f>
        <v>0</v>
      </c>
      <c r="F15" s="11" t="str" cm="1">
        <f t="array" ref="F15">GetCSVIndex(A2,32)</f>
        <v>0</v>
      </c>
      <c r="G15" s="11" t="str" cm="1">
        <f t="array" ref="G15">GetCSVIndex(A2,33)</f>
        <v>0</v>
      </c>
      <c r="H15" s="11" t="str" cm="1">
        <f t="array" ref="H15">GetCSVIndex(A2,34)</f>
        <v>0</v>
      </c>
      <c r="I15" s="11" t="str" cm="1">
        <f t="array" ref="I15">GetCSVIndex(A2,35)</f>
        <v>0</v>
      </c>
    </row>
    <row r="16" spans="1:9" x14ac:dyDescent="0.25">
      <c r="A16" s="14">
        <v>5</v>
      </c>
      <c r="B16" s="11" t="str" cm="1">
        <f t="array" ref="B16">GetCSVIndex(A2,37)</f>
        <v>5</v>
      </c>
      <c r="C16" s="11" t="str" cm="1">
        <f t="array" ref="C16">GetCSVIndex(A2,38)</f>
        <v>6</v>
      </c>
      <c r="D16" s="11" t="str" cm="1">
        <f t="array" ref="D16">GetCSVIndex(A2,39)</f>
        <v>7</v>
      </c>
      <c r="E16" s="11" t="str" cm="1">
        <f t="array" ref="E16">GetCSVIndex(A2,40)</f>
        <v>8</v>
      </c>
      <c r="F16" s="11" t="str" cm="1">
        <f t="array" ref="F16">GetCSVIndex(A2,41)</f>
        <v>9</v>
      </c>
      <c r="G16" s="11" t="str" cm="1">
        <f t="array" ref="G16">GetCSVIndex(A2,42)</f>
        <v>10</v>
      </c>
      <c r="H16" s="11" t="str" cm="1">
        <f t="array" ref="H16">GetCSVIndex(A2,43)</f>
        <v>11</v>
      </c>
      <c r="I16" s="11" t="str" cm="1">
        <f t="array" ref="I16">GetCSVIndex(A2,44)</f>
        <v>12</v>
      </c>
    </row>
    <row r="17" spans="1:9" x14ac:dyDescent="0.25">
      <c r="A17" s="14">
        <v>6</v>
      </c>
      <c r="B17" s="11" t="str" cm="1">
        <f t="array" ref="B17">IF(GetCSVIndex(A1,46)&lt;&gt;"Subscript out of range", GetCSVIndex(A1,46),"")</f>
        <v/>
      </c>
      <c r="C17" s="11" t="str" cm="1">
        <f t="array" ref="C17">GetCSVIndex(A2,47)</f>
        <v/>
      </c>
      <c r="D17" s="11" t="str" cm="1">
        <f t="array" ref="D17">GetCSVIndex(A2,48)</f>
        <v/>
      </c>
      <c r="E17" s="11" t="str" cm="1">
        <f t="array" ref="E17">GetCSVIndex(A2,49)</f>
        <v/>
      </c>
      <c r="F17" s="11" t="str" cm="1">
        <f t="array" ref="F17">GetCSVIndex(A2,50)</f>
        <v/>
      </c>
      <c r="G17" s="11" t="str" cm="1">
        <f t="array" ref="G17">GetCSVIndex(A2,51)</f>
        <v/>
      </c>
      <c r="H17" s="11" t="str" cm="1">
        <f t="array" ref="H17">GetCSVIndex(A2,52)</f>
        <v/>
      </c>
      <c r="I17" s="11" t="str" cm="1">
        <f t="array" ref="I17">GetCSVIndex(A2,53)</f>
        <v/>
      </c>
    </row>
    <row r="18" spans="1:9" x14ac:dyDescent="0.25">
      <c r="A18" s="14">
        <v>7</v>
      </c>
      <c r="B18" s="11" t="str" cm="1">
        <f t="array" ref="B18">IF(GetCSVIndex(A2,55)&lt;&gt;"Subscript out of range", GetCSVIndex(A2,55),"")</f>
        <v/>
      </c>
      <c r="C18" s="11" t="str" cm="1">
        <f t="array" ref="C18">IF(GetCSVIndex(A2,56)&lt;&gt;"Subscript out of range", GetCSVIndex(A2,56),"")</f>
        <v/>
      </c>
      <c r="D18" s="11" t="str" cm="1">
        <f t="array" ref="D18">IF(GetCSVIndex(A2,57)&lt;&gt;"Subscript out of range", GetCSVIndex(A2,57),"")</f>
        <v/>
      </c>
      <c r="E18" s="11" t="str" cm="1">
        <f t="array" ref="E18">IF(GetCSVIndex(A2,58)&lt;&gt;"Subscript out of range", GetCSVIndex(A2,58),"")</f>
        <v/>
      </c>
      <c r="F18" s="11" t="str" cm="1">
        <f t="array" ref="F18">GetCSVIndex(A2,59)</f>
        <v/>
      </c>
      <c r="G18" s="11" t="str" cm="1">
        <f t="array" ref="G18">GetCSVIndex(A2,60)</f>
        <v/>
      </c>
      <c r="H18" s="11" t="str" cm="1">
        <f t="array" ref="H18">GetCSVIndex(A2,61)</f>
        <v/>
      </c>
      <c r="I18" s="11" t="str" cm="1">
        <f t="array" ref="I18">GetCSVIndex(A2,62)</f>
        <v/>
      </c>
    </row>
    <row r="19" spans="1:9" x14ac:dyDescent="0.25">
      <c r="A19" s="14">
        <v>8</v>
      </c>
      <c r="B19" s="11" t="str" cm="1">
        <f t="array" ref="B19">GetCSVIndex(A2,64)</f>
        <v/>
      </c>
      <c r="C19" s="11" t="str" cm="1">
        <f t="array" ref="C19">GetCSVIndex(A2,65)</f>
        <v/>
      </c>
      <c r="D19" s="11" t="str" cm="1">
        <f t="array" ref="D19">GetCSVIndex(A2,66)</f>
        <v/>
      </c>
      <c r="E19" s="11" t="str" cm="1">
        <f t="array" ref="E19">GetCSVIndex(A2,67)</f>
        <v/>
      </c>
      <c r="F19" s="11" t="str" cm="1">
        <f t="array" ref="F19">GetCSVIndex(A2,68)</f>
        <v/>
      </c>
      <c r="G19" s="11" t="str" cm="1">
        <f t="array" ref="G19">GetCSVIndex(A2,69)</f>
        <v/>
      </c>
      <c r="H19" s="11" t="str" cm="1">
        <f t="array" ref="H19">GetCSVIndex(A2,70)</f>
        <v/>
      </c>
      <c r="I19" s="11" t="str" cm="1">
        <f t="array" ref="I19">GetCSVIndex(A2,71)</f>
        <v/>
      </c>
    </row>
    <row r="20" spans="1:9" x14ac:dyDescent="0.25">
      <c r="A20" s="14">
        <v>9</v>
      </c>
      <c r="B20" s="11" t="str" cm="1">
        <f t="array" ref="B20">GetCSVIndex(A2,73)</f>
        <v/>
      </c>
      <c r="C20" s="11" t="str" cm="1">
        <f t="array" ref="C20">GetCSVIndex(A2,74)</f>
        <v/>
      </c>
      <c r="D20" s="11" t="str" cm="1">
        <f t="array" ref="D20">GetCSVIndex(A2,75)</f>
        <v/>
      </c>
      <c r="E20" s="11" t="str" cm="1">
        <f t="array" ref="E20">GetCSVIndex(A2,76)</f>
        <v/>
      </c>
      <c r="F20" s="11" t="str" cm="1">
        <f t="array" ref="F20">GetCSVIndex(A2,77)</f>
        <v/>
      </c>
      <c r="G20" s="11" t="str" cm="1">
        <f t="array" ref="G20">GetCSVIndex(A2,78)</f>
        <v/>
      </c>
      <c r="H20" s="11" t="str" cm="1">
        <f t="array" ref="H20">GetCSVIndex(A2,79)</f>
        <v/>
      </c>
      <c r="I20" s="11" t="str" cm="1">
        <f t="array" ref="I20">GetCSVIndex(A2,80)</f>
        <v/>
      </c>
    </row>
    <row r="21" spans="1:9" x14ac:dyDescent="0.25">
      <c r="A21" s="14">
        <v>10</v>
      </c>
      <c r="B21" s="11" t="str" cm="1">
        <f t="array" ref="B21">GetCSVIndex(A2,82)</f>
        <v/>
      </c>
      <c r="C21" s="11" t="str" cm="1">
        <f t="array" ref="C21">GetCSVIndex(A2,83)</f>
        <v/>
      </c>
      <c r="D21" s="11" t="str" cm="1">
        <f t="array" ref="D21">GetCSVIndex(A2,84)</f>
        <v/>
      </c>
      <c r="E21" s="11" t="str" cm="1">
        <f t="array" ref="E21">GetCSVIndex(A2,85)</f>
        <v/>
      </c>
      <c r="F21" s="11" t="str" cm="1">
        <f t="array" ref="F21">GetCSVIndex(A2,86)</f>
        <v/>
      </c>
      <c r="G21" s="11" t="str" cm="1">
        <f t="array" ref="G21">GetCSVIndex(A2,87)</f>
        <v/>
      </c>
      <c r="H21" s="11" t="str" cm="1">
        <f t="array" ref="H21">GetCSVIndex(A2,88)</f>
        <v/>
      </c>
      <c r="I21" s="11" t="str" cm="1">
        <f t="array" ref="I21">GetCSVIndex(A2,89)</f>
        <v/>
      </c>
    </row>
    <row r="22" spans="1:9" x14ac:dyDescent="0.25">
      <c r="A22" s="14">
        <v>11</v>
      </c>
      <c r="B22" s="11" t="str" cm="1">
        <f t="array" ref="B22">GetCSVIndex(A2,91)</f>
        <v/>
      </c>
      <c r="C22" s="11" t="str" cm="1">
        <f t="array" ref="C22">GetCSVIndex(A2,92)</f>
        <v/>
      </c>
      <c r="D22" s="11" t="str" cm="1">
        <f t="array" ref="D22">GetCSVIndex(A2,93)</f>
        <v/>
      </c>
      <c r="E22" s="11" t="str" cm="1">
        <f t="array" ref="E22">GetCSVIndex(A2,94)</f>
        <v/>
      </c>
      <c r="F22" s="11" t="str" cm="1">
        <f t="array" ref="F22">GetCSVIndex(A2,95)</f>
        <v/>
      </c>
      <c r="G22" s="11" t="str" cm="1">
        <f t="array" ref="G22">GetCSVIndex(A2,96)</f>
        <v/>
      </c>
      <c r="H22" s="11" t="str" cm="1">
        <f t="array" ref="H22">GetCSVIndex(A2,97)</f>
        <v/>
      </c>
      <c r="I22" s="11" t="str" cm="1">
        <f t="array" ref="I22">GetCSVIndex(A2,98)</f>
        <v/>
      </c>
    </row>
    <row r="23" spans="1:9" x14ac:dyDescent="0.25">
      <c r="A23" s="14">
        <v>12</v>
      </c>
      <c r="B23" s="11" t="str" cm="1">
        <f t="array" ref="B23">GetCSVIndex(A2,100)</f>
        <v/>
      </c>
      <c r="C23" s="11" t="str" cm="1">
        <f t="array" ref="C23">GetCSVIndex(A2,101)</f>
        <v/>
      </c>
      <c r="D23" s="11" t="str" cm="1">
        <f t="array" ref="D23">GetCSVIndex(A2,102)</f>
        <v/>
      </c>
      <c r="E23" s="11" t="str" cm="1">
        <f t="array" ref="E23">GetCSVIndex(A2,103)</f>
        <v/>
      </c>
      <c r="F23" s="11" t="str" cm="1">
        <f t="array" ref="F23">GetCSVIndex(A2,104)</f>
        <v/>
      </c>
      <c r="G23" s="11" t="str" cm="1">
        <f t="array" ref="G23">GetCSVIndex(A2,105)</f>
        <v/>
      </c>
      <c r="H23" s="11" t="str" cm="1">
        <f t="array" ref="H23">GetCSVIndex(A2,106)</f>
        <v/>
      </c>
      <c r="I23" s="11" t="str" cm="1">
        <f t="array" ref="I23">GetCSVIndex(A2,107)</f>
        <v/>
      </c>
    </row>
    <row r="24" spans="1:9" x14ac:dyDescent="0.25">
      <c r="A24" s="14">
        <v>13</v>
      </c>
      <c r="B24" s="11" t="str" cm="1">
        <f t="array" ref="B24">GetCSVIndex(A2,109)</f>
        <v/>
      </c>
      <c r="C24" s="11" t="str" cm="1">
        <f t="array" ref="C24">GetCSVIndex(A2,110)</f>
        <v/>
      </c>
      <c r="D24" s="11" t="str" cm="1">
        <f t="array" ref="D24">GetCSVIndex(A2,111)</f>
        <v/>
      </c>
      <c r="E24" s="11" t="str" cm="1">
        <f t="array" ref="E24">GetCSVIndex(A2,112)</f>
        <v/>
      </c>
      <c r="F24" s="11" t="str" cm="1">
        <f t="array" ref="F24">GetCSVIndex(A2,113)</f>
        <v/>
      </c>
      <c r="G24" s="11" t="str" cm="1">
        <f t="array" ref="G24">GetCSVIndex(A2,114)</f>
        <v/>
      </c>
      <c r="H24" s="11" t="str" cm="1">
        <f t="array" ref="H24">GetCSVIndex(A2,115)</f>
        <v/>
      </c>
      <c r="I24" s="11" t="str" cm="1">
        <f t="array" ref="I24">GetCSVIndex(A2,116)</f>
        <v/>
      </c>
    </row>
    <row r="25" spans="1:9" x14ac:dyDescent="0.25">
      <c r="A25" s="14">
        <v>14</v>
      </c>
      <c r="B25" s="11" t="str" cm="1">
        <f t="array" ref="B25">GetCSVIndex(A2,118)</f>
        <v/>
      </c>
      <c r="C25" s="11" t="str" cm="1">
        <f t="array" ref="C25">GetCSVIndex(A2,119)</f>
        <v/>
      </c>
      <c r="D25" s="11" t="str" cm="1">
        <f t="array" ref="D25">GetCSVIndex(A2,120)</f>
        <v/>
      </c>
      <c r="E25" s="11" t="str" cm="1">
        <f t="array" ref="E25">GetCSVIndex(A2,121)</f>
        <v/>
      </c>
      <c r="F25" s="11" t="str" cm="1">
        <f t="array" ref="F25">GetCSVIndex(A2,122)</f>
        <v/>
      </c>
      <c r="G25" s="11" t="str" cm="1">
        <f t="array" ref="G25">GetCSVIndex(A2,123)</f>
        <v/>
      </c>
      <c r="H25" s="11" t="str" cm="1">
        <f t="array" ref="H25">GetCSVIndex(A2,124)</f>
        <v/>
      </c>
      <c r="I25" s="11" t="str" cm="1">
        <f t="array" ref="I25">GetCSVIndex(A2,125)</f>
        <v/>
      </c>
    </row>
    <row r="26" spans="1:9" x14ac:dyDescent="0.25">
      <c r="A26" s="14">
        <v>15</v>
      </c>
      <c r="B26" s="11" t="str" cm="1">
        <f t="array" ref="B26">GetCSVIndex(A2,127)</f>
        <v/>
      </c>
      <c r="C26" s="11" t="str" cm="1">
        <f t="array" ref="C26">GetCSVIndex(A2,128)</f>
        <v/>
      </c>
      <c r="D26" s="11" t="str" cm="1">
        <f t="array" ref="D26">GetCSVIndex(A2,129)</f>
        <v/>
      </c>
      <c r="E26" s="11" t="str" cm="1">
        <f t="array" ref="E26">GetCSVIndex(A2,130)</f>
        <v/>
      </c>
      <c r="F26" s="11" t="str" cm="1">
        <f t="array" ref="F26">GetCSVIndex(A2,131)</f>
        <v/>
      </c>
      <c r="G26" s="11" t="str" cm="1">
        <f t="array" ref="G26">GetCSVIndex(A2,132)</f>
        <v/>
      </c>
      <c r="H26" s="11" t="str" cm="1">
        <f t="array" ref="H26">GetCSVIndex(A2,133)</f>
        <v/>
      </c>
      <c r="I26" s="11" t="str" cm="1">
        <f t="array" ref="I26">GetCSVIndex(A2,134)</f>
        <v/>
      </c>
    </row>
    <row r="27" spans="1:9" x14ac:dyDescent="0.25">
      <c r="A27" s="14">
        <v>16</v>
      </c>
      <c r="B27" s="11" t="str" cm="1">
        <f t="array" ref="B27">GetCSVIndex(A2,136)</f>
        <v/>
      </c>
      <c r="C27" s="11" t="str" cm="1">
        <f t="array" ref="C27">GetCSVIndex(A2,137)</f>
        <v/>
      </c>
      <c r="D27" s="11" t="str" cm="1">
        <f t="array" ref="D27">GetCSVIndex(A2,138)</f>
        <v/>
      </c>
      <c r="E27" s="11" t="str" cm="1">
        <f t="array" ref="E27">GetCSVIndex(A2,139)</f>
        <v/>
      </c>
      <c r="F27" s="11" t="str" cm="1">
        <f t="array" ref="F27">GetCSVIndex(A2,140)</f>
        <v/>
      </c>
      <c r="G27" s="11" t="str" cm="1">
        <f t="array" ref="G27">GetCSVIndex(A2,141)</f>
        <v/>
      </c>
      <c r="H27" s="11" t="str" cm="1">
        <f t="array" ref="H27">GetCSVIndex(A2,142)</f>
        <v/>
      </c>
      <c r="I27" s="11" t="str" cm="1">
        <f t="array" ref="I27">GetCSVIndex(A2,143)</f>
        <v/>
      </c>
    </row>
    <row r="28" spans="1:9" x14ac:dyDescent="0.25">
      <c r="A28" s="14">
        <v>17</v>
      </c>
      <c r="B28" s="11" t="str" cm="1">
        <f t="array" ref="B28">GetCSVIndex(A2,145)</f>
        <v/>
      </c>
      <c r="C28" s="11" t="str" cm="1">
        <f t="array" ref="C28">GetCSVIndex(A2,146)</f>
        <v/>
      </c>
      <c r="D28" s="11" t="str" cm="1">
        <f t="array" ref="D28">GetCSVIndex(A2,147)</f>
        <v/>
      </c>
      <c r="E28" s="11" t="str" cm="1">
        <f t="array" ref="E28">GetCSVIndex(A2,148)</f>
        <v/>
      </c>
      <c r="F28" s="11" t="str" cm="1">
        <f t="array" ref="F28">GetCSVIndex(A2,149)</f>
        <v/>
      </c>
      <c r="G28" s="11" t="str" cm="1">
        <f t="array" ref="G28">GetCSVIndex(A2,150)</f>
        <v/>
      </c>
      <c r="H28" s="11" t="str" cm="1">
        <f t="array" ref="H28">GetCSVIndex(A2,151)</f>
        <v/>
      </c>
      <c r="I28" s="11" t="str" cm="1">
        <f t="array" ref="I28">GetCSVIndex(A2,152)</f>
        <v/>
      </c>
    </row>
    <row r="29" spans="1:9" x14ac:dyDescent="0.25">
      <c r="A29" s="14">
        <v>18</v>
      </c>
      <c r="B29" s="11" t="str" cm="1">
        <f t="array" ref="B29">GetCSVIndex(A2,154)</f>
        <v/>
      </c>
      <c r="C29" s="11" t="str" cm="1">
        <f t="array" ref="C29">GetCSVIndex(A2,155)</f>
        <v/>
      </c>
      <c r="D29" s="11" t="str" cm="1">
        <f t="array" ref="D29">GetCSVIndex(A2,156)</f>
        <v/>
      </c>
      <c r="E29" s="11" t="str" cm="1">
        <f t="array" ref="E29">GetCSVIndex(A2,157)</f>
        <v/>
      </c>
      <c r="F29" s="11" t="str" cm="1">
        <f t="array" ref="F29">GetCSVIndex(A2,158)</f>
        <v/>
      </c>
      <c r="G29" s="11" t="str" cm="1">
        <f t="array" ref="G29">GetCSVIndex(A2,159)</f>
        <v/>
      </c>
      <c r="H29" s="11" t="str" cm="1">
        <f t="array" ref="H29">GetCSVIndex(A2,160)</f>
        <v/>
      </c>
      <c r="I29" s="11" t="str" cm="1">
        <f t="array" ref="I29">GetCSVIndex(A2,161)</f>
        <v/>
      </c>
    </row>
    <row r="30" spans="1:9" x14ac:dyDescent="0.25">
      <c r="A30" s="14">
        <v>19</v>
      </c>
      <c r="B30" s="11" t="str" cm="1">
        <f t="array" ref="B30">GetCSVIndex(A2,163)</f>
        <v/>
      </c>
      <c r="C30" s="11" t="str" cm="1">
        <f t="array" ref="C30">GetCSVIndex(A2,164)</f>
        <v/>
      </c>
      <c r="D30" s="11" t="str" cm="1">
        <f t="array" ref="D30">GetCSVIndex(A2,165)</f>
        <v/>
      </c>
      <c r="E30" s="11" t="str" cm="1">
        <f t="array" ref="E30">GetCSVIndex(A2,166)</f>
        <v/>
      </c>
      <c r="F30" s="11" t="str" cm="1">
        <f t="array" ref="F30">GetCSVIndex(A2,167)</f>
        <v/>
      </c>
      <c r="G30" s="11" t="str" cm="1">
        <f t="array" ref="G30">GetCSVIndex(A2,168)</f>
        <v/>
      </c>
      <c r="H30" s="11" t="str" cm="1">
        <f t="array" ref="H30">GetCSVIndex(A2,169)</f>
        <v/>
      </c>
      <c r="I30" s="11" t="str" cm="1">
        <f t="array" ref="I30">GetCSVIndex(A2,170)</f>
        <v/>
      </c>
    </row>
    <row r="31" spans="1:9" x14ac:dyDescent="0.25">
      <c r="A31" s="14">
        <v>20</v>
      </c>
      <c r="B31" s="11" t="str" cm="1">
        <f t="array" ref="B31">GetCSVIndex(A2,172)</f>
        <v/>
      </c>
      <c r="C31" s="11" t="str" cm="1">
        <f t="array" ref="C31">GetCSVIndex(A2,173)</f>
        <v/>
      </c>
      <c r="D31" s="11" t="str" cm="1">
        <f t="array" ref="D31">GetCSVIndex(A2,174)</f>
        <v/>
      </c>
      <c r="E31" s="11" t="str" cm="1">
        <f t="array" ref="E31">GetCSVIndex(A2,175)</f>
        <v/>
      </c>
      <c r="F31" s="11" t="str" cm="1">
        <f t="array" ref="F31">GetCSVIndex(A2,176)</f>
        <v/>
      </c>
      <c r="G31" s="11" t="str" cm="1">
        <f t="array" ref="G31">GetCSVIndex(A2,177)</f>
        <v/>
      </c>
      <c r="H31" s="11" t="str" cm="1">
        <f t="array" ref="H31">GetCSVIndex(A2,178)</f>
        <v/>
      </c>
      <c r="I31" s="11" t="str" cm="1">
        <f t="array" ref="I31">GetCSVIndex(A2,179)</f>
        <v/>
      </c>
    </row>
    <row r="32" spans="1:9" x14ac:dyDescent="0.25">
      <c r="A32" s="14">
        <v>21</v>
      </c>
      <c r="B32" s="11" t="str" cm="1">
        <f t="array" ref="B32">GetCSVIndex(A2,181)</f>
        <v/>
      </c>
      <c r="C32" s="11" t="str" cm="1">
        <f t="array" ref="C32">GetCSVIndex(A2,182)</f>
        <v/>
      </c>
      <c r="D32" s="11" t="str" cm="1">
        <f t="array" ref="D32">GetCSVIndex(A2,183)</f>
        <v/>
      </c>
      <c r="E32" s="11" t="str" cm="1">
        <f t="array" ref="E32">GetCSVIndex(A2,184)</f>
        <v/>
      </c>
      <c r="F32" s="11" t="str" cm="1">
        <f t="array" ref="F32">GetCSVIndex(A2,185)</f>
        <v/>
      </c>
      <c r="G32" s="11" t="str" cm="1">
        <f t="array" ref="G32">GetCSVIndex(A2,186)</f>
        <v/>
      </c>
      <c r="H32" s="11" t="str" cm="1">
        <f t="array" ref="H32">GetCSVIndex(A2,187)</f>
        <v/>
      </c>
      <c r="I32" s="11" t="str" cm="1">
        <f t="array" ref="I32">GetCSVIndex(A2,188)</f>
        <v/>
      </c>
    </row>
    <row r="33" spans="1:9" x14ac:dyDescent="0.25">
      <c r="A33" s="14">
        <v>22</v>
      </c>
      <c r="B33" s="11" t="str" cm="1">
        <f t="array" ref="B33">GetCSVIndex(A2,190)</f>
        <v/>
      </c>
      <c r="C33" s="11" t="str" cm="1">
        <f t="array" ref="C33">GetCSVIndex(A2,191)</f>
        <v/>
      </c>
      <c r="D33" s="11" t="str" cm="1">
        <f t="array" ref="D33">GetCSVIndex(A2,192)</f>
        <v/>
      </c>
      <c r="E33" s="11" t="str" cm="1">
        <f t="array" ref="E33">GetCSVIndex(A2,193)</f>
        <v/>
      </c>
      <c r="F33" s="11" t="str" cm="1">
        <f t="array" ref="F33">GetCSVIndex(A2,194)</f>
        <v/>
      </c>
      <c r="G33" s="11" t="str" cm="1">
        <f t="array" ref="G33">GetCSVIndex(A2,195)</f>
        <v/>
      </c>
      <c r="H33" s="11" t="str" cm="1">
        <f t="array" ref="H33">GetCSVIndex(A2,196)</f>
        <v/>
      </c>
      <c r="I33" s="11" t="str" cm="1">
        <f t="array" ref="I33">GetCSVIndex(A2,197)</f>
        <v/>
      </c>
    </row>
    <row r="34" spans="1:9" x14ac:dyDescent="0.25">
      <c r="A34" s="14">
        <v>23</v>
      </c>
      <c r="B34" s="11" t="str" cm="1">
        <f t="array" ref="B34">GetCSVIndex(A2,199)</f>
        <v/>
      </c>
      <c r="C34" s="11" t="str" cm="1">
        <f t="array" ref="C34">GetCSVIndex(A2,200)</f>
        <v/>
      </c>
      <c r="D34" s="11" t="str" cm="1">
        <f t="array" ref="D34">GetCSVIndex(A2,201)</f>
        <v/>
      </c>
      <c r="E34" s="11" t="str" cm="1">
        <f t="array" ref="E34">GetCSVIndex(A2,202)</f>
        <v/>
      </c>
      <c r="F34" s="11" t="str" cm="1">
        <f t="array" ref="F34">GetCSVIndex(A2,203)</f>
        <v/>
      </c>
      <c r="G34" s="11" t="str" cm="1">
        <f t="array" ref="G34">GetCSVIndex(A2,204)</f>
        <v/>
      </c>
      <c r="H34" s="11" t="str" cm="1">
        <f t="array" ref="H34">GetCSVIndex(A2,205)</f>
        <v/>
      </c>
      <c r="I34" s="11" t="str" cm="1">
        <f t="array" ref="I34">GetCSVIndex(A2,206)</f>
        <v/>
      </c>
    </row>
    <row r="35" spans="1:9" x14ac:dyDescent="0.25">
      <c r="A35" s="14">
        <v>24</v>
      </c>
      <c r="B35" s="11" t="str" cm="1">
        <f t="array" ref="B35">GetCSVIndex(A2,208)</f>
        <v/>
      </c>
      <c r="C35" s="11" t="str" cm="1">
        <f t="array" ref="C35">GetCSVIndex(A2,209)</f>
        <v/>
      </c>
      <c r="D35" s="11" t="str" cm="1">
        <f t="array" ref="D35">GetCSVIndex(A2,210)</f>
        <v/>
      </c>
      <c r="E35" s="11" t="str" cm="1">
        <f t="array" ref="E35">GetCSVIndex(A2,211)</f>
        <v/>
      </c>
      <c r="F35" s="11" t="str" cm="1">
        <f t="array" ref="F35">GetCSVIndex(A2,212)</f>
        <v/>
      </c>
      <c r="G35" s="11" t="str" cm="1">
        <f t="array" ref="G35">GetCSVIndex(A2,213)</f>
        <v/>
      </c>
      <c r="H35" s="11" t="str" cm="1">
        <f t="array" ref="H35">GetCSVIndex(A2,214)</f>
        <v/>
      </c>
      <c r="I35" s="11" t="str" cm="1">
        <f t="array" ref="I35">GetCSVIndex(A2,215)</f>
        <v/>
      </c>
    </row>
    <row r="36" spans="1:9" x14ac:dyDescent="0.25">
      <c r="A36" s="14">
        <v>25</v>
      </c>
      <c r="B36" s="11" t="str" cm="1">
        <f t="array" ref="B36">GetCSVIndex(A2,217)</f>
        <v/>
      </c>
      <c r="C36" s="11" t="str" cm="1">
        <f t="array" ref="C36">GetCSVIndex(A2,218)</f>
        <v/>
      </c>
      <c r="D36" s="11" t="str" cm="1">
        <f t="array" ref="D36">GetCSVIndex(A2,219)</f>
        <v/>
      </c>
      <c r="E36" s="11" t="str" cm="1">
        <f t="array" ref="E36">GetCSVIndex(A2,220)</f>
        <v/>
      </c>
      <c r="F36" s="11" t="str" cm="1">
        <f t="array" ref="F36">GetCSVIndex(A2,221)</f>
        <v/>
      </c>
      <c r="G36" s="11" t="str" cm="1">
        <f t="array" ref="G36">GetCSVIndex(A2,222)</f>
        <v/>
      </c>
      <c r="H36" s="11" t="str" cm="1">
        <f t="array" ref="H36">GetCSVIndex(A2,223)</f>
        <v/>
      </c>
      <c r="I36" s="11" t="str" cm="1">
        <f t="array" ref="I36">GetCSVIndex(A2,224)</f>
        <v/>
      </c>
    </row>
    <row r="37" spans="1:9" x14ac:dyDescent="0.25">
      <c r="A37" s="14">
        <v>26</v>
      </c>
      <c r="B37" s="11" t="str" cm="1">
        <f t="array" ref="B37">GetCSVIndex(A2,226)</f>
        <v/>
      </c>
      <c r="C37" s="11" t="str" cm="1">
        <f t="array" ref="C37">GetCSVIndex(A2,227)</f>
        <v/>
      </c>
      <c r="D37" s="11" t="str" cm="1">
        <f t="array" ref="D37">GetCSVIndex(A2,228)</f>
        <v/>
      </c>
      <c r="E37" s="11" t="str" cm="1">
        <f t="array" ref="E37">GetCSVIndex(A2,229)</f>
        <v/>
      </c>
      <c r="F37" s="11" t="str" cm="1">
        <f t="array" ref="F37">GetCSVIndex(A2,230)</f>
        <v/>
      </c>
      <c r="G37" s="11" t="str" cm="1">
        <f t="array" ref="G37">GetCSVIndex(A2,231)</f>
        <v/>
      </c>
      <c r="H37" s="11" t="str" cm="1">
        <f t="array" ref="H37">GetCSVIndex(A2,232)</f>
        <v/>
      </c>
      <c r="I37" s="11" t="str" cm="1">
        <f t="array" ref="I37">GetCSVIndex(A2,233)</f>
        <v/>
      </c>
    </row>
    <row r="38" spans="1:9" x14ac:dyDescent="0.25">
      <c r="A38" s="14">
        <v>27</v>
      </c>
      <c r="B38" s="11" t="str" cm="1">
        <f t="array" ref="B38">GetCSVIndex(A2,235)</f>
        <v/>
      </c>
      <c r="C38" s="11" t="str" cm="1">
        <f t="array" ref="C38">GetCSVIndex(A2,236)</f>
        <v/>
      </c>
      <c r="D38" s="11" t="str" cm="1">
        <f t="array" ref="D38">GetCSVIndex(A2,237)</f>
        <v/>
      </c>
      <c r="E38" s="11" t="str" cm="1">
        <f t="array" ref="E38">GetCSVIndex(A2,238)</f>
        <v/>
      </c>
      <c r="F38" s="11" t="str" cm="1">
        <f t="array" ref="F38">GetCSVIndex(A2,239)</f>
        <v/>
      </c>
      <c r="G38" s="11" t="str" cm="1">
        <f t="array" ref="G38">GetCSVIndex(A2,240)</f>
        <v/>
      </c>
      <c r="H38" s="11" t="str" cm="1">
        <f t="array" ref="H38">GetCSVIndex(A2,241)</f>
        <v/>
      </c>
      <c r="I38" s="11" t="str" cm="1">
        <f t="array" ref="I38">GetCSVIndex(A2,242)</f>
        <v/>
      </c>
    </row>
    <row r="39" spans="1:9" x14ac:dyDescent="0.25">
      <c r="A39" s="14">
        <v>28</v>
      </c>
      <c r="B39" s="11" t="str" cm="1">
        <f t="array" ref="B39">GetCSVIndex(A2,244)</f>
        <v/>
      </c>
      <c r="C39" s="11" t="str" cm="1">
        <f t="array" ref="C39">GetCSVIndex(A2,245)</f>
        <v/>
      </c>
      <c r="D39" s="11" t="str" cm="1">
        <f t="array" ref="D39">GetCSVIndex(A2,246)</f>
        <v/>
      </c>
      <c r="E39" s="11" t="str" cm="1">
        <f t="array" ref="E39">GetCSVIndex(A2,247)</f>
        <v/>
      </c>
      <c r="F39" s="11" t="str" cm="1">
        <f t="array" ref="F39">GetCSVIndex(A2,248)</f>
        <v/>
      </c>
      <c r="G39" s="11" t="str" cm="1">
        <f t="array" ref="G39">GetCSVIndex(A2,249)</f>
        <v/>
      </c>
      <c r="H39" s="11" t="str" cm="1">
        <f t="array" ref="H39">GetCSVIndex(A2,250)</f>
        <v/>
      </c>
      <c r="I39" s="11" t="str" cm="1">
        <f t="array" ref="I39">GetCSVIndex(A2,251)</f>
        <v/>
      </c>
    </row>
    <row r="40" spans="1:9" x14ac:dyDescent="0.25">
      <c r="A40" s="14">
        <v>29</v>
      </c>
      <c r="B40" s="11" t="str" cm="1">
        <f t="array" ref="B40">GetCSVIndex(A2,253)</f>
        <v/>
      </c>
      <c r="C40" s="11" t="str" cm="1">
        <f t="array" ref="C40">GetCSVIndex(A2,254)</f>
        <v/>
      </c>
      <c r="D40" s="11" t="str" cm="1">
        <f t="array" ref="D40">GetCSVIndex(A2,255)</f>
        <v/>
      </c>
      <c r="E40" s="11" t="str" cm="1">
        <f t="array" ref="E40">GetCSVIndex(A2,256)</f>
        <v/>
      </c>
      <c r="F40" s="11" t="str" cm="1">
        <f t="array" ref="F40">GetCSVIndex(A2,257)</f>
        <v/>
      </c>
      <c r="G40" s="11" t="str" cm="1">
        <f t="array" ref="G40">GetCSVIndex(A2,258)</f>
        <v/>
      </c>
      <c r="H40" s="11" t="str" cm="1">
        <f t="array" ref="H40">GetCSVIndex(A2,259)</f>
        <v/>
      </c>
      <c r="I40" s="11" t="str" cm="1">
        <f t="array" ref="I40">GetCSVIndex(A2,260)</f>
        <v/>
      </c>
    </row>
    <row r="41" spans="1:9" x14ac:dyDescent="0.25">
      <c r="A41" s="14">
        <v>30</v>
      </c>
      <c r="B41" s="11" t="str" cm="1">
        <f t="array" ref="B41">GetCSVIndex(A2,262)</f>
        <v/>
      </c>
      <c r="C41" s="11" t="str" cm="1">
        <f t="array" ref="C41">GetCSVIndex(A2,263)</f>
        <v/>
      </c>
      <c r="D41" s="11" t="str" cm="1">
        <f t="array" ref="D41">GetCSVIndex(A2,264)</f>
        <v/>
      </c>
      <c r="E41" s="11" t="str" cm="1">
        <f t="array" ref="E41">GetCSVIndex(A2,265)</f>
        <v/>
      </c>
      <c r="F41" s="11" t="str" cm="1">
        <f t="array" ref="F41">GetCSVIndex(A2,266)</f>
        <v/>
      </c>
      <c r="G41" s="11" t="str" cm="1">
        <f t="array" ref="G41">GetCSVIndex(A2,267)</f>
        <v/>
      </c>
      <c r="H41" s="11" t="str" cm="1">
        <f t="array" ref="H41">GetCSVIndex(A2,268)</f>
        <v/>
      </c>
      <c r="I41" s="11" t="str" cm="1">
        <f t="array" ref="I41">GetCSVIndex(A2,269)</f>
        <v/>
      </c>
    </row>
    <row r="42" spans="1:9" x14ac:dyDescent="0.25">
      <c r="A42" s="14">
        <v>31</v>
      </c>
      <c r="B42" s="11" t="str" cm="1">
        <f t="array" ref="B42">GetCSVIndex(A2,271)</f>
        <v/>
      </c>
      <c r="C42" s="11" t="str" cm="1">
        <f t="array" ref="C42">GetCSVIndex(A2,272)</f>
        <v/>
      </c>
      <c r="D42" s="11" t="str" cm="1">
        <f t="array" ref="D42">GetCSVIndex(A2,273)</f>
        <v/>
      </c>
      <c r="E42" s="11" t="str" cm="1">
        <f t="array" ref="E42">GetCSVIndex(A2,274)</f>
        <v/>
      </c>
      <c r="F42" s="11" t="str" cm="1">
        <f t="array" ref="F42">GetCSVIndex(A2,275)</f>
        <v/>
      </c>
      <c r="G42" s="11" t="str" cm="1">
        <f t="array" ref="G42">GetCSVIndex(A2,276)</f>
        <v/>
      </c>
      <c r="H42" s="11" t="str" cm="1">
        <f t="array" ref="H42">GetCSVIndex(A2,277)</f>
        <v/>
      </c>
      <c r="I42" s="11" t="str" cm="1">
        <f t="array" ref="I42">GetCSVIndex(A2,278)</f>
        <v/>
      </c>
    </row>
    <row r="43" spans="1:9" x14ac:dyDescent="0.25">
      <c r="A43" s="14">
        <v>32</v>
      </c>
      <c r="B43" s="11" t="str" cm="1">
        <f t="array" ref="B43">GetCSVIndex(A2,280)</f>
        <v/>
      </c>
      <c r="C43" s="11" t="str" cm="1">
        <f t="array" ref="C43">GetCSVIndex(A2,281)</f>
        <v/>
      </c>
      <c r="D43" s="11" t="str" cm="1">
        <f t="array" ref="D43">GetCSVIndex(A2,282)</f>
        <v/>
      </c>
      <c r="E43" s="11" t="str" cm="1">
        <f t="array" ref="E43">GetCSVIndex(A2,283)</f>
        <v/>
      </c>
      <c r="F43" s="11" t="str" cm="1">
        <f t="array" ref="F43">GetCSVIndex(A2,284)</f>
        <v/>
      </c>
      <c r="G43" s="11" t="str" cm="1">
        <f t="array" ref="G43">GetCSVIndex(A2,285)</f>
        <v/>
      </c>
      <c r="H43" s="11" t="str" cm="1">
        <f t="array" ref="H43">GetCSVIndex(A2,286)</f>
        <v/>
      </c>
      <c r="I43" s="11" t="str" cm="1">
        <f t="array" ref="I43">GetCSVIndex(A2,287)</f>
        <v/>
      </c>
    </row>
    <row r="44" spans="1:9" x14ac:dyDescent="0.25">
      <c r="A44" s="14">
        <v>33</v>
      </c>
      <c r="B44" s="11" t="str" cm="1">
        <f t="array" ref="B44">GetCSVIndex(A2,289)</f>
        <v/>
      </c>
      <c r="C44" s="11" t="str" cm="1">
        <f t="array" ref="C44">GetCSVIndex(A2,290)</f>
        <v/>
      </c>
      <c r="D44" s="11" t="str" cm="1">
        <f t="array" ref="D44">GetCSVIndex(A2,291)</f>
        <v/>
      </c>
      <c r="E44" s="11" t="str" cm="1">
        <f t="array" ref="E44">GetCSVIndex(A2,292)</f>
        <v/>
      </c>
      <c r="F44" s="11" t="str" cm="1">
        <f t="array" ref="F44">GetCSVIndex(A2,293)</f>
        <v/>
      </c>
      <c r="G44" s="11" t="str" cm="1">
        <f t="array" ref="G44">GetCSVIndex(A2,294)</f>
        <v/>
      </c>
      <c r="H44" s="11" t="str" cm="1">
        <f t="array" ref="H44">GetCSVIndex(A2,295)</f>
        <v/>
      </c>
      <c r="I44" s="11" t="str" cm="1">
        <f t="array" ref="I44">GetCSVIndex(A2,296)</f>
        <v/>
      </c>
    </row>
    <row r="45" spans="1:9" x14ac:dyDescent="0.25">
      <c r="A45" s="14">
        <v>34</v>
      </c>
      <c r="B45" s="11" t="str" cm="1">
        <f t="array" ref="B45">GetCSVIndex(A2,298)</f>
        <v/>
      </c>
      <c r="C45" s="11" t="str" cm="1">
        <f t="array" ref="C45">GetCSVIndex(A2,299)</f>
        <v/>
      </c>
      <c r="D45" s="11" t="str" cm="1">
        <f t="array" ref="D45">GetCSVIndex(A2,300)</f>
        <v/>
      </c>
      <c r="E45" s="11" t="str" cm="1">
        <f t="array" ref="E45">GetCSVIndex(A2,301)</f>
        <v/>
      </c>
      <c r="F45" s="11" t="str" cm="1">
        <f t="array" ref="F45">GetCSVIndex(A2,302)</f>
        <v/>
      </c>
      <c r="G45" s="11" t="str" cm="1">
        <f t="array" ref="G45">GetCSVIndex(A2,303)</f>
        <v/>
      </c>
      <c r="H45" s="11" t="str" cm="1">
        <f t="array" ref="H45">GetCSVIndex(A2,304)</f>
        <v/>
      </c>
      <c r="I45" s="11" t="str" cm="1">
        <f t="array" ref="I45">GetCSVIndex(A2,305)</f>
        <v/>
      </c>
    </row>
    <row r="46" spans="1:9" x14ac:dyDescent="0.25">
      <c r="A46" s="14">
        <v>35</v>
      </c>
      <c r="B46" s="11" t="str" cm="1">
        <f t="array" ref="B46">GetCSVIndex(A2,307)</f>
        <v/>
      </c>
      <c r="C46" s="11" t="str" cm="1">
        <f t="array" ref="C46">GetCSVIndex(A2,308)</f>
        <v/>
      </c>
      <c r="D46" s="11" t="str" cm="1">
        <f t="array" ref="D46">GetCSVIndex(A2,309)</f>
        <v/>
      </c>
      <c r="E46" s="11" t="str" cm="1">
        <f t="array" ref="E46">GetCSVIndex(A2,310)</f>
        <v/>
      </c>
      <c r="F46" s="11" t="str" cm="1">
        <f t="array" ref="F46">GetCSVIndex(A2,311)</f>
        <v/>
      </c>
      <c r="G46" s="11" t="str" cm="1">
        <f t="array" ref="G46">GetCSVIndex(A2,312)</f>
        <v/>
      </c>
      <c r="H46" s="11" t="str" cm="1">
        <f t="array" ref="H46">GetCSVIndex(A2,313)</f>
        <v/>
      </c>
      <c r="I46" s="11" t="str" cm="1">
        <f t="array" ref="I46">GetCSVIndex(A2,314)</f>
        <v/>
      </c>
    </row>
    <row r="47" spans="1:9" x14ac:dyDescent="0.25">
      <c r="A47" s="14">
        <v>36</v>
      </c>
      <c r="B47" s="11" t="str" cm="1">
        <f t="array" ref="B47">GetCSVIndex(A2,316)</f>
        <v/>
      </c>
      <c r="C47" s="11" t="str" cm="1">
        <f t="array" ref="C47">GetCSVIndex(A2,317)</f>
        <v/>
      </c>
      <c r="D47" s="11" t="str" cm="1">
        <f t="array" ref="D47">GetCSVIndex(A2,318)</f>
        <v/>
      </c>
      <c r="E47" s="11" t="str" cm="1">
        <f t="array" ref="E47">GetCSVIndex(A2,319)</f>
        <v/>
      </c>
      <c r="F47" s="11" t="str" cm="1">
        <f t="array" ref="F47">GetCSVIndex(A2,320)</f>
        <v/>
      </c>
      <c r="G47" s="11" t="str" cm="1">
        <f t="array" ref="G47">GetCSVIndex(A2,321)</f>
        <v/>
      </c>
      <c r="H47" s="11" t="str" cm="1">
        <f t="array" ref="H47">GetCSVIndex(A2,322)</f>
        <v/>
      </c>
      <c r="I47" s="11" t="str" cm="1">
        <f t="array" ref="I47">GetCSVIndex(A2,323)</f>
        <v/>
      </c>
    </row>
    <row r="48" spans="1:9" x14ac:dyDescent="0.25">
      <c r="A48" s="14">
        <v>37</v>
      </c>
      <c r="B48" s="11" t="str" cm="1">
        <f t="array" ref="B48">GetCSVIndex(A2,325)</f>
        <v/>
      </c>
      <c r="C48" s="11" t="str" cm="1">
        <f t="array" ref="C48">GetCSVIndex(A2,326)</f>
        <v/>
      </c>
      <c r="D48" s="11" t="str" cm="1">
        <f t="array" ref="D48">GetCSVIndex(A2,327)</f>
        <v/>
      </c>
      <c r="E48" s="11" t="str" cm="1">
        <f t="array" ref="E48">GetCSVIndex(A2,328)</f>
        <v/>
      </c>
      <c r="F48" s="11" t="str" cm="1">
        <f t="array" ref="F48">GetCSVIndex(A2,329)</f>
        <v/>
      </c>
      <c r="G48" s="11" t="str" cm="1">
        <f t="array" ref="G48">GetCSVIndex(A2,330)</f>
        <v/>
      </c>
      <c r="H48" s="11" t="str" cm="1">
        <f t="array" ref="H48">GetCSVIndex(A2,331)</f>
        <v/>
      </c>
      <c r="I48" s="11" t="str" cm="1">
        <f t="array" ref="I48">GetCSVIndex(A2,332)</f>
        <v/>
      </c>
    </row>
    <row r="49" spans="1:9" x14ac:dyDescent="0.25">
      <c r="A49" s="14">
        <v>38</v>
      </c>
      <c r="B49" s="11" t="str" cm="1">
        <f t="array" ref="B49">GetCSVIndex(A2,334)</f>
        <v/>
      </c>
      <c r="C49" s="11" t="str" cm="1">
        <f t="array" ref="C49">GetCSVIndex(A2,335)</f>
        <v/>
      </c>
      <c r="D49" s="11" t="str" cm="1">
        <f t="array" ref="D49">GetCSVIndex(A2,336)</f>
        <v/>
      </c>
      <c r="E49" s="11" t="str" cm="1">
        <f t="array" ref="E49">GetCSVIndex(A2,337)</f>
        <v/>
      </c>
      <c r="F49" s="11" t="str" cm="1">
        <f t="array" ref="F49">GetCSVIndex(A2,338)</f>
        <v/>
      </c>
      <c r="G49" s="11" t="str" cm="1">
        <f t="array" ref="G49">GetCSVIndex(A2,339)</f>
        <v/>
      </c>
      <c r="H49" s="11" t="str" cm="1">
        <f t="array" ref="H49">GetCSVIndex(A2,340)</f>
        <v/>
      </c>
      <c r="I49" s="11" t="str" cm="1">
        <f t="array" ref="I49">GetCSVIndex(A2,341)</f>
        <v/>
      </c>
    </row>
    <row r="50" spans="1:9" x14ac:dyDescent="0.25">
      <c r="A50" s="14">
        <v>39</v>
      </c>
      <c r="B50" s="11" t="str" cm="1">
        <f t="array" ref="B50">GetCSVIndex(A2,343)</f>
        <v/>
      </c>
      <c r="C50" s="11" t="str" cm="1">
        <f t="array" ref="C50">GetCSVIndex(A2,344)</f>
        <v/>
      </c>
      <c r="D50" s="11" t="str" cm="1">
        <f t="array" ref="D50">GetCSVIndex(A2,345)</f>
        <v/>
      </c>
      <c r="E50" s="11" t="str" cm="1">
        <f t="array" ref="E50">GetCSVIndex(A2,346)</f>
        <v/>
      </c>
      <c r="F50" s="11" t="str" cm="1">
        <f t="array" ref="F50">GetCSVIndex(A2,347)</f>
        <v/>
      </c>
      <c r="G50" s="11" t="str" cm="1">
        <f t="array" ref="G50">GetCSVIndex(A2,348)</f>
        <v/>
      </c>
      <c r="H50" s="11" t="str" cm="1">
        <f t="array" ref="H50">GetCSVIndex(A2,349)</f>
        <v/>
      </c>
      <c r="I50" s="11" t="str" cm="1">
        <f t="array" ref="I50">GetCSVIndex(A2,350)</f>
        <v/>
      </c>
    </row>
    <row r="51" spans="1:9" x14ac:dyDescent="0.25">
      <c r="A51" s="14">
        <v>40</v>
      </c>
      <c r="B51" s="11" t="str" cm="1">
        <f t="array" ref="B51">GetCSVIndex(A2,352)</f>
        <v/>
      </c>
      <c r="C51" s="11" t="str" cm="1">
        <f t="array" ref="C51">GetCSVIndex(A2,353)</f>
        <v/>
      </c>
      <c r="D51" s="11" t="str" cm="1">
        <f t="array" ref="D51">GetCSVIndex(A2,354)</f>
        <v/>
      </c>
      <c r="E51" s="11" t="str" cm="1">
        <f t="array" ref="E51">GetCSVIndex(A2,355)</f>
        <v/>
      </c>
      <c r="F51" s="11" t="str" cm="1">
        <f t="array" ref="F51">GetCSVIndex(A2,356)</f>
        <v/>
      </c>
      <c r="G51" s="11" t="str" cm="1">
        <f t="array" ref="G51">GetCSVIndex(A2,357)</f>
        <v/>
      </c>
      <c r="H51" s="11" t="str" cm="1">
        <f t="array" ref="H51">GetCSVIndex(A2,358)</f>
        <v/>
      </c>
      <c r="I51" s="11" t="str" cm="1">
        <f t="array" ref="I51">GetCSVIndex(A2,359)</f>
        <v/>
      </c>
    </row>
    <row r="52" spans="1:9" x14ac:dyDescent="0.25">
      <c r="A52" s="14">
        <v>41</v>
      </c>
      <c r="B52" s="11" t="str" cm="1">
        <f t="array" ref="B52">GetCSVIndex(A2,361)</f>
        <v/>
      </c>
      <c r="C52" s="11" t="str" cm="1">
        <f t="array" ref="C52">GetCSVIndex(A2,362)</f>
        <v/>
      </c>
      <c r="D52" s="11" t="str" cm="1">
        <f t="array" ref="D52">GetCSVIndex(A2,363)</f>
        <v/>
      </c>
      <c r="E52" s="11" t="str" cm="1">
        <f t="array" ref="E52">GetCSVIndex(A2,364)</f>
        <v/>
      </c>
      <c r="F52" s="11" t="str" cm="1">
        <f t="array" ref="F52">GetCSVIndex(A2,365)</f>
        <v/>
      </c>
      <c r="G52" s="11" t="str" cm="1">
        <f t="array" ref="G52">GetCSVIndex(A2,366)</f>
        <v/>
      </c>
      <c r="H52" s="11" t="str" cm="1">
        <f t="array" ref="H52">GetCSVIndex(A2,367)</f>
        <v/>
      </c>
      <c r="I52" s="11" t="str" cm="1">
        <f t="array" ref="I52">GetCSVIndex(A2,368)</f>
        <v/>
      </c>
    </row>
    <row r="53" spans="1:9" x14ac:dyDescent="0.25">
      <c r="A53" s="14">
        <v>42</v>
      </c>
      <c r="B53" s="11" t="str" cm="1">
        <f t="array" ref="B53">GetCSVIndex(A2,370)</f>
        <v/>
      </c>
      <c r="C53" s="11" t="str" cm="1">
        <f t="array" ref="C53">GetCSVIndex(A2,371)</f>
        <v/>
      </c>
      <c r="D53" s="11" t="str" cm="1">
        <f t="array" ref="D53">GetCSVIndex(A2,372)</f>
        <v/>
      </c>
      <c r="E53" s="11" t="str" cm="1">
        <f t="array" ref="E53">GetCSVIndex(A2,373)</f>
        <v/>
      </c>
      <c r="F53" s="11" t="str" cm="1">
        <f t="array" ref="F53">GetCSVIndex(A2,374)</f>
        <v/>
      </c>
      <c r="G53" s="11" t="str" cm="1">
        <f t="array" ref="G53">GetCSVIndex(A2,375)</f>
        <v/>
      </c>
      <c r="H53" s="11" t="str" cm="1">
        <f t="array" ref="H53">GetCSVIndex(A2,376)</f>
        <v/>
      </c>
      <c r="I53" s="11" t="str" cm="1">
        <f t="array" ref="I53">GetCSVIndex(A2,377)</f>
        <v/>
      </c>
    </row>
    <row r="54" spans="1:9" x14ac:dyDescent="0.25">
      <c r="A54" s="14">
        <v>43</v>
      </c>
      <c r="B54" s="11" t="str" cm="1">
        <f t="array" ref="B54">GetCSVIndex(A2,379)</f>
        <v/>
      </c>
      <c r="C54" s="11" t="str" cm="1">
        <f t="array" ref="C54">GetCSVIndex(A2,380)</f>
        <v/>
      </c>
      <c r="D54" s="11" t="str" cm="1">
        <f t="array" ref="D54">GetCSVIndex(A2,381)</f>
        <v/>
      </c>
      <c r="E54" s="11" t="str" cm="1">
        <f t="array" ref="E54">GetCSVIndex(A2,382)</f>
        <v/>
      </c>
      <c r="F54" s="11" t="str" cm="1">
        <f t="array" ref="F54">GetCSVIndex(A2,383)</f>
        <v/>
      </c>
      <c r="G54" s="11" t="str" cm="1">
        <f t="array" ref="G54">GetCSVIndex(A2,384)</f>
        <v/>
      </c>
      <c r="H54" s="11" t="str" cm="1">
        <f t="array" ref="H54">GetCSVIndex(A2,385)</f>
        <v/>
      </c>
      <c r="I54" s="11" t="str" cm="1">
        <f t="array" ref="I54">GetCSVIndex(A2,386)</f>
        <v/>
      </c>
    </row>
    <row r="55" spans="1:9" x14ac:dyDescent="0.25">
      <c r="A55" s="14">
        <v>44</v>
      </c>
      <c r="B55" s="11" t="str" cm="1">
        <f t="array" ref="B55">GetCSVIndex(A2,388)</f>
        <v/>
      </c>
      <c r="C55" s="11" t="str" cm="1">
        <f t="array" ref="C55">GetCSVIndex(A2,389)</f>
        <v/>
      </c>
      <c r="D55" s="11" t="str" cm="1">
        <f t="array" ref="D55">GetCSVIndex(A2,390)</f>
        <v/>
      </c>
      <c r="E55" s="11" t="str" cm="1">
        <f t="array" ref="E55">GetCSVIndex(A2,391)</f>
        <v/>
      </c>
      <c r="F55" s="11" t="str" cm="1">
        <f t="array" ref="F55">GetCSVIndex(A2,392)</f>
        <v/>
      </c>
      <c r="G55" s="11" t="str" cm="1">
        <f t="array" ref="G55">GetCSVIndex(A2,393)</f>
        <v/>
      </c>
      <c r="H55" s="11" t="str" cm="1">
        <f t="array" ref="H55">GetCSVIndex(A2,394)</f>
        <v/>
      </c>
      <c r="I55" s="11" t="str" cm="1">
        <f t="array" ref="I55">GetCSVIndex(A2,395)</f>
        <v/>
      </c>
    </row>
    <row r="56" spans="1:9" x14ac:dyDescent="0.25">
      <c r="A56" s="14">
        <v>45</v>
      </c>
      <c r="B56" s="11" t="str" cm="1">
        <f t="array" ref="B56">GetCSVIndex(A2,397)</f>
        <v/>
      </c>
      <c r="C56" s="11" t="str" cm="1">
        <f t="array" ref="C56">GetCSVIndex(A2,398)</f>
        <v/>
      </c>
      <c r="D56" s="11" t="str" cm="1">
        <f t="array" ref="D56">GetCSVIndex(A2,399)</f>
        <v/>
      </c>
      <c r="E56" s="11" t="str" cm="1">
        <f t="array" ref="E56">GetCSVIndex(A2,400)</f>
        <v/>
      </c>
      <c r="F56" s="11" t="str" cm="1">
        <f t="array" ref="F56">GetCSVIndex(A2,401)</f>
        <v/>
      </c>
      <c r="G56" s="11" t="str" cm="1">
        <f t="array" ref="G56">GetCSVIndex(A2,402)</f>
        <v/>
      </c>
      <c r="H56" s="11" t="str" cm="1">
        <f t="array" ref="H56">GetCSVIndex(A2,403)</f>
        <v/>
      </c>
      <c r="I56" s="11" t="str" cm="1">
        <f t="array" ref="I56">GetCSVIndex(A2,404)</f>
        <v/>
      </c>
    </row>
    <row r="57" spans="1:9" x14ac:dyDescent="0.25">
      <c r="A57" s="14">
        <v>46</v>
      </c>
      <c r="B57" s="11" t="str" cm="1">
        <f t="array" ref="B57">GetCSVIndex(A2,406)</f>
        <v/>
      </c>
      <c r="C57" s="11" t="str" cm="1">
        <f t="array" ref="C57">GetCSVIndex(A2,407)</f>
        <v/>
      </c>
      <c r="D57" s="11" t="str" cm="1">
        <f t="array" ref="D57">GetCSVIndex(A2,408)</f>
        <v/>
      </c>
      <c r="E57" s="11" t="str" cm="1">
        <f t="array" ref="E57">GetCSVIndex(A2,409)</f>
        <v/>
      </c>
      <c r="F57" s="11" t="str" cm="1">
        <f t="array" ref="F57">GetCSVIndex(A2,410)</f>
        <v/>
      </c>
      <c r="G57" s="11" t="str" cm="1">
        <f t="array" ref="G57">GetCSVIndex(A2,411)</f>
        <v/>
      </c>
      <c r="H57" s="11" t="str" cm="1">
        <f t="array" ref="H57">GetCSVIndex(A2,412)</f>
        <v/>
      </c>
      <c r="I57" s="11" t="str" cm="1">
        <f t="array" ref="I57">GetCSVIndex(A2,413)</f>
        <v/>
      </c>
    </row>
    <row r="58" spans="1:9" x14ac:dyDescent="0.25">
      <c r="A58" s="14">
        <v>47</v>
      </c>
      <c r="B58" s="11" t="str" cm="1">
        <f t="array" ref="B58">GetCSVIndex(A2,415)</f>
        <v/>
      </c>
      <c r="C58" s="11" t="str" cm="1">
        <f t="array" ref="C58">GetCSVIndex(A2,416)</f>
        <v/>
      </c>
      <c r="D58" s="11" t="str" cm="1">
        <f t="array" ref="D58">GetCSVIndex(A2,417)</f>
        <v/>
      </c>
      <c r="E58" s="11" t="str" cm="1">
        <f t="array" ref="E58">GetCSVIndex(A2,418)</f>
        <v/>
      </c>
      <c r="F58" s="11" t="str" cm="1">
        <f t="array" ref="F58">GetCSVIndex(A2,419)</f>
        <v/>
      </c>
      <c r="G58" s="11" t="str" cm="1">
        <f t="array" ref="G58">GetCSVIndex(A2,420)</f>
        <v/>
      </c>
      <c r="H58" s="11" t="str" cm="1">
        <f t="array" ref="H58">GetCSVIndex(A2,421)</f>
        <v/>
      </c>
      <c r="I58" s="11" t="str" cm="1">
        <f t="array" ref="I58">GetCSVIndex(A2,422)</f>
        <v/>
      </c>
    </row>
    <row r="59" spans="1:9" x14ac:dyDescent="0.25">
      <c r="A59" s="14">
        <v>48</v>
      </c>
      <c r="B59" s="11" t="str" cm="1">
        <f t="array" ref="B59">GetCSVIndex(A2,424)</f>
        <v/>
      </c>
      <c r="C59" s="11" t="str" cm="1">
        <f t="array" ref="C59">GetCSVIndex(A2,425)</f>
        <v/>
      </c>
      <c r="D59" s="11" t="str" cm="1">
        <f t="array" ref="D59">GetCSVIndex(A2,426)</f>
        <v/>
      </c>
      <c r="E59" s="11" t="str" cm="1">
        <f t="array" ref="E59">GetCSVIndex(A2,427)</f>
        <v/>
      </c>
      <c r="F59" s="11" t="str" cm="1">
        <f t="array" ref="F59">GetCSVIndex(A2,428)</f>
        <v/>
      </c>
      <c r="G59" s="11" t="str" cm="1">
        <f t="array" ref="G59">GetCSVIndex(A2,429)</f>
        <v/>
      </c>
      <c r="H59" s="11" t="str" cm="1">
        <f t="array" ref="H59">GetCSVIndex(A2,430)</f>
        <v/>
      </c>
      <c r="I59" s="11" t="str" cm="1">
        <f t="array" ref="I59">GetCSVIndex(A2,431)</f>
        <v/>
      </c>
    </row>
    <row r="60" spans="1:9" x14ac:dyDescent="0.25">
      <c r="A60" s="14">
        <v>49</v>
      </c>
      <c r="B60" s="11" t="str" cm="1">
        <f t="array" ref="B60">GetCSVIndex(A2,433)</f>
        <v/>
      </c>
      <c r="C60" s="11" t="str" cm="1">
        <f t="array" ref="C60">GetCSVIndex(A2,434)</f>
        <v/>
      </c>
      <c r="D60" s="11" t="str" cm="1">
        <f t="array" ref="D60">GetCSVIndex(A2,435)</f>
        <v/>
      </c>
      <c r="E60" s="11" t="str" cm="1">
        <f t="array" ref="E60">GetCSVIndex(A2,436)</f>
        <v/>
      </c>
      <c r="F60" s="11" t="str" cm="1">
        <f t="array" ref="F60">GetCSVIndex(A2,437)</f>
        <v/>
      </c>
      <c r="G60" s="11" t="str" cm="1">
        <f t="array" ref="G60">GetCSVIndex(A2,438)</f>
        <v/>
      </c>
      <c r="H60" s="11" t="str" cm="1">
        <f t="array" ref="H60">GetCSVIndex(A2,439)</f>
        <v/>
      </c>
      <c r="I60" s="11" t="str" cm="1">
        <f t="array" ref="I60">GetCSVIndex(A2,440)</f>
        <v/>
      </c>
    </row>
    <row r="61" spans="1:9" x14ac:dyDescent="0.25">
      <c r="A61" s="14">
        <v>50</v>
      </c>
      <c r="B61" s="11" t="str" cm="1">
        <f t="array" ref="B61">GetCSVIndex(A2,442)</f>
        <v/>
      </c>
      <c r="C61" s="11" t="str" cm="1">
        <f t="array" ref="C61">GetCSVIndex(A2,443)</f>
        <v/>
      </c>
      <c r="D61" s="11" t="str" cm="1">
        <f t="array" ref="D61">GetCSVIndex(A2,444)</f>
        <v/>
      </c>
      <c r="E61" s="11" t="str" cm="1">
        <f t="array" ref="E61">GetCSVIndex(A2,445)</f>
        <v/>
      </c>
      <c r="F61" s="11" t="str" cm="1">
        <f t="array" ref="F61">GetCSVIndex(A2,446)</f>
        <v/>
      </c>
      <c r="G61" s="11" t="str" cm="1">
        <f t="array" ref="G61">GetCSVIndex(A2,447)</f>
        <v/>
      </c>
      <c r="H61" s="11" t="str" cm="1">
        <f t="array" ref="H61">GetCSVIndex(A2,448)</f>
        <v/>
      </c>
      <c r="I61" s="11" t="str" cm="1">
        <f t="array" ref="I61">GetCSVIndex(A2,449)</f>
        <v/>
      </c>
    </row>
    <row r="62" spans="1:9" x14ac:dyDescent="0.25">
      <c r="A62" s="14">
        <v>51</v>
      </c>
      <c r="B62" s="11" t="str" cm="1">
        <f t="array" ref="B62">GetCSVIndex(A2,451)</f>
        <v/>
      </c>
      <c r="C62" s="11" t="str" cm="1">
        <f t="array" ref="C62">GetCSVIndex(A2,452)</f>
        <v/>
      </c>
      <c r="D62" s="11" t="str" cm="1">
        <f t="array" ref="D62">GetCSVIndex(A2,453)</f>
        <v/>
      </c>
      <c r="E62" s="11" t="str" cm="1">
        <f t="array" ref="E62">GetCSVIndex(A2,454)</f>
        <v/>
      </c>
      <c r="F62" s="11" t="str" cm="1">
        <f t="array" ref="F62">GetCSVIndex(A2,455)</f>
        <v/>
      </c>
      <c r="G62" s="11" t="str" cm="1">
        <f t="array" ref="G62">GetCSVIndex(A2,456)</f>
        <v/>
      </c>
      <c r="H62" s="11" t="str" cm="1">
        <f t="array" ref="H62">GetCSVIndex(A2,457)</f>
        <v/>
      </c>
      <c r="I62" s="11" t="str" cm="1">
        <f t="array" ref="I62">GetCSVIndex(A2,458)</f>
        <v/>
      </c>
    </row>
    <row r="63" spans="1:9" x14ac:dyDescent="0.25">
      <c r="A63" s="14">
        <v>52</v>
      </c>
      <c r="B63" s="11" t="str" cm="1">
        <f t="array" ref="B63">GetCSVIndex(A2,460)</f>
        <v/>
      </c>
      <c r="C63" s="11" t="str" cm="1">
        <f t="array" ref="C63">GetCSVIndex(A2,461)</f>
        <v/>
      </c>
      <c r="D63" s="11" t="str" cm="1">
        <f t="array" ref="D63">GetCSVIndex(A2,462)</f>
        <v/>
      </c>
      <c r="E63" s="11" t="str" cm="1">
        <f t="array" ref="E63">GetCSVIndex(A2,463)</f>
        <v/>
      </c>
      <c r="F63" s="11" t="str" cm="1">
        <f t="array" ref="F63">GetCSVIndex(A2,464)</f>
        <v/>
      </c>
      <c r="G63" s="11" t="str" cm="1">
        <f t="array" ref="G63">GetCSVIndex(A2,465)</f>
        <v/>
      </c>
      <c r="H63" s="11" t="str" cm="1">
        <f t="array" ref="H63">GetCSVIndex(A2,466)</f>
        <v/>
      </c>
      <c r="I63" s="11" t="str" cm="1">
        <f t="array" ref="I63">GetCSVIndex(A2,467)</f>
        <v/>
      </c>
    </row>
    <row r="64" spans="1:9" x14ac:dyDescent="0.25">
      <c r="A64" s="14">
        <v>53</v>
      </c>
      <c r="B64" s="11" t="str" cm="1">
        <f t="array" ref="B64">GetCSVIndex(A2,469)</f>
        <v/>
      </c>
      <c r="C64" s="11" t="str" cm="1">
        <f t="array" ref="C64">GetCSVIndex(A2,470)</f>
        <v/>
      </c>
      <c r="D64" s="11" t="str" cm="1">
        <f t="array" ref="D64">GetCSVIndex(A2,471)</f>
        <v/>
      </c>
      <c r="E64" s="11" t="str" cm="1">
        <f t="array" ref="E64">GetCSVIndex(A2,472)</f>
        <v/>
      </c>
      <c r="F64" s="11" t="str" cm="1">
        <f t="array" ref="F64">GetCSVIndex(A2,473)</f>
        <v/>
      </c>
      <c r="G64" s="11" t="str" cm="1">
        <f t="array" ref="G64">GetCSVIndex(A2,474)</f>
        <v/>
      </c>
      <c r="H64" s="11" t="str" cm="1">
        <f t="array" ref="H64">GetCSVIndex(A2,475)</f>
        <v/>
      </c>
      <c r="I64" s="11" t="str" cm="1">
        <f t="array" ref="I64">GetCSVIndex(A2,476)</f>
        <v/>
      </c>
    </row>
    <row r="65" spans="1:9" x14ac:dyDescent="0.25">
      <c r="A65" s="14">
        <v>54</v>
      </c>
      <c r="B65" s="11" t="str" cm="1">
        <f t="array" ref="B65">GetCSVIndex(A2,478)</f>
        <v/>
      </c>
      <c r="C65" s="11" t="str" cm="1">
        <f t="array" ref="C65">GetCSVIndex(A2,479)</f>
        <v/>
      </c>
      <c r="D65" s="11" t="str" cm="1">
        <f t="array" ref="D65">GetCSVIndex(A2,480)</f>
        <v/>
      </c>
      <c r="E65" s="11" t="str" cm="1">
        <f t="array" ref="E65">GetCSVIndex(A2,481)</f>
        <v/>
      </c>
      <c r="F65" s="11" t="str" cm="1">
        <f t="array" ref="F65">GetCSVIndex(A2,482)</f>
        <v/>
      </c>
      <c r="G65" s="11" t="str" cm="1">
        <f t="array" ref="G65">GetCSVIndex(A2,483)</f>
        <v/>
      </c>
      <c r="H65" s="11" t="str" cm="1">
        <f t="array" ref="H65">GetCSVIndex(A2,484)</f>
        <v/>
      </c>
      <c r="I65" s="11" t="str" cm="1">
        <f t="array" ref="I65">GetCSVIndex(A2,485)</f>
        <v/>
      </c>
    </row>
    <row r="66" spans="1:9" x14ac:dyDescent="0.25">
      <c r="A66" s="14">
        <v>55</v>
      </c>
      <c r="B66" s="11" t="str" cm="1">
        <f t="array" ref="B66">GetCSVIndex(A2,487)</f>
        <v/>
      </c>
      <c r="C66" s="11" t="str" cm="1">
        <f t="array" ref="C66">GetCSVIndex(A2,488)</f>
        <v/>
      </c>
      <c r="D66" s="11" t="str" cm="1">
        <f t="array" ref="D66">GetCSVIndex(A2,489)</f>
        <v/>
      </c>
      <c r="E66" s="11" t="str" cm="1">
        <f t="array" ref="E66">GetCSVIndex(A2,490)</f>
        <v/>
      </c>
      <c r="F66" s="11" t="str" cm="1">
        <f t="array" ref="F66">GetCSVIndex(A2,491)</f>
        <v/>
      </c>
      <c r="G66" s="11" t="str" cm="1">
        <f t="array" ref="G66">GetCSVIndex(A2,492)</f>
        <v/>
      </c>
      <c r="H66" s="11" t="str" cm="1">
        <f t="array" ref="H66">GetCSVIndex(A2,493)</f>
        <v/>
      </c>
      <c r="I66" s="11" t="str" cm="1">
        <f t="array" ref="I66">GetCSVIndex(A2,494)</f>
        <v/>
      </c>
    </row>
    <row r="67" spans="1:9" x14ac:dyDescent="0.25">
      <c r="A67" s="14">
        <v>56</v>
      </c>
      <c r="B67" s="11" t="str" cm="1">
        <f t="array" ref="B67">GetCSVIndex(A2,496)</f>
        <v/>
      </c>
      <c r="C67" s="11" t="str" cm="1">
        <f t="array" ref="C67">GetCSVIndex(A2,497)</f>
        <v/>
      </c>
      <c r="D67" s="11" t="str" cm="1">
        <f t="array" ref="D67">GetCSVIndex(A2,498)</f>
        <v/>
      </c>
      <c r="E67" s="11" t="str" cm="1">
        <f t="array" ref="E67">GetCSVIndex(A2,499)</f>
        <v/>
      </c>
      <c r="F67" s="11" t="str" cm="1">
        <f t="array" ref="F67">GetCSVIndex(A2,500)</f>
        <v/>
      </c>
      <c r="G67" s="11" t="str" cm="1">
        <f t="array" ref="G67">GetCSVIndex(A2,501)</f>
        <v/>
      </c>
      <c r="H67" s="11" t="str" cm="1">
        <f t="array" ref="H67">GetCSVIndex(A2,502)</f>
        <v/>
      </c>
      <c r="I67" s="11" t="str" cm="1">
        <f t="array" ref="I67">GetCSVIndex(A2,503)</f>
        <v/>
      </c>
    </row>
    <row r="68" spans="1:9" x14ac:dyDescent="0.25">
      <c r="A68" s="14">
        <v>57</v>
      </c>
      <c r="B68" s="11" t="str" cm="1">
        <f t="array" ref="B68">GetCSVIndex(A2,505)</f>
        <v/>
      </c>
      <c r="C68" s="11" t="str" cm="1">
        <f t="array" ref="C68">GetCSVIndex(A2,506)</f>
        <v/>
      </c>
      <c r="D68" s="11" t="str" cm="1">
        <f t="array" ref="D68">GetCSVIndex(A2,507)</f>
        <v/>
      </c>
      <c r="E68" s="11" t="str" cm="1">
        <f t="array" ref="E68">GetCSVIndex(A2,508)</f>
        <v/>
      </c>
      <c r="F68" s="11" t="str" cm="1">
        <f t="array" ref="F68">GetCSVIndex(A2,509)</f>
        <v/>
      </c>
      <c r="G68" s="11" t="str" cm="1">
        <f t="array" ref="G68">GetCSVIndex(A2,510)</f>
        <v/>
      </c>
      <c r="H68" s="11" t="str" cm="1">
        <f t="array" ref="H68">GetCSVIndex(A2,511)</f>
        <v/>
      </c>
      <c r="I68" s="11" t="str" cm="1">
        <f t="array" ref="I68">GetCSVIndex(A2,512)</f>
        <v/>
      </c>
    </row>
    <row r="69" spans="1:9" x14ac:dyDescent="0.25">
      <c r="A69" s="14">
        <v>58</v>
      </c>
      <c r="B69" s="11" t="str" cm="1">
        <f t="array" ref="B69">GetCSVIndex(A2,514)</f>
        <v/>
      </c>
      <c r="C69" s="11" t="str" cm="1">
        <f t="array" ref="C69">GetCSVIndex(A2,515)</f>
        <v/>
      </c>
      <c r="D69" s="11" t="str" cm="1">
        <f t="array" ref="D69">GetCSVIndex(A2,516)</f>
        <v/>
      </c>
      <c r="E69" s="11" t="str" cm="1">
        <f t="array" ref="E69">GetCSVIndex(A2,517)</f>
        <v/>
      </c>
      <c r="F69" s="11" t="str" cm="1">
        <f t="array" ref="F69">GetCSVIndex(A2,518)</f>
        <v/>
      </c>
      <c r="G69" s="11" t="str" cm="1">
        <f t="array" ref="G69">GetCSVIndex(A2,519)</f>
        <v/>
      </c>
      <c r="H69" s="11" t="str" cm="1">
        <f t="array" ref="H69">GetCSVIndex(A2,520)</f>
        <v/>
      </c>
      <c r="I69" s="11" t="str" cm="1">
        <f t="array" ref="I69">GetCSVIndex(A2,521)</f>
        <v/>
      </c>
    </row>
    <row r="70" spans="1:9" x14ac:dyDescent="0.25">
      <c r="A70" s="14">
        <v>59</v>
      </c>
      <c r="B70" s="11" t="str" cm="1">
        <f t="array" ref="B70">GetCSVIndex(A2,523)</f>
        <v/>
      </c>
      <c r="C70" s="11" t="str" cm="1">
        <f t="array" ref="C70">GetCSVIndex(A2,524)</f>
        <v/>
      </c>
      <c r="D70" s="11" t="str" cm="1">
        <f t="array" ref="D70">GetCSVIndex(A2,525)</f>
        <v/>
      </c>
      <c r="E70" s="11" t="str" cm="1">
        <f t="array" ref="E70">GetCSVIndex(A2,526)</f>
        <v/>
      </c>
      <c r="F70" s="11" t="str" cm="1">
        <f t="array" ref="F70">GetCSVIndex(A2,527)</f>
        <v/>
      </c>
      <c r="G70" s="11" t="str" cm="1">
        <f t="array" ref="G70">GetCSVIndex(A2,528)</f>
        <v/>
      </c>
      <c r="H70" s="11" t="str" cm="1">
        <f t="array" ref="H70">GetCSVIndex(A2,529)</f>
        <v/>
      </c>
      <c r="I70" s="11" t="str" cm="1">
        <f t="array" ref="I70">GetCSVIndex(A2,530)</f>
        <v/>
      </c>
    </row>
    <row r="71" spans="1:9" x14ac:dyDescent="0.25">
      <c r="A71" s="14">
        <v>60</v>
      </c>
      <c r="B71" s="11" t="str" cm="1">
        <f t="array" ref="B71">GetCSVIndex(A2,532)</f>
        <v/>
      </c>
      <c r="C71" s="11" t="str" cm="1">
        <f t="array" ref="C71">GetCSVIndex(A2,533)</f>
        <v/>
      </c>
      <c r="D71" s="11" t="str" cm="1">
        <f t="array" ref="D71">GetCSVIndex(A2,534)</f>
        <v/>
      </c>
      <c r="E71" s="11" t="str" cm="1">
        <f t="array" ref="E71">GetCSVIndex(A2,535)</f>
        <v/>
      </c>
      <c r="F71" s="11" t="str" cm="1">
        <f t="array" ref="F71">GetCSVIndex(A2,536)</f>
        <v/>
      </c>
      <c r="G71" s="11" t="str" cm="1">
        <f t="array" ref="G71">GetCSVIndex(A2,537)</f>
        <v/>
      </c>
      <c r="H71" s="11" t="str" cm="1">
        <f t="array" ref="H71">GetCSVIndex(A2,538)</f>
        <v/>
      </c>
      <c r="I71" s="11" t="str" cm="1">
        <f t="array" ref="I71">GetCSVIndex(A2,539)</f>
        <v/>
      </c>
    </row>
    <row r="72" spans="1:9" x14ac:dyDescent="0.25">
      <c r="A72" s="14">
        <v>61</v>
      </c>
      <c r="B72" s="11" t="str" cm="1">
        <f t="array" ref="B72">GetCSVIndex(A2,541)</f>
        <v/>
      </c>
      <c r="C72" s="11" t="str" cm="1">
        <f t="array" ref="C72">GetCSVIndex(A2,542)</f>
        <v/>
      </c>
      <c r="D72" s="11" t="str" cm="1">
        <f t="array" ref="D72">GetCSVIndex(A2,543)</f>
        <v/>
      </c>
      <c r="E72" s="11" t="str" cm="1">
        <f t="array" ref="E72">GetCSVIndex(A2,544)</f>
        <v/>
      </c>
      <c r="F72" s="11" t="str" cm="1">
        <f t="array" ref="F72">GetCSVIndex(A2,545)</f>
        <v/>
      </c>
      <c r="G72" s="11" t="str" cm="1">
        <f t="array" ref="G72">GetCSVIndex(A2,546)</f>
        <v/>
      </c>
      <c r="H72" s="11" t="str" cm="1">
        <f t="array" ref="H72">GetCSVIndex(A2,547)</f>
        <v/>
      </c>
      <c r="I72" s="11" t="str" cm="1">
        <f t="array" ref="I72">GetCSVIndex(A2,548)</f>
        <v/>
      </c>
    </row>
    <row r="73" spans="1:9" x14ac:dyDescent="0.25">
      <c r="A73" s="14">
        <v>62</v>
      </c>
      <c r="B73" s="11" t="str" cm="1">
        <f t="array" ref="B73">GetCSVIndex(A2,550)</f>
        <v/>
      </c>
      <c r="C73" s="11" t="str" cm="1">
        <f t="array" ref="C73">GetCSVIndex(A2,551)</f>
        <v/>
      </c>
      <c r="D73" s="11" t="str" cm="1">
        <f t="array" ref="D73">GetCSVIndex(A2,552)</f>
        <v/>
      </c>
      <c r="E73" s="11" t="str" cm="1">
        <f t="array" ref="E73">GetCSVIndex(A2,553)</f>
        <v/>
      </c>
      <c r="F73" s="11" t="str" cm="1">
        <f t="array" ref="F73">GetCSVIndex(A2,554)</f>
        <v/>
      </c>
      <c r="G73" s="11" t="str" cm="1">
        <f t="array" ref="G73">GetCSVIndex(A2,555)</f>
        <v/>
      </c>
      <c r="H73" s="11" t="str" cm="1">
        <f t="array" ref="H73">GetCSVIndex(A2,556)</f>
        <v/>
      </c>
      <c r="I73" s="11" t="str" cm="1">
        <f t="array" ref="I73">GetCSVIndex(A2,557)</f>
        <v/>
      </c>
    </row>
    <row r="74" spans="1:9" x14ac:dyDescent="0.25">
      <c r="A74" s="14">
        <v>63</v>
      </c>
      <c r="B74" s="11" t="str" cm="1">
        <f t="array" ref="B74">GetCSVIndex(A2,559)</f>
        <v/>
      </c>
      <c r="C74" s="11" t="str" cm="1">
        <f t="array" ref="C74">GetCSVIndex(A2,560)</f>
        <v/>
      </c>
      <c r="D74" s="11" t="str" cm="1">
        <f t="array" ref="D74">GetCSVIndex(A2,561)</f>
        <v/>
      </c>
      <c r="E74" s="11" t="str" cm="1">
        <f t="array" ref="E74">GetCSVIndex(A2,562)</f>
        <v/>
      </c>
      <c r="F74" s="11" t="str" cm="1">
        <f t="array" ref="F74">GetCSVIndex(A2,563)</f>
        <v/>
      </c>
      <c r="G74" s="11" t="str" cm="1">
        <f t="array" ref="G74">GetCSVIndex(A2,564)</f>
        <v/>
      </c>
      <c r="H74" s="11" t="str" cm="1">
        <f t="array" ref="H74">GetCSVIndex(A2,565)</f>
        <v/>
      </c>
      <c r="I74" s="11" t="str" cm="1">
        <f t="array" ref="I74">GetCSVIndex(A2,566)</f>
        <v/>
      </c>
    </row>
    <row r="75" spans="1:9" x14ac:dyDescent="0.25">
      <c r="A75" s="14">
        <v>64</v>
      </c>
      <c r="B75" s="11" t="str" cm="1">
        <f t="array" ref="B75">GetCSVIndex(A2,568)</f>
        <v/>
      </c>
      <c r="C75" s="11" t="str" cm="1">
        <f t="array" ref="C75">GetCSVIndex(A2,569)</f>
        <v/>
      </c>
      <c r="D75" s="11" t="str" cm="1">
        <f t="array" ref="D75">GetCSVIndex(A2,570)</f>
        <v/>
      </c>
      <c r="E75" s="11" t="str" cm="1">
        <f t="array" ref="E75">GetCSVIndex(A2,571)</f>
        <v/>
      </c>
      <c r="F75" s="11" t="str" cm="1">
        <f t="array" ref="F75">GetCSVIndex(A2,572)</f>
        <v/>
      </c>
      <c r="G75" s="11" t="str" cm="1">
        <f t="array" ref="G75">GetCSVIndex(A2,573)</f>
        <v/>
      </c>
      <c r="H75" s="11" t="str" cm="1">
        <f t="array" ref="H75">GetCSVIndex(A2,574)</f>
        <v/>
      </c>
      <c r="I75" s="11" t="str" cm="1">
        <f t="array" ref="I75">GetCSVIndex(A2,575)</f>
        <v/>
      </c>
    </row>
    <row r="76" spans="1:9" x14ac:dyDescent="0.25">
      <c r="A76" s="11"/>
      <c r="B76" s="11" t="str" cm="1">
        <f t="array" ref="B76">GetCSVIndex(A2,577)</f>
        <v/>
      </c>
      <c r="C76" s="11" t="str" cm="1">
        <f t="array" ref="C76">GetCSVIndex(A2,578)</f>
        <v/>
      </c>
      <c r="D76" s="11" t="str" cm="1">
        <f t="array" ref="D76">GetCSVIndex(A2,579)</f>
        <v/>
      </c>
      <c r="E76" s="11" t="str" cm="1">
        <f t="array" ref="E76">GetCSVIndex(A2,580)</f>
        <v/>
      </c>
      <c r="F76" s="11" t="str" cm="1">
        <f t="array" ref="F76">GetCSVIndex(A2,581)</f>
        <v/>
      </c>
      <c r="G76" s="11" t="str" cm="1">
        <f t="array" ref="G76">GetCSVIndex(A2,582)</f>
        <v/>
      </c>
      <c r="H76" s="11" t="str" cm="1">
        <f t="array" ref="H76">GetCSVIndex(A2,583)</f>
        <v/>
      </c>
      <c r="I76" s="11" t="str" cm="1">
        <f t="array" ref="I76">GetCSVIndex(A2,584)</f>
        <v/>
      </c>
    </row>
    <row r="77" spans="1:9" x14ac:dyDescent="0.25">
      <c r="A77" s="11"/>
      <c r="B77" s="11"/>
      <c r="C77" s="11"/>
      <c r="D77" s="11"/>
      <c r="E77" s="11"/>
      <c r="F77" s="11"/>
      <c r="G77" s="11"/>
      <c r="H77" s="11"/>
      <c r="I77" s="11"/>
    </row>
    <row r="78" spans="1:9" x14ac:dyDescent="0.25">
      <c r="A78" s="11"/>
      <c r="B78" s="11"/>
      <c r="C78" s="11"/>
      <c r="D78" s="11"/>
      <c r="E78" s="11"/>
      <c r="F78" s="11"/>
      <c r="G78" s="11"/>
      <c r="H78" s="11"/>
      <c r="I78" s="11"/>
    </row>
    <row r="79" spans="1:9" x14ac:dyDescent="0.25">
      <c r="A79" s="11"/>
      <c r="B79" s="11"/>
      <c r="C79" s="11"/>
      <c r="D79" s="11"/>
      <c r="E79" s="11"/>
      <c r="F79" s="11"/>
      <c r="G79" s="11"/>
      <c r="H79" s="11"/>
      <c r="I79" s="11"/>
    </row>
    <row r="80" spans="1:9" x14ac:dyDescent="0.25">
      <c r="A80" s="11"/>
      <c r="B80" s="11"/>
      <c r="C80" s="11"/>
      <c r="D80" s="11"/>
      <c r="E80" s="11"/>
      <c r="F80" s="11"/>
      <c r="G80" s="11"/>
      <c r="H80" s="11"/>
      <c r="I80" s="11"/>
    </row>
    <row r="81" spans="1:9" x14ac:dyDescent="0.25">
      <c r="A81" s="11"/>
      <c r="B81" s="11"/>
      <c r="C81" s="11"/>
      <c r="D81" s="11"/>
      <c r="E81" s="11"/>
      <c r="F81" s="11"/>
      <c r="G81" s="11"/>
      <c r="H81" s="11"/>
      <c r="I81" s="11"/>
    </row>
    <row r="82" spans="1:9" x14ac:dyDescent="0.25">
      <c r="A82" s="11"/>
      <c r="B82" s="11"/>
      <c r="C82" s="11"/>
      <c r="D82" s="11"/>
      <c r="E82" s="11"/>
      <c r="F82" s="11"/>
      <c r="G82" s="11"/>
      <c r="H82" s="11"/>
      <c r="I82" s="11"/>
    </row>
    <row r="83" spans="1:9" x14ac:dyDescent="0.25">
      <c r="A83" s="11"/>
      <c r="B83" s="11"/>
      <c r="C83" s="11"/>
      <c r="D83" s="11"/>
      <c r="E83" s="11"/>
      <c r="F83" s="11"/>
      <c r="G83" s="11"/>
      <c r="H83" s="11"/>
      <c r="I83" s="11"/>
    </row>
    <row r="84" spans="1:9" x14ac:dyDescent="0.25">
      <c r="A84" s="11"/>
      <c r="B84" s="11"/>
      <c r="C84" s="11"/>
      <c r="D84" s="11"/>
      <c r="E84" s="11"/>
      <c r="F84" s="11"/>
      <c r="G84" s="11"/>
      <c r="H84" s="11"/>
      <c r="I84" s="11"/>
    </row>
    <row r="85" spans="1:9" x14ac:dyDescent="0.25">
      <c r="A85" s="11"/>
      <c r="B85" s="11"/>
      <c r="C85" s="11"/>
      <c r="D85" s="11"/>
      <c r="E85" s="11"/>
      <c r="F85" s="11"/>
      <c r="G85" s="11"/>
      <c r="H85" s="11"/>
      <c r="I85" s="11"/>
    </row>
    <row r="86" spans="1:9" x14ac:dyDescent="0.25">
      <c r="A86" s="11"/>
      <c r="B86" s="11"/>
      <c r="C86" s="11"/>
      <c r="D86" s="11"/>
      <c r="E86" s="11"/>
      <c r="F86" s="11"/>
      <c r="G86" s="11"/>
      <c r="H86" s="11"/>
      <c r="I86" s="11"/>
    </row>
    <row r="87" spans="1:9" x14ac:dyDescent="0.25">
      <c r="A87" s="11"/>
      <c r="B87" s="11"/>
      <c r="C87" s="11"/>
      <c r="D87" s="11"/>
      <c r="E87" s="11"/>
      <c r="F87" s="11"/>
      <c r="G87" s="11"/>
      <c r="H87" s="11"/>
      <c r="I87" s="11"/>
    </row>
    <row r="88" spans="1:9" x14ac:dyDescent="0.25">
      <c r="A88" s="11"/>
      <c r="B88" s="11"/>
      <c r="C88" s="11"/>
      <c r="D88" s="11"/>
      <c r="E88" s="11"/>
      <c r="F88" s="11"/>
      <c r="G88" s="11"/>
      <c r="H88" s="11"/>
      <c r="I88" s="11"/>
    </row>
    <row r="89" spans="1:9" x14ac:dyDescent="0.25">
      <c r="A89" s="11"/>
      <c r="B89" s="11"/>
      <c r="C89" s="11"/>
      <c r="D89" s="11"/>
      <c r="E89" s="11"/>
      <c r="F89" s="11"/>
      <c r="G89" s="11"/>
      <c r="H89" s="11"/>
      <c r="I89" s="11"/>
    </row>
    <row r="90" spans="1:9" x14ac:dyDescent="0.25">
      <c r="A90" s="11"/>
      <c r="B90" s="11"/>
      <c r="C90" s="11"/>
      <c r="D90" s="11"/>
      <c r="E90" s="11"/>
      <c r="F90" s="11"/>
      <c r="G90" s="11"/>
      <c r="H90" s="11"/>
      <c r="I90" s="11"/>
    </row>
    <row r="91" spans="1:9" x14ac:dyDescent="0.25">
      <c r="A91" s="11"/>
      <c r="B91" s="11"/>
      <c r="C91" s="11"/>
      <c r="D91" s="11"/>
      <c r="E91" s="11"/>
      <c r="F91" s="11"/>
      <c r="G91" s="11"/>
      <c r="H91" s="11"/>
      <c r="I91" s="11"/>
    </row>
    <row r="92" spans="1:9" x14ac:dyDescent="0.25">
      <c r="A92" s="11"/>
      <c r="B92" s="11"/>
      <c r="C92" s="11"/>
      <c r="D92" s="11"/>
      <c r="E92" s="11"/>
      <c r="F92" s="11"/>
      <c r="G92" s="11"/>
      <c r="H92" s="11"/>
      <c r="I92" s="11"/>
    </row>
  </sheetData>
  <mergeCells count="2">
    <mergeCell ref="A9:I9"/>
    <mergeCell ref="A10:I10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GetDataFromTxt.GetDataFromTxt">
                <anchor moveWithCells="1" sizeWithCells="1">
                  <from>
                    <xdr:col>3</xdr:col>
                    <xdr:colOff>200025</xdr:colOff>
                    <xdr:row>5</xdr:row>
                    <xdr:rowOff>114300</xdr:rowOff>
                  </from>
                  <to>
                    <xdr:col>3</xdr:col>
                    <xdr:colOff>1171575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40"/>
  <sheetViews>
    <sheetView workbookViewId="0">
      <selection activeCell="V7" sqref="V7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18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2</v>
      </c>
      <c r="C9" s="5" t="s">
        <v>7</v>
      </c>
      <c r="D9" s="5" t="s">
        <v>7</v>
      </c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>
        <v>47.041297935103202</v>
      </c>
      <c r="D15" s="6">
        <v>47.041297935103202</v>
      </c>
    </row>
    <row r="16" spans="2:10" x14ac:dyDescent="0.25">
      <c r="B16" s="4">
        <v>7</v>
      </c>
      <c r="C16" s="6">
        <v>47.206741573033703</v>
      </c>
      <c r="D16" s="6">
        <v>47.206741573033703</v>
      </c>
    </row>
    <row r="17" spans="2:4" x14ac:dyDescent="0.25">
      <c r="B17" s="4">
        <v>8</v>
      </c>
      <c r="C17" s="6"/>
      <c r="D17" s="6"/>
    </row>
    <row r="18" spans="2:4" x14ac:dyDescent="0.25">
      <c r="B18" s="4">
        <v>9</v>
      </c>
      <c r="C18" s="6">
        <v>48.5475309984772</v>
      </c>
      <c r="D18" s="6">
        <v>48.5475309984772</v>
      </c>
    </row>
    <row r="19" spans="2:4" x14ac:dyDescent="0.25">
      <c r="B19" s="4">
        <v>10</v>
      </c>
      <c r="C19" s="6">
        <v>45.635949943117097</v>
      </c>
      <c r="D19" s="6">
        <v>45.635949943117097</v>
      </c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  <row r="22" spans="2:4" x14ac:dyDescent="0.25">
      <c r="B22" s="4">
        <v>13</v>
      </c>
      <c r="C22" s="6"/>
      <c r="D22" s="6"/>
    </row>
    <row r="23" spans="2:4" x14ac:dyDescent="0.25">
      <c r="B23" s="4">
        <v>14</v>
      </c>
      <c r="C23" s="6"/>
      <c r="D23" s="6"/>
    </row>
    <row r="24" spans="2:4" x14ac:dyDescent="0.25">
      <c r="B24" s="4">
        <v>15</v>
      </c>
      <c r="C24" s="6"/>
      <c r="D24" s="6"/>
    </row>
    <row r="25" spans="2:4" x14ac:dyDescent="0.25">
      <c r="B25" s="4">
        <v>16</v>
      </c>
      <c r="C25" s="6"/>
      <c r="D25" s="6"/>
    </row>
    <row r="26" spans="2:4" x14ac:dyDescent="0.25">
      <c r="B26" s="4">
        <v>17</v>
      </c>
      <c r="C26" s="6"/>
      <c r="D26" s="6"/>
    </row>
    <row r="27" spans="2:4" x14ac:dyDescent="0.25">
      <c r="B27" s="4">
        <v>18</v>
      </c>
      <c r="C27" s="6"/>
      <c r="D27" s="6"/>
    </row>
    <row r="28" spans="2:4" x14ac:dyDescent="0.25">
      <c r="B28" s="4">
        <v>19</v>
      </c>
      <c r="C28" s="6"/>
      <c r="D28" s="6"/>
    </row>
    <row r="29" spans="2:4" x14ac:dyDescent="0.25">
      <c r="B29" s="4">
        <v>20</v>
      </c>
      <c r="C29" s="6"/>
      <c r="D29" s="6"/>
    </row>
    <row r="30" spans="2:4" x14ac:dyDescent="0.25">
      <c r="B30" s="4">
        <v>21</v>
      </c>
      <c r="C30" s="6"/>
      <c r="D30" s="6"/>
    </row>
    <row r="31" spans="2:4" x14ac:dyDescent="0.25">
      <c r="B31" s="4">
        <v>22</v>
      </c>
      <c r="C31" s="6"/>
      <c r="D31" s="6"/>
    </row>
    <row r="32" spans="2:4" x14ac:dyDescent="0.25">
      <c r="B32" s="4">
        <v>23</v>
      </c>
      <c r="C32" s="6"/>
      <c r="D32" s="6"/>
    </row>
    <row r="33" spans="2:4" x14ac:dyDescent="0.25">
      <c r="B33" s="4">
        <v>24</v>
      </c>
      <c r="C33" s="6"/>
      <c r="D33" s="6"/>
    </row>
    <row r="34" spans="2:4" x14ac:dyDescent="0.25">
      <c r="B34" s="4">
        <v>25</v>
      </c>
      <c r="C34" s="6"/>
      <c r="D34" s="6"/>
    </row>
    <row r="35" spans="2:4" x14ac:dyDescent="0.25">
      <c r="B35" s="4">
        <v>26</v>
      </c>
      <c r="C35" s="6"/>
      <c r="D35" s="6"/>
    </row>
    <row r="36" spans="2:4" x14ac:dyDescent="0.25">
      <c r="B36" s="4">
        <v>27</v>
      </c>
      <c r="C36" s="6"/>
      <c r="D36" s="6"/>
    </row>
    <row r="37" spans="2:4" x14ac:dyDescent="0.25">
      <c r="B37" s="4">
        <v>28</v>
      </c>
      <c r="C37" s="6"/>
      <c r="D37" s="6"/>
    </row>
    <row r="38" spans="2:4" x14ac:dyDescent="0.25">
      <c r="B38" s="4">
        <v>29</v>
      </c>
      <c r="C38" s="6"/>
      <c r="D38" s="6"/>
    </row>
    <row r="39" spans="2:4" x14ac:dyDescent="0.25">
      <c r="B39" s="4">
        <v>30</v>
      </c>
      <c r="C39" s="6"/>
      <c r="D39" s="6"/>
    </row>
    <row r="40" spans="2:4" x14ac:dyDescent="0.25">
      <c r="B40" s="4">
        <v>31</v>
      </c>
      <c r="C40" s="6"/>
      <c r="D40" s="6"/>
    </row>
  </sheetData>
  <dataValidations disablePrompts="1" count="3">
    <dataValidation type="list" allowBlank="1" showInputMessage="1" showErrorMessage="1" sqref="C4" xr:uid="{00000000-0002-0000-0100-000000000000}">
      <formula1>"2018,2019,2020,2021,2022,2023,2024,2025,2026,2027,2028"</formula1>
    </dataValidation>
    <dataValidation type="list" allowBlank="1" showInputMessage="1" showErrorMessage="1" sqref="C5" xr:uid="{00000000-0002-0000-0100-000001000000}">
      <formula1>"1,2,3,4,5,6,7,8,9,10,11,12"</formula1>
    </dataValidation>
    <dataValidation type="whole" allowBlank="1" showInputMessage="1" showErrorMessage="1" sqref="C6" xr:uid="{00000000-0002-0000-0100-000002000000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AllColumns_AllDay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21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12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hidden="1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1</v>
      </c>
      <c r="C9" s="5" t="s">
        <v>7</v>
      </c>
      <c r="D9" s="5"/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/>
      <c r="D15" s="6"/>
    </row>
    <row r="16" spans="2:10" x14ac:dyDescent="0.25">
      <c r="B16" s="4">
        <v>7</v>
      </c>
      <c r="C16" s="6"/>
      <c r="D16" s="6"/>
    </row>
    <row r="17" spans="2:4" x14ac:dyDescent="0.25">
      <c r="B17" s="4">
        <v>8</v>
      </c>
      <c r="C17" s="6">
        <v>47.781663275686597</v>
      </c>
      <c r="D17" s="6"/>
    </row>
    <row r="18" spans="2:4" x14ac:dyDescent="0.25">
      <c r="B18" s="4">
        <v>9</v>
      </c>
      <c r="C18" s="6"/>
      <c r="D18" s="6"/>
    </row>
    <row r="19" spans="2:4" x14ac:dyDescent="0.25">
      <c r="B19" s="4">
        <v>10</v>
      </c>
      <c r="C19" s="6"/>
      <c r="D19" s="6"/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</sheetData>
  <dataValidations disablePrompts="1" count="3">
    <dataValidation type="whole" allowBlank="1" showInputMessage="1" showErrorMessage="1" sqref="C6" xr:uid="{00000000-0002-0000-0200-000000000000}">
      <formula1>1</formula1>
      <formula2>31</formula2>
    </dataValidation>
    <dataValidation type="list" allowBlank="1" showInputMessage="1" showErrorMessage="1" sqref="C5" xr:uid="{00000000-0002-0000-0200-000001000000}">
      <formula1>"1,2,3,4,5,6,7,8,9,10,11,12"</formula1>
    </dataValidation>
    <dataValidation type="list" allowBlank="1" showInputMessage="1" showErrorMessage="1" sqref="C4" xr:uid="{00000000-0002-0000-0200-000002000000}">
      <formula1>"2018,2019,2020,2021,2022,2023,2024,2025,2026,2027,2028"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AllColumns_AllMonth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40"/>
  <sheetViews>
    <sheetView zoomScale="85" zoomScaleNormal="85" workbookViewId="0">
      <selection activeCell="C3" sqref="C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7.85546875" style="3" customWidth="1"/>
    <col min="5" max="16" width="12.28515625" bestFit="1" customWidth="1"/>
  </cols>
  <sheetData>
    <row r="2" spans="2:16" x14ac:dyDescent="0.25">
      <c r="B2" s="1" t="s">
        <v>3</v>
      </c>
      <c r="C2" s="2" t="s">
        <v>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2018</v>
      </c>
    </row>
    <row r="5" spans="2:16" x14ac:dyDescent="0.25">
      <c r="B5" s="1" t="s">
        <v>1</v>
      </c>
      <c r="C5" s="2">
        <v>1</v>
      </c>
    </row>
    <row r="6" spans="2:16" x14ac:dyDescent="0.25">
      <c r="B6" s="1" t="s">
        <v>2</v>
      </c>
      <c r="C6" s="2">
        <v>1</v>
      </c>
    </row>
    <row r="7" spans="2:16" x14ac:dyDescent="0.25">
      <c r="B7" s="7"/>
    </row>
    <row r="8" spans="2:16" x14ac:dyDescent="0.25">
      <c r="C8" s="8"/>
      <c r="D8" s="8"/>
    </row>
    <row r="9" spans="2:16" ht="24.75" customHeight="1" x14ac:dyDescent="0.25">
      <c r="B9" s="5" t="str">
        <f>C3</f>
        <v>Hourly</v>
      </c>
      <c r="C9" s="9"/>
      <c r="D9" s="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count="5">
    <dataValidation type="list" allowBlank="1" showInputMessage="1" showErrorMessage="1" sqref="C4" xr:uid="{00000000-0002-0000-0300-000000000000}">
      <formula1>"2018,2019,2020,2021,2022,2023,2024,2025,2026,2027,2028"</formula1>
    </dataValidation>
    <dataValidation type="list" allowBlank="1" showInputMessage="1" showErrorMessage="1" sqref="C5" xr:uid="{00000000-0002-0000-0300-000001000000}">
      <formula1>"1,2,3,4,5,6,7,8,9,10,11,12"</formula1>
    </dataValidation>
    <dataValidation type="whole" allowBlank="1" showInputMessage="1" showErrorMessage="1" sqref="C6" xr:uid="{00000000-0002-0000-0300-000002000000}">
      <formula1>1</formula1>
      <formula2>31</formula2>
    </dataValidation>
    <dataValidation type="list" allowBlank="1" showInputMessage="1" showErrorMessage="1" sqref="C8:D8" xr:uid="{00000000-0002-0000-0300-000003000000}">
      <formula1>"RT,AVG,MAX,MIN,SUM,COUNT"</formula1>
    </dataValidation>
    <dataValidation type="list" allowBlank="1" showInputMessage="1" showErrorMessage="1" sqref="C3" xr:uid="{00000000-0002-0000-0300-000004000000}">
      <formula1>"Hourly,Daily,Monthly"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P33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B6" s="1" t="s">
        <v>2</v>
      </c>
      <c r="C6" s="2">
        <v>9</v>
      </c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Hourly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4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1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6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7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1">
        <v>9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11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1">
        <v>13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14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15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1">
        <v>16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17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19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1">
        <v>20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22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23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</sheetData>
  <dataValidations disablePrompts="1" count="5">
    <dataValidation type="list" allowBlank="1" showInputMessage="1" showErrorMessage="1" sqref="C3" xr:uid="{00000000-0002-0000-0400-000000000000}">
      <formula1>"Hourly,Daily,Monthly"</formula1>
    </dataValidation>
    <dataValidation type="list" allowBlank="1" showInputMessage="1" showErrorMessage="1" sqref="C8:F8" xr:uid="{00000000-0002-0000-0400-000001000000}">
      <formula1>"RT,AVG,MAX,MIN,SUM,COUNT"</formula1>
    </dataValidation>
    <dataValidation type="whole" allowBlank="1" showInputMessage="1" showErrorMessage="1" sqref="C6" xr:uid="{00000000-0002-0000-0400-000002000000}">
      <formula1>1</formula1>
      <formula2>31</formula2>
    </dataValidation>
    <dataValidation type="list" allowBlank="1" showInputMessage="1" showErrorMessage="1" sqref="C5" xr:uid="{00000000-0002-0000-0400-000003000000}">
      <formula1>"1,2,3,4,5,6,7,8,9,10,11,12"</formula1>
    </dataValidation>
    <dataValidation type="list" allowBlank="1" showInputMessage="1" showErrorMessage="1" sqref="C4" xr:uid="{00000000-0002-0000-0400-000004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P40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8" width="17.42578125" customWidth="1"/>
    <col min="9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10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Daily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disablePrompts="1" count="4">
    <dataValidation type="list" allowBlank="1" showInputMessage="1" showErrorMessage="1" sqref="C3" xr:uid="{00000000-0002-0000-0500-000000000000}">
      <formula1>"Hourly,Daily,Monthly"</formula1>
    </dataValidation>
    <dataValidation type="list" allowBlank="1" showInputMessage="1" showErrorMessage="1" sqref="C8:F8" xr:uid="{00000000-0002-0000-0500-000001000000}">
      <formula1>"RT,AVG,MAX,MIN,SUM,COUNT"</formula1>
    </dataValidation>
    <dataValidation type="list" allowBlank="1" showInputMessage="1" showErrorMessage="1" sqref="C5" xr:uid="{00000000-0002-0000-0500-000002000000}">
      <formula1>"1,2,3,4,5,6,7,8,9,10,11,12"</formula1>
    </dataValidation>
    <dataValidation type="list" allowBlank="1" showInputMessage="1" showErrorMessage="1" sqref="C4" xr:uid="{00000000-0002-0000-0500-000003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P21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11</v>
      </c>
    </row>
    <row r="4" spans="2:16" x14ac:dyDescent="0.25">
      <c r="B4" s="1" t="s">
        <v>0</v>
      </c>
      <c r="C4" s="2">
        <v>2021</v>
      </c>
    </row>
    <row r="5" spans="2:16" x14ac:dyDescent="0.25">
      <c r="C5"/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Monthly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</sheetData>
  <dataValidations count="3">
    <dataValidation type="list" allowBlank="1" showInputMessage="1" showErrorMessage="1" sqref="C3" xr:uid="{00000000-0002-0000-0600-000000000000}">
      <formula1>"Hourly,Daily,Monthly"</formula1>
    </dataValidation>
    <dataValidation type="list" allowBlank="1" showInputMessage="1" showErrorMessage="1" sqref="C8:F8" xr:uid="{00000000-0002-0000-0600-000001000000}">
      <formula1>"RT,AVG,MAX,MIN,SUM,COUNT"</formula1>
    </dataValidation>
    <dataValidation type="list" allowBlank="1" showInputMessage="1" showErrorMessage="1" sqref="C4" xr:uid="{00000000-0002-0000-0600-000002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Block</vt:lpstr>
      <vt:lpstr>DailyReport</vt:lpstr>
      <vt:lpstr>MonthlyReport</vt:lpstr>
      <vt:lpstr>AdvancedReport</vt:lpstr>
      <vt:lpstr>24 Hours</vt:lpstr>
      <vt:lpstr>31 Days</vt:lpstr>
      <vt:lpstr>12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Ahmed saadawy</cp:lastModifiedBy>
  <cp:lastPrinted>2018-07-08T14:23:53Z</cp:lastPrinted>
  <dcterms:created xsi:type="dcterms:W3CDTF">2011-08-25T14:29:57Z</dcterms:created>
  <dcterms:modified xsi:type="dcterms:W3CDTF">2024-06-06T03:13:28Z</dcterms:modified>
</cp:coreProperties>
</file>