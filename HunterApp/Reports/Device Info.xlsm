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hmed\OneDrive - streamcontrols.com\Desktop\Work\Hunter\HunterApp\Reports\"/>
    </mc:Choice>
  </mc:AlternateContent>
  <xr:revisionPtr revIDLastSave="0" documentId="13_ncr:1_{EC68123F-A5F4-4154-82AF-CC9B335F5FA8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settings" sheetId="11" state="hidden" r:id="rId1"/>
    <sheet name="Device info" sheetId="19" r:id="rId2"/>
    <sheet name="DailyReport" sheetId="12" state="hidden" r:id="rId3"/>
    <sheet name="MonthlyReport" sheetId="13" state="hidden" r:id="rId4"/>
    <sheet name="AdvancedReport" sheetId="14" state="hidden" r:id="rId5"/>
    <sheet name="24 Hours" sheetId="16" state="hidden" r:id="rId6"/>
    <sheet name="31 Days" sheetId="17" state="hidden" r:id="rId7"/>
    <sheet name="12 Months" sheetId="18" state="hidden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9" l="1"/>
  <c r="D236" i="19"/>
  <c r="D228" i="19"/>
  <c r="D220" i="19"/>
  <c r="D212" i="19"/>
  <c r="D204" i="19"/>
  <c r="D196" i="19"/>
  <c r="D188" i="19"/>
  <c r="D180" i="19"/>
  <c r="D172" i="19"/>
  <c r="D164" i="19"/>
  <c r="D156" i="19"/>
  <c r="D148" i="19"/>
  <c r="D140" i="19"/>
  <c r="D132" i="19"/>
  <c r="D124" i="19"/>
  <c r="D116" i="19"/>
  <c r="D108" i="19"/>
  <c r="D100" i="19"/>
  <c r="D92" i="19"/>
  <c r="D84" i="19"/>
  <c r="D76" i="19"/>
  <c r="D68" i="19"/>
  <c r="D60" i="19"/>
  <c r="D52" i="19"/>
  <c r="D44" i="19"/>
  <c r="D36" i="19"/>
  <c r="D28" i="19"/>
  <c r="D20" i="19"/>
  <c r="D14" i="19"/>
  <c r="D218" i="19"/>
  <c r="D186" i="19"/>
  <c r="D170" i="19"/>
  <c r="D146" i="19"/>
  <c r="D130" i="19"/>
  <c r="D122" i="19"/>
  <c r="D106" i="19"/>
  <c r="D90" i="19"/>
  <c r="D66" i="19"/>
  <c r="D58" i="19"/>
  <c r="D34" i="19"/>
  <c r="D225" i="19"/>
  <c r="D217" i="19"/>
  <c r="D209" i="19"/>
  <c r="D193" i="19"/>
  <c r="D177" i="19"/>
  <c r="D161" i="19"/>
  <c r="D145" i="19"/>
  <c r="D129" i="19"/>
  <c r="D113" i="19"/>
  <c r="D97" i="19"/>
  <c r="D73" i="19"/>
  <c r="D57" i="19"/>
  <c r="D41" i="19"/>
  <c r="D25" i="19"/>
  <c r="D12" i="19" a="1"/>
  <c r="D216" i="19"/>
  <c r="D192" i="19"/>
  <c r="D176" i="19"/>
  <c r="D160" i="19"/>
  <c r="D144" i="19"/>
  <c r="D128" i="19"/>
  <c r="D112" i="19"/>
  <c r="D96" i="19"/>
  <c r="D80" i="19"/>
  <c r="D56" i="19"/>
  <c r="D48" i="19"/>
  <c r="D32" i="19"/>
  <c r="D223" i="19"/>
  <c r="D207" i="19"/>
  <c r="D199" i="19"/>
  <c r="D183" i="19"/>
  <c r="D235" i="19"/>
  <c r="D227" i="19"/>
  <c r="D219" i="19"/>
  <c r="D211" i="19"/>
  <c r="D203" i="19"/>
  <c r="D195" i="19"/>
  <c r="D187" i="19"/>
  <c r="D179" i="19"/>
  <c r="D171" i="19"/>
  <c r="D163" i="19"/>
  <c r="D155" i="19"/>
  <c r="D147" i="19"/>
  <c r="D139" i="19"/>
  <c r="D131" i="19"/>
  <c r="D123" i="19"/>
  <c r="D115" i="19"/>
  <c r="D107" i="19"/>
  <c r="D99" i="19"/>
  <c r="D91" i="19"/>
  <c r="D83" i="19"/>
  <c r="D75" i="19"/>
  <c r="D67" i="19"/>
  <c r="D59" i="19"/>
  <c r="D51" i="19"/>
  <c r="D43" i="19"/>
  <c r="D35" i="19"/>
  <c r="D27" i="19"/>
  <c r="D19" i="19"/>
  <c r="D13" i="19"/>
  <c r="D226" i="19"/>
  <c r="D210" i="19"/>
  <c r="D202" i="19"/>
  <c r="D194" i="19"/>
  <c r="D178" i="19"/>
  <c r="D162" i="19"/>
  <c r="D154" i="19"/>
  <c r="D138" i="19"/>
  <c r="D114" i="19"/>
  <c r="D98" i="19"/>
  <c r="D82" i="19"/>
  <c r="D74" i="19"/>
  <c r="D50" i="19"/>
  <c r="D42" i="19"/>
  <c r="D26" i="19"/>
  <c r="D18" i="19"/>
  <c r="D233" i="19"/>
  <c r="D201" i="19"/>
  <c r="D185" i="19"/>
  <c r="D169" i="19"/>
  <c r="D153" i="19"/>
  <c r="D137" i="19"/>
  <c r="D121" i="19"/>
  <c r="D105" i="19"/>
  <c r="D89" i="19"/>
  <c r="D81" i="19"/>
  <c r="D65" i="19"/>
  <c r="D49" i="19"/>
  <c r="D33" i="19"/>
  <c r="D17" i="19"/>
  <c r="D232" i="19"/>
  <c r="D224" i="19"/>
  <c r="D208" i="19"/>
  <c r="D200" i="19"/>
  <c r="D184" i="19"/>
  <c r="D168" i="19"/>
  <c r="D152" i="19"/>
  <c r="D136" i="19"/>
  <c r="D120" i="19"/>
  <c r="D104" i="19"/>
  <c r="D88" i="19"/>
  <c r="D72" i="19"/>
  <c r="D64" i="19"/>
  <c r="D40" i="19"/>
  <c r="D24" i="19"/>
  <c r="D231" i="19"/>
  <c r="D215" i="19"/>
  <c r="D191" i="19"/>
  <c r="D175" i="19"/>
  <c r="D167" i="19"/>
  <c r="D159" i="19"/>
  <c r="D151" i="19"/>
  <c r="D143" i="19"/>
  <c r="D135" i="19"/>
  <c r="D127" i="19"/>
  <c r="D119" i="19"/>
  <c r="D111" i="19"/>
  <c r="D103" i="19"/>
  <c r="D95" i="19"/>
  <c r="D87" i="19"/>
  <c r="D79" i="19"/>
  <c r="D71" i="19"/>
  <c r="D63" i="19"/>
  <c r="D55" i="19"/>
  <c r="D47" i="19"/>
  <c r="D39" i="19"/>
  <c r="D31" i="19"/>
  <c r="D23" i="19"/>
  <c r="D16" i="19" a="1"/>
  <c r="D230" i="19"/>
  <c r="D222" i="19"/>
  <c r="D214" i="19"/>
  <c r="D206" i="19"/>
  <c r="D198" i="19"/>
  <c r="D190" i="19"/>
  <c r="D182" i="19"/>
  <c r="D174" i="19"/>
  <c r="D166" i="19"/>
  <c r="D158" i="19"/>
  <c r="D150" i="19"/>
  <c r="D142" i="19"/>
  <c r="D134" i="19"/>
  <c r="D126" i="19"/>
  <c r="D118" i="19"/>
  <c r="D110" i="19"/>
  <c r="D102" i="19"/>
  <c r="D94" i="19"/>
  <c r="D86" i="19"/>
  <c r="D78" i="19"/>
  <c r="D70" i="19"/>
  <c r="D62" i="19"/>
  <c r="D46" i="19"/>
  <c r="D38" i="19"/>
  <c r="D30" i="19"/>
  <c r="D22" i="19"/>
  <c r="D234" i="19"/>
  <c r="D54" i="19"/>
  <c r="D229" i="19"/>
  <c r="D165" i="19"/>
  <c r="D101" i="19"/>
  <c r="D37" i="19"/>
  <c r="D221" i="19"/>
  <c r="D157" i="19"/>
  <c r="D93" i="19"/>
  <c r="D29" i="19"/>
  <c r="D61" i="19"/>
  <c r="D117" i="19"/>
  <c r="D173" i="19"/>
  <c r="D45" i="19"/>
  <c r="D213" i="19"/>
  <c r="D149" i="19"/>
  <c r="D85" i="19"/>
  <c r="D21" i="19"/>
  <c r="D205" i="19"/>
  <c r="D141" i="19"/>
  <c r="D77" i="19"/>
  <c r="D15" i="19" a="1"/>
  <c r="D197" i="19"/>
  <c r="D133" i="19"/>
  <c r="D69" i="19"/>
  <c r="D189" i="19"/>
  <c r="D125" i="19"/>
  <c r="D181" i="19"/>
  <c r="D53" i="19"/>
  <c r="D109" i="19"/>
  <c r="D15" i="19" l="1"/>
  <c r="D16" i="19"/>
  <c r="D12" i="19"/>
  <c r="A9" i="19"/>
  <c r="A2" i="19" l="1"/>
  <c r="B9" i="18" l="1"/>
  <c r="B9" i="17"/>
  <c r="B9" i="16"/>
  <c r="B9" i="14"/>
  <c r="F145" i="19" l="1" a="1"/>
  <c r="F194" i="19" a="1"/>
  <c r="F25" i="19" a="1"/>
  <c r="F212" i="19" a="1"/>
  <c r="E100" i="19" a="1"/>
  <c r="B185" i="19" a="1"/>
  <c r="B59" i="19" a="1"/>
  <c r="E136" i="19" a="1"/>
  <c r="B86" i="19" a="1"/>
  <c r="C69" i="19" a="1"/>
  <c r="E188" i="19" a="1"/>
  <c r="B218" i="19" a="1"/>
  <c r="E45" i="19" a="1"/>
  <c r="B57" i="19" a="1"/>
  <c r="F190" i="19" a="1"/>
  <c r="F128" i="19" a="1"/>
  <c r="F231" i="19" a="1"/>
  <c r="E43" i="19" a="1"/>
  <c r="B212" i="19" a="1"/>
  <c r="B211" i="19" a="1"/>
  <c r="E227" i="19" a="1"/>
  <c r="B158" i="19" a="1"/>
  <c r="E103" i="19" a="1"/>
  <c r="B229" i="19" a="1"/>
  <c r="C128" i="19" a="1"/>
  <c r="C115" i="19" a="1"/>
  <c r="E213" i="19" a="1"/>
  <c r="E224" i="19" a="1"/>
  <c r="F38" i="19" a="1"/>
  <c r="F188" i="19" a="1"/>
  <c r="F118" i="19" a="1"/>
  <c r="F164" i="19" a="1"/>
  <c r="E174" i="19" a="1"/>
  <c r="C137" i="19" a="1"/>
  <c r="C14" i="19" a="1"/>
  <c r="B123" i="19" a="1"/>
  <c r="E234" i="19" a="1"/>
  <c r="E79" i="19" a="1"/>
  <c r="B17" i="19" a="1"/>
  <c r="B131" i="19" a="1"/>
  <c r="F109" i="19" a="1"/>
  <c r="F111" i="19" a="1"/>
  <c r="F105" i="19" a="1"/>
  <c r="F125" i="19" a="1"/>
  <c r="C60" i="19" a="1"/>
  <c r="C233" i="19" a="1"/>
  <c r="C33" i="19" a="1"/>
  <c r="B188" i="19" a="1"/>
  <c r="E24" i="19" a="1"/>
  <c r="B162" i="19" a="1"/>
  <c r="B135" i="19" a="1"/>
  <c r="B52" i="19" a="1"/>
  <c r="C50" i="19" a="1"/>
  <c r="C76" i="19" a="1"/>
  <c r="F201" i="19" a="1"/>
  <c r="F223" i="19" a="1"/>
  <c r="F161" i="19" a="1"/>
  <c r="F178" i="19" a="1"/>
  <c r="E169" i="19" a="1"/>
  <c r="B144" i="19" a="1"/>
  <c r="C126" i="19" a="1"/>
  <c r="C149" i="19" a="1"/>
  <c r="E15" i="19" a="1"/>
  <c r="B217" i="19" a="1"/>
  <c r="E121" i="19" a="1"/>
  <c r="B174" i="19" a="1"/>
  <c r="E222" i="19" a="1"/>
  <c r="C36" i="19" a="1"/>
  <c r="F104" i="19" a="1"/>
  <c r="F77" i="19" a="1"/>
  <c r="F172" i="19" a="1"/>
  <c r="F236" i="19" a="1"/>
  <c r="E225" i="19" a="1"/>
  <c r="B235" i="19" a="1"/>
  <c r="B40" i="19" a="1"/>
  <c r="B153" i="19" a="1"/>
  <c r="C200" i="19" a="1"/>
  <c r="C80" i="19" a="1"/>
  <c r="E18" i="19" a="1"/>
  <c r="B14" i="19" a="1"/>
  <c r="E14" i="19" a="1"/>
  <c r="C32" i="19" a="1"/>
  <c r="B116" i="19" a="1"/>
  <c r="F186" i="19" a="1"/>
  <c r="E98" i="19" a="1"/>
  <c r="B92" i="19" a="1"/>
  <c r="B194" i="19" a="1"/>
  <c r="C194" i="19" a="1"/>
  <c r="E30" i="19" a="1"/>
  <c r="C39" i="19" a="1"/>
  <c r="B121" i="19" a="1"/>
  <c r="B85" i="19" a="1"/>
  <c r="E154" i="19" a="1"/>
  <c r="C121" i="19" a="1"/>
  <c r="B137" i="19" a="1"/>
  <c r="C64" i="19" a="1"/>
  <c r="C109" i="19" a="1"/>
  <c r="F138" i="19" a="1"/>
  <c r="E101" i="19" a="1"/>
  <c r="C119" i="19" a="1"/>
  <c r="E83" i="19" a="1"/>
  <c r="B96" i="19" a="1"/>
  <c r="C216" i="19" a="1"/>
  <c r="F203" i="19" a="1"/>
  <c r="C85" i="19" a="1"/>
  <c r="E163" i="19" a="1"/>
  <c r="E183" i="19" a="1"/>
  <c r="E96" i="19" a="1"/>
  <c r="B130" i="19" a="1"/>
  <c r="E138" i="19" a="1"/>
  <c r="F134" i="19" a="1"/>
  <c r="F24" i="19" a="1"/>
  <c r="F141" i="19" a="1"/>
  <c r="F139" i="19" a="1"/>
  <c r="E54" i="19" a="1"/>
  <c r="B35" i="19" a="1"/>
  <c r="E157" i="19" a="1"/>
  <c r="B138" i="19" a="1"/>
  <c r="F220" i="19" a="1"/>
  <c r="F229" i="19" a="1"/>
  <c r="F187" i="19" a="1"/>
  <c r="C124" i="19" a="1"/>
  <c r="E88" i="19" a="1"/>
  <c r="B62" i="19" a="1"/>
  <c r="B225" i="19" a="1"/>
  <c r="B101" i="19" a="1"/>
  <c r="C146" i="19" a="1"/>
  <c r="B193" i="19" a="1"/>
  <c r="C136" i="19" a="1"/>
  <c r="B120" i="19" a="1"/>
  <c r="C192" i="19" a="1"/>
  <c r="F132" i="19" a="1"/>
  <c r="F89" i="19" a="1"/>
  <c r="F131" i="19" a="1"/>
  <c r="F206" i="19" a="1"/>
  <c r="E111" i="19" a="1"/>
  <c r="C13" i="19" a="1"/>
  <c r="B110" i="19" a="1"/>
  <c r="C63" i="19" a="1"/>
  <c r="E231" i="19" a="1"/>
  <c r="F98" i="19" a="1"/>
  <c r="F224" i="19" a="1"/>
  <c r="F174" i="19" a="1"/>
  <c r="F169" i="19" a="1"/>
  <c r="C172" i="19" a="1"/>
  <c r="B58" i="19" a="1"/>
  <c r="C159" i="19" a="1"/>
  <c r="E74" i="19" a="1"/>
  <c r="B127" i="19" a="1"/>
  <c r="B100" i="19" a="1"/>
  <c r="C54" i="19" a="1"/>
  <c r="B167" i="19" a="1"/>
  <c r="F159" i="19" a="1"/>
  <c r="F120" i="19" a="1"/>
  <c r="F22" i="19" a="1"/>
  <c r="F191" i="19" a="1"/>
  <c r="B38" i="19" a="1"/>
  <c r="B220" i="19" a="1"/>
  <c r="E158" i="19" a="1"/>
  <c r="E155" i="19" a="1"/>
  <c r="E68" i="19" a="1"/>
  <c r="B106" i="19" a="1"/>
  <c r="C58" i="19" a="1"/>
  <c r="E193" i="19" a="1"/>
  <c r="F99" i="19" a="1"/>
  <c r="F123" i="19" a="1"/>
  <c r="F29" i="19" a="1"/>
  <c r="C34" i="19" a="1"/>
  <c r="C70" i="19" a="1"/>
  <c r="B44" i="19" a="1"/>
  <c r="B43" i="19" a="1"/>
  <c r="E191" i="19" a="1"/>
  <c r="E220" i="19" a="1"/>
  <c r="C57" i="19" a="1"/>
  <c r="E153" i="19" a="1"/>
  <c r="F171" i="19" a="1"/>
  <c r="E171" i="19" a="1"/>
  <c r="E105" i="19" a="1"/>
  <c r="F121" i="19" a="1"/>
  <c r="F233" i="19" a="1"/>
  <c r="F218" i="19" a="1"/>
  <c r="E131" i="19" a="1"/>
  <c r="B87" i="19" a="1"/>
  <c r="B150" i="19" a="1"/>
  <c r="B95" i="19" a="1"/>
  <c r="E219" i="19" a="1"/>
  <c r="B129" i="19" a="1"/>
  <c r="E33" i="19" a="1"/>
  <c r="F151" i="19" a="1"/>
  <c r="B73" i="19" a="1"/>
  <c r="B113" i="19" a="1"/>
  <c r="B117" i="19" a="1"/>
  <c r="C218" i="19" a="1"/>
  <c r="E172" i="19" a="1"/>
  <c r="C37" i="19" a="1"/>
  <c r="C99" i="19" a="1"/>
  <c r="F217" i="19" a="1"/>
  <c r="C188" i="19" a="1"/>
  <c r="C152" i="19" a="1"/>
  <c r="C125" i="19" a="1"/>
  <c r="C174" i="19" a="1"/>
  <c r="B67" i="19" a="1"/>
  <c r="B99" i="19" a="1"/>
  <c r="C148" i="19" a="1"/>
  <c r="F147" i="19" a="1"/>
  <c r="F47" i="19" a="1"/>
  <c r="F146" i="19" a="1"/>
  <c r="F168" i="19" a="1"/>
  <c r="C166" i="19" a="1"/>
  <c r="E180" i="19" a="1"/>
  <c r="C88" i="19" a="1"/>
  <c r="E168" i="19" a="1"/>
  <c r="C22" i="19" a="1"/>
  <c r="B45" i="19" a="1"/>
  <c r="B39" i="19" a="1"/>
  <c r="B184" i="19" a="1"/>
  <c r="E223" i="19" a="1"/>
  <c r="F85" i="19" a="1"/>
  <c r="F130" i="19" a="1"/>
  <c r="F96" i="19" a="1"/>
  <c r="C198" i="19" a="1"/>
  <c r="B27" i="19" a="1"/>
  <c r="C222" i="19" a="1"/>
  <c r="B183" i="19" a="1"/>
  <c r="C20" i="19" a="1"/>
  <c r="B49" i="19" a="1"/>
  <c r="E149" i="19" a="1"/>
  <c r="B204" i="19" a="1"/>
  <c r="E80" i="19" a="1"/>
  <c r="E12" i="19" a="1"/>
  <c r="F93" i="19" a="1"/>
  <c r="F198" i="19" a="1"/>
  <c r="F152" i="19" a="1"/>
  <c r="F14" i="19" a="1"/>
  <c r="E113" i="19" a="1"/>
  <c r="E156" i="19" a="1"/>
  <c r="B63" i="19" a="1"/>
  <c r="E55" i="19" a="1"/>
  <c r="B128" i="19" a="1"/>
  <c r="E145" i="19" a="1"/>
  <c r="E112" i="19" a="1"/>
  <c r="B83" i="19" a="1"/>
  <c r="F180" i="19" a="1"/>
  <c r="F95" i="19" a="1"/>
  <c r="F199" i="19" a="1"/>
  <c r="F135" i="19" a="1"/>
  <c r="B30" i="19" a="1"/>
  <c r="E215" i="19" a="1"/>
  <c r="B213" i="19" a="1"/>
  <c r="B13" i="19" a="1"/>
  <c r="E217" i="19" a="1"/>
  <c r="B169" i="19" a="1"/>
  <c r="C157" i="19" a="1"/>
  <c r="C176" i="19" a="1"/>
  <c r="C215" i="19" a="1"/>
  <c r="E133" i="19" a="1"/>
  <c r="B207" i="19" a="1"/>
  <c r="F36" i="19" a="1"/>
  <c r="F197" i="19" a="1"/>
  <c r="F116" i="19" a="1"/>
  <c r="F124" i="19" a="1"/>
  <c r="C66" i="19" a="1"/>
  <c r="E66" i="19" a="1"/>
  <c r="B228" i="19" a="1"/>
  <c r="C122" i="19" a="1"/>
  <c r="B94" i="19" a="1"/>
  <c r="B148" i="19" a="1"/>
  <c r="B134" i="19" a="1"/>
  <c r="B22" i="19" a="1"/>
  <c r="C212" i="19" a="1"/>
  <c r="E129" i="19" a="1"/>
  <c r="B202" i="19" a="1"/>
  <c r="F46" i="19" a="1"/>
  <c r="F228" i="19" a="1"/>
  <c r="F97" i="19" a="1"/>
  <c r="C62" i="19" a="1"/>
  <c r="E32" i="19" a="1"/>
  <c r="E94" i="19" a="1"/>
  <c r="E161" i="19" a="1"/>
  <c r="B182" i="19" a="1"/>
  <c r="E214" i="19" a="1"/>
  <c r="B180" i="19" a="1"/>
  <c r="E137" i="19" a="1"/>
  <c r="B89" i="19" a="1"/>
  <c r="F156" i="19" a="1"/>
  <c r="B124" i="19" a="1"/>
  <c r="E109" i="19" a="1"/>
  <c r="E135" i="19" a="1"/>
  <c r="F167" i="19" a="1"/>
  <c r="C144" i="19" a="1"/>
  <c r="E35" i="19" a="1"/>
  <c r="E221" i="19" a="1"/>
  <c r="C48" i="19" a="1"/>
  <c r="C71" i="19" a="1"/>
  <c r="F136" i="19" a="1"/>
  <c r="F54" i="19" a="1"/>
  <c r="E13" i="19" a="1"/>
  <c r="B32" i="19" a="1"/>
  <c r="E27" i="19" a="1"/>
  <c r="C195" i="19" a="1"/>
  <c r="C82" i="19" a="1"/>
  <c r="C203" i="19" a="1"/>
  <c r="C110" i="19" a="1"/>
  <c r="F113" i="19" a="1"/>
  <c r="B97" i="19" a="1"/>
  <c r="C100" i="19" a="1"/>
  <c r="C16" i="19" a="1"/>
  <c r="B219" i="19" a="1"/>
  <c r="F175" i="19" a="1"/>
  <c r="F216" i="19" a="1"/>
  <c r="F204" i="19" a="1"/>
  <c r="F26" i="19" a="1"/>
  <c r="F208" i="19" a="1"/>
  <c r="F31" i="19" a="1"/>
  <c r="C61" i="19" a="1"/>
  <c r="E46" i="19" a="1"/>
  <c r="B24" i="19" a="1"/>
  <c r="B154" i="19" a="1"/>
  <c r="C147" i="19" a="1"/>
  <c r="E63" i="19" a="1"/>
  <c r="E128" i="19" a="1"/>
  <c r="E116" i="19" a="1"/>
  <c r="F157" i="19" a="1"/>
  <c r="F226" i="19" a="1"/>
  <c r="F91" i="19" a="1"/>
  <c r="F28" i="19" a="1"/>
  <c r="B170" i="19" a="1"/>
  <c r="E162" i="19" a="1"/>
  <c r="B68" i="19" a="1"/>
  <c r="E177" i="19" a="1"/>
  <c r="B64" i="19" a="1"/>
  <c r="E102" i="19" a="1"/>
  <c r="B54" i="19" a="1"/>
  <c r="E194" i="19" a="1"/>
  <c r="F74" i="19" a="1"/>
  <c r="F32" i="19" a="1"/>
  <c r="F195" i="19" a="1"/>
  <c r="C26" i="19" a="1"/>
  <c r="C177" i="19" a="1"/>
  <c r="B72" i="19" a="1"/>
  <c r="C209" i="19" a="1"/>
  <c r="B177" i="19" a="1"/>
  <c r="C191" i="19" a="1"/>
  <c r="E115" i="19" a="1"/>
  <c r="E48" i="19" a="1"/>
  <c r="F19" i="19" a="1"/>
  <c r="F230" i="19" a="1"/>
  <c r="F115" i="19" a="1"/>
  <c r="F72" i="19" a="1"/>
  <c r="C120" i="19" a="1"/>
  <c r="E26" i="19" a="1"/>
  <c r="C197" i="19" a="1"/>
  <c r="B66" i="19" a="1"/>
  <c r="B210" i="19" a="1"/>
  <c r="C104" i="19" a="1"/>
  <c r="B156" i="19" a="1"/>
  <c r="C103" i="19" a="1"/>
  <c r="F63" i="19" a="1"/>
  <c r="F122" i="19" a="1"/>
  <c r="F61" i="19" a="1"/>
  <c r="E142" i="19" a="1"/>
  <c r="C59" i="19" a="1"/>
  <c r="B16" i="19" a="1"/>
  <c r="E210" i="19" a="1"/>
  <c r="E148" i="19" a="1"/>
  <c r="C156" i="19" a="1"/>
  <c r="F133" i="19" a="1"/>
  <c r="F179" i="19" a="1"/>
  <c r="F193" i="19" a="1"/>
  <c r="B164" i="19" a="1"/>
  <c r="B151" i="19" a="1"/>
  <c r="B74" i="19" a="1"/>
  <c r="E124" i="19" a="1"/>
  <c r="C87" i="19" a="1"/>
  <c r="C68" i="19" a="1"/>
  <c r="B214" i="19" a="1"/>
  <c r="B26" i="19" a="1"/>
  <c r="E139" i="19" a="1"/>
  <c r="F182" i="19" a="1"/>
  <c r="F84" i="19" a="1"/>
  <c r="F137" i="19" a="1"/>
  <c r="F108" i="19" a="1"/>
  <c r="E209" i="19" a="1"/>
  <c r="B179" i="19" a="1"/>
  <c r="C21" i="19" a="1"/>
  <c r="C163" i="19" a="1"/>
  <c r="E99" i="19" a="1"/>
  <c r="E62" i="19" a="1"/>
  <c r="C92" i="19" a="1"/>
  <c r="B111" i="19" a="1"/>
  <c r="B199" i="19" a="1"/>
  <c r="B114" i="19" a="1"/>
  <c r="C83" i="19" a="1"/>
  <c r="F219" i="19" a="1"/>
  <c r="F177" i="19" a="1"/>
  <c r="F83" i="19" a="1"/>
  <c r="B55" i="19" a="1"/>
  <c r="B171" i="19" a="1"/>
  <c r="C235" i="19" a="1"/>
  <c r="C138" i="19" a="1"/>
  <c r="B12" i="19" a="1"/>
  <c r="C168" i="19" a="1"/>
  <c r="C90" i="19" a="1"/>
  <c r="B157" i="19" a="1"/>
  <c r="F142" i="19" a="1"/>
  <c r="F92" i="19" a="1"/>
  <c r="F40" i="19" a="1"/>
  <c r="B143" i="19" a="1"/>
  <c r="B197" i="19" a="1"/>
  <c r="C229" i="19" a="1"/>
  <c r="E159" i="19" a="1"/>
  <c r="B152" i="19" a="1"/>
  <c r="E75" i="19" a="1"/>
  <c r="B145" i="19" a="1"/>
  <c r="E59" i="19" a="1"/>
  <c r="B166" i="19" a="1"/>
  <c r="B71" i="19" a="1"/>
  <c r="F222" i="19" a="1"/>
  <c r="F192" i="19" a="1"/>
  <c r="F80" i="19" a="1"/>
  <c r="E167" i="19" a="1"/>
  <c r="C97" i="19" a="1"/>
  <c r="C107" i="19" a="1"/>
  <c r="B65" i="19" a="1"/>
  <c r="C225" i="19" a="1"/>
  <c r="E31" i="19" a="1"/>
  <c r="E92" i="19" a="1"/>
  <c r="B146" i="19" a="1"/>
  <c r="C187" i="19" a="1"/>
  <c r="C193" i="19" a="1"/>
  <c r="B41" i="19" a="1"/>
  <c r="F41" i="19" a="1"/>
  <c r="F234" i="19" a="1"/>
  <c r="F44" i="19" a="1"/>
  <c r="C145" i="19" a="1"/>
  <c r="B226" i="19" a="1"/>
  <c r="C153" i="19" a="1"/>
  <c r="B231" i="19" a="1"/>
  <c r="E184" i="19" a="1"/>
  <c r="C180" i="19" a="1"/>
  <c r="C211" i="19" a="1"/>
  <c r="B232" i="19" a="1"/>
  <c r="F176" i="19" a="1"/>
  <c r="E181" i="19" a="1"/>
  <c r="C206" i="19" a="1"/>
  <c r="C47" i="19" a="1"/>
  <c r="F59" i="19" a="1"/>
  <c r="E212" i="19" a="1"/>
  <c r="C234" i="19" a="1"/>
  <c r="B175" i="19" a="1"/>
  <c r="B173" i="19" a="1"/>
  <c r="B234" i="19" a="1"/>
  <c r="F16" i="19" a="1"/>
  <c r="C207" i="19" a="1"/>
  <c r="E58" i="19" a="1"/>
  <c r="E57" i="19" a="1"/>
  <c r="B168" i="19" a="1"/>
  <c r="C140" i="19" a="1"/>
  <c r="E20" i="19" a="1"/>
  <c r="F205" i="19" a="1"/>
  <c r="F68" i="19" a="1"/>
  <c r="E126" i="19" a="1"/>
  <c r="C123" i="19" a="1"/>
  <c r="E205" i="19" a="1"/>
  <c r="C91" i="19" a="1"/>
  <c r="C112" i="19" a="1"/>
  <c r="F33" i="19" a="1"/>
  <c r="F106" i="19" a="1"/>
  <c r="F64" i="19" a="1"/>
  <c r="F126" i="19" a="1"/>
  <c r="B161" i="19" a="1"/>
  <c r="B118" i="19" a="1"/>
  <c r="C155" i="19" a="1"/>
  <c r="C133" i="19" a="1"/>
  <c r="E17" i="19" a="1"/>
  <c r="C202" i="19" a="1"/>
  <c r="C106" i="19" a="1"/>
  <c r="E190" i="19" a="1"/>
  <c r="B208" i="19" a="1"/>
  <c r="E202" i="19" a="1"/>
  <c r="F235" i="19" a="1"/>
  <c r="F153" i="19" a="1"/>
  <c r="F143" i="19" a="1"/>
  <c r="F117" i="19" a="1"/>
  <c r="B165" i="19" a="1"/>
  <c r="C111" i="19" a="1"/>
  <c r="B159" i="19" a="1"/>
  <c r="B23" i="19" a="1"/>
  <c r="B109" i="19" a="1"/>
  <c r="B201" i="19" a="1"/>
  <c r="B189" i="19" a="1"/>
  <c r="C67" i="19" a="1"/>
  <c r="E95" i="19" a="1"/>
  <c r="E140" i="19" a="1"/>
  <c r="F112" i="19" a="1"/>
  <c r="F34" i="19" a="1"/>
  <c r="F65" i="19" a="1"/>
  <c r="B90" i="19" a="1"/>
  <c r="E179" i="19" a="1"/>
  <c r="C49" i="19" a="1"/>
  <c r="B31" i="19" a="1"/>
  <c r="B56" i="19" a="1"/>
  <c r="C113" i="19" a="1"/>
  <c r="E204" i="19" a="1"/>
  <c r="C223" i="19" a="1"/>
  <c r="F155" i="19" a="1"/>
  <c r="F185" i="19" a="1"/>
  <c r="F170" i="19" a="1"/>
  <c r="E203" i="19" a="1"/>
  <c r="C65" i="19" a="1"/>
  <c r="E228" i="19" a="1"/>
  <c r="B50" i="19" a="1"/>
  <c r="E71" i="19" a="1"/>
  <c r="E44" i="19" a="1"/>
  <c r="B186" i="19" a="1"/>
  <c r="B233" i="19" a="1"/>
  <c r="C190" i="19" a="1"/>
  <c r="F76" i="19" a="1"/>
  <c r="F69" i="19" a="1"/>
  <c r="F100" i="19" a="1"/>
  <c r="E22" i="19" a="1"/>
  <c r="B191" i="19" a="1"/>
  <c r="E164" i="19" a="1"/>
  <c r="B155" i="19" a="1"/>
  <c r="B51" i="19" a="1"/>
  <c r="E141" i="19" a="1"/>
  <c r="C17" i="19" a="1"/>
  <c r="B132" i="19" a="1"/>
  <c r="F71" i="19" a="1"/>
  <c r="F150" i="19" a="1"/>
  <c r="F209" i="19" a="1"/>
  <c r="F119" i="19" a="1"/>
  <c r="E235" i="19" a="1"/>
  <c r="C53" i="19" a="1"/>
  <c r="C219" i="19" a="1"/>
  <c r="C170" i="19" a="1"/>
  <c r="B176" i="19" a="1"/>
  <c r="E207" i="19" a="1"/>
  <c r="C224" i="19" a="1"/>
  <c r="C86" i="19" a="1"/>
  <c r="F13" i="19" a="1"/>
  <c r="E146" i="19" a="1"/>
  <c r="E90" i="19" a="1"/>
  <c r="C141" i="19" a="1"/>
  <c r="C205" i="19" a="1"/>
  <c r="B115" i="19" a="1"/>
  <c r="B209" i="19" a="1"/>
  <c r="F50" i="19" a="1"/>
  <c r="E197" i="19" a="1"/>
  <c r="E72" i="19" a="1"/>
  <c r="B147" i="19" a="1"/>
  <c r="C40" i="19" a="1"/>
  <c r="E89" i="19" a="1"/>
  <c r="F56" i="19" a="1"/>
  <c r="B20" i="19" a="1"/>
  <c r="E143" i="19" a="1"/>
  <c r="C81" i="19" a="1"/>
  <c r="E84" i="19" a="1"/>
  <c r="E76" i="19" a="1"/>
  <c r="F42" i="19" a="1"/>
  <c r="F48" i="19" a="1"/>
  <c r="C230" i="19" a="1"/>
  <c r="C164" i="19" a="1"/>
  <c r="C208" i="19" a="1"/>
  <c r="E81" i="19" a="1"/>
  <c r="F166" i="19" a="1"/>
  <c r="E93" i="19" a="1"/>
  <c r="F184" i="19" a="1"/>
  <c r="F43" i="19" a="1"/>
  <c r="F81" i="19" a="1"/>
  <c r="B190" i="19" a="1"/>
  <c r="B105" i="19" a="1"/>
  <c r="C44" i="19" a="1"/>
  <c r="E97" i="19" a="1"/>
  <c r="B104" i="19" a="1"/>
  <c r="E87" i="19" a="1"/>
  <c r="C89" i="19" a="1"/>
  <c r="E187" i="19" a="1"/>
  <c r="B34" i="19" a="1"/>
  <c r="F17" i="19" a="1"/>
  <c r="F94" i="19" a="1"/>
  <c r="F20" i="19" a="1"/>
  <c r="F214" i="19" a="1"/>
  <c r="E186" i="19" a="1"/>
  <c r="B196" i="19" a="1"/>
  <c r="E104" i="19" a="1"/>
  <c r="E189" i="19" a="1"/>
  <c r="C72" i="19" a="1"/>
  <c r="C35" i="19" a="1"/>
  <c r="E130" i="19" a="1"/>
  <c r="C232" i="19" a="1"/>
  <c r="F53" i="19" a="1"/>
  <c r="F165" i="19" a="1"/>
  <c r="F57" i="19" a="1"/>
  <c r="F90" i="19" a="1"/>
  <c r="C24" i="19" a="1"/>
  <c r="B139" i="19" a="1"/>
  <c r="E39" i="19" a="1"/>
  <c r="E85" i="19" a="1"/>
  <c r="C42" i="19" a="1"/>
  <c r="C116" i="19" a="1"/>
  <c r="C29" i="19" a="1"/>
  <c r="B119" i="19" a="1"/>
  <c r="E23" i="19" a="1"/>
  <c r="F27" i="19" a="1"/>
  <c r="F102" i="19" a="1"/>
  <c r="F110" i="19" a="1"/>
  <c r="B125" i="19" a="1"/>
  <c r="C30" i="19" a="1"/>
  <c r="E199" i="19" a="1"/>
  <c r="C217" i="19" a="1"/>
  <c r="B103" i="19" a="1"/>
  <c r="B136" i="19" a="1"/>
  <c r="B107" i="19" a="1"/>
  <c r="E107" i="19" a="1"/>
  <c r="F101" i="19" a="1"/>
  <c r="F103" i="19" a="1"/>
  <c r="F202" i="19" a="1"/>
  <c r="F207" i="19" a="1"/>
  <c r="B93" i="19" a="1"/>
  <c r="E61" i="19" a="1"/>
  <c r="C75" i="19" a="1"/>
  <c r="B181" i="19" a="1"/>
  <c r="B149" i="19" a="1"/>
  <c r="E119" i="19" a="1"/>
  <c r="E41" i="19" a="1"/>
  <c r="E123" i="19" a="1"/>
  <c r="C171" i="19" a="1"/>
  <c r="F66" i="19" a="1"/>
  <c r="F163" i="19" a="1"/>
  <c r="F75" i="19" a="1"/>
  <c r="F154" i="19" a="1"/>
  <c r="E144" i="19" a="1"/>
  <c r="C135" i="19" a="1"/>
  <c r="B82" i="19" a="1"/>
  <c r="C173" i="19" a="1"/>
  <c r="C55" i="19" a="1"/>
  <c r="B76" i="19" a="1"/>
  <c r="C12" i="19" a="1"/>
  <c r="E86" i="19" a="1"/>
  <c r="E25" i="19" a="1"/>
  <c r="E166" i="19" a="1"/>
  <c r="B142" i="19" a="1"/>
  <c r="B172" i="19" a="1"/>
  <c r="F200" i="19" a="1"/>
  <c r="E134" i="19" a="1"/>
  <c r="B69" i="19" a="1"/>
  <c r="C96" i="19" a="1"/>
  <c r="B70" i="19" a="1"/>
  <c r="C25" i="19" a="1"/>
  <c r="E82" i="19" a="1"/>
  <c r="F73" i="19" a="1"/>
  <c r="B126" i="19" a="1"/>
  <c r="C127" i="19" a="1"/>
  <c r="C162" i="19" a="1"/>
  <c r="C52" i="19" a="1"/>
  <c r="C167" i="19" a="1"/>
  <c r="E36" i="19" a="1"/>
  <c r="F51" i="19" a="1"/>
  <c r="E51" i="19" a="1"/>
  <c r="B15" i="19" a="1"/>
  <c r="C199" i="19" a="1"/>
  <c r="C78" i="19" a="1"/>
  <c r="F52" i="19" a="1"/>
  <c r="F221" i="19" a="1"/>
  <c r="F70" i="19" a="1"/>
  <c r="F196" i="19" a="1"/>
  <c r="E232" i="19" a="1"/>
  <c r="B33" i="19" a="1"/>
  <c r="E29" i="19" a="1"/>
  <c r="C139" i="19" a="1"/>
  <c r="E50" i="19" a="1"/>
  <c r="F107" i="19" a="1"/>
  <c r="B122" i="19" a="1"/>
  <c r="C196" i="19" a="1"/>
  <c r="E170" i="19" a="1"/>
  <c r="B28" i="19" a="1"/>
  <c r="C129" i="19" a="1"/>
  <c r="E152" i="19" a="1"/>
  <c r="B112" i="19" a="1"/>
  <c r="B230" i="19" a="1"/>
  <c r="C221" i="19" a="1"/>
  <c r="F183" i="19" a="1"/>
  <c r="B227" i="19" a="1"/>
  <c r="C95" i="19" a="1"/>
  <c r="B187" i="19" a="1"/>
  <c r="F181" i="19" a="1"/>
  <c r="E201" i="19" a="1"/>
  <c r="E176" i="19" a="1"/>
  <c r="E195" i="19" a="1"/>
  <c r="B198" i="19" a="1"/>
  <c r="B133" i="19" a="1"/>
  <c r="E230" i="19" a="1"/>
  <c r="F62" i="19" a="1"/>
  <c r="E196" i="19" a="1"/>
  <c r="E200" i="19" a="1"/>
  <c r="E160" i="19" a="1"/>
  <c r="E69" i="19" a="1"/>
  <c r="C41" i="19" a="1"/>
  <c r="B216" i="19" a="1"/>
  <c r="B78" i="19" a="1"/>
  <c r="C151" i="19" a="1"/>
  <c r="C98" i="19" a="1"/>
  <c r="B19" i="19" a="1"/>
  <c r="E73" i="19" a="1"/>
  <c r="C28" i="19" a="1"/>
  <c r="F12" i="19" a="1"/>
  <c r="E198" i="19" a="1"/>
  <c r="F149" i="19" a="1"/>
  <c r="C183" i="19" a="1"/>
  <c r="E78" i="19" a="1"/>
  <c r="F86" i="19" a="1"/>
  <c r="E34" i="19" a="1"/>
  <c r="E114" i="19" a="1"/>
  <c r="B108" i="19" a="1"/>
  <c r="C94" i="19" a="1"/>
  <c r="C175" i="19" a="1"/>
  <c r="E125" i="19" a="1"/>
  <c r="C213" i="19" a="1"/>
  <c r="C160" i="19" a="1"/>
  <c r="B222" i="19" a="1"/>
  <c r="E216" i="19" a="1"/>
  <c r="C181" i="19" a="1"/>
  <c r="E21" i="19" a="1"/>
  <c r="F79" i="19" a="1"/>
  <c r="B163" i="19" a="1"/>
  <c r="C154" i="19" a="1"/>
  <c r="B224" i="19" a="1"/>
  <c r="B88" i="19" a="1"/>
  <c r="C105" i="19" a="1"/>
  <c r="B47" i="19" a="1"/>
  <c r="E52" i="19" a="1"/>
  <c r="E236" i="19" a="1"/>
  <c r="C130" i="19" a="1"/>
  <c r="C131" i="19" a="1"/>
  <c r="F213" i="19" a="1"/>
  <c r="B18" i="19" a="1"/>
  <c r="C182" i="19" a="1"/>
  <c r="F49" i="19" a="1"/>
  <c r="B37" i="19" a="1"/>
  <c r="F78" i="19" a="1"/>
  <c r="F39" i="19" a="1"/>
  <c r="C169" i="19" a="1"/>
  <c r="C158" i="19" a="1"/>
  <c r="B75" i="19" a="1"/>
  <c r="F225" i="19" a="1"/>
  <c r="B42" i="19" a="1"/>
  <c r="F55" i="19" a="1"/>
  <c r="C23" i="19" a="1"/>
  <c r="F82" i="19" a="1"/>
  <c r="C228" i="19" a="1"/>
  <c r="B206" i="19" a="1"/>
  <c r="F140" i="19" a="1"/>
  <c r="B61" i="19" a="1"/>
  <c r="E175" i="19" a="1"/>
  <c r="E178" i="19" a="1"/>
  <c r="E192" i="19" a="1"/>
  <c r="E185" i="19" a="1"/>
  <c r="E53" i="19" a="1"/>
  <c r="B91" i="19" a="1"/>
  <c r="E67" i="19" a="1"/>
  <c r="E65" i="19" a="1"/>
  <c r="F158" i="19" a="1"/>
  <c r="B236" i="19" a="1"/>
  <c r="C118" i="19" a="1"/>
  <c r="E60" i="19" a="1"/>
  <c r="C84" i="19" a="1"/>
  <c r="C227" i="19" a="1"/>
  <c r="E233" i="19" a="1"/>
  <c r="E56" i="19" a="1"/>
  <c r="F114" i="19" a="1"/>
  <c r="E118" i="19" a="1"/>
  <c r="F173" i="19" a="1"/>
  <c r="B79" i="19" a="1"/>
  <c r="F37" i="19" a="1"/>
  <c r="E211" i="19" a="1"/>
  <c r="E77" i="19" a="1"/>
  <c r="F129" i="19" a="1"/>
  <c r="C45" i="19" a="1"/>
  <c r="E47" i="19" a="1"/>
  <c r="F23" i="19" a="1"/>
  <c r="E16" i="19" a="1"/>
  <c r="C231" i="19" a="1"/>
  <c r="E38" i="19" a="1"/>
  <c r="B53" i="19" a="1"/>
  <c r="B140" i="19" a="1"/>
  <c r="B81" i="19" a="1"/>
  <c r="E147" i="19" a="1"/>
  <c r="B195" i="19" a="1"/>
  <c r="C73" i="19" a="1"/>
  <c r="B223" i="19" a="1"/>
  <c r="E218" i="19" a="1"/>
  <c r="C179" i="19" a="1"/>
  <c r="B102" i="19" a="1"/>
  <c r="F127" i="19" a="1"/>
  <c r="C74" i="19" a="1"/>
  <c r="C15" i="19" a="1"/>
  <c r="C27" i="19" a="1"/>
  <c r="C51" i="19" a="1"/>
  <c r="E117" i="19" a="1"/>
  <c r="F160" i="19" a="1"/>
  <c r="C31" i="19" a="1"/>
  <c r="C79" i="19" a="1"/>
  <c r="C108" i="19" a="1"/>
  <c r="B215" i="19" a="1"/>
  <c r="C19" i="19" a="1"/>
  <c r="C201" i="19" a="1"/>
  <c r="F189" i="19" a="1"/>
  <c r="B141" i="19" a="1"/>
  <c r="F45" i="19" a="1"/>
  <c r="F67" i="19" a="1"/>
  <c r="E122" i="19" a="1"/>
  <c r="F60" i="19" a="1"/>
  <c r="F35" i="19" a="1"/>
  <c r="E42" i="19" a="1"/>
  <c r="E110" i="19" a="1"/>
  <c r="B46" i="19" a="1"/>
  <c r="B36" i="19" a="1"/>
  <c r="E150" i="19" a="1"/>
  <c r="F21" i="19" a="1"/>
  <c r="B21" i="19" a="1"/>
  <c r="F148" i="19" a="1"/>
  <c r="F162" i="19" a="1"/>
  <c r="C101" i="19" a="1"/>
  <c r="C186" i="19" a="1"/>
  <c r="B48" i="19" a="1"/>
  <c r="B25" i="19" a="1"/>
  <c r="E108" i="19" a="1"/>
  <c r="C189" i="19" a="1"/>
  <c r="C46" i="19" a="1"/>
  <c r="C236" i="19" a="1"/>
  <c r="B77" i="19" a="1"/>
  <c r="B98" i="19" a="1"/>
  <c r="E40" i="19" a="1"/>
  <c r="F88" i="19" a="1"/>
  <c r="B160" i="19" a="1"/>
  <c r="E127" i="19" a="1"/>
  <c r="C134" i="19" a="1"/>
  <c r="E165" i="19" a="1"/>
  <c r="E206" i="19" a="1"/>
  <c r="B80" i="19" a="1"/>
  <c r="C220" i="19" a="1"/>
  <c r="C132" i="19" a="1"/>
  <c r="C185" i="19" a="1"/>
  <c r="E173" i="19" a="1"/>
  <c r="C93" i="19" a="1"/>
  <c r="C18" i="19" a="1"/>
  <c r="B203" i="19" a="1"/>
  <c r="F30" i="19" a="1"/>
  <c r="E151" i="19" a="1"/>
  <c r="C184" i="19" a="1"/>
  <c r="C117" i="19" a="1"/>
  <c r="C56" i="19" a="1"/>
  <c r="E37" i="19" a="1"/>
  <c r="E49" i="19" a="1"/>
  <c r="E70" i="19" a="1"/>
  <c r="F227" i="19" a="1"/>
  <c r="F211" i="19" a="1"/>
  <c r="E91" i="19" a="1"/>
  <c r="C214" i="19" a="1"/>
  <c r="E182" i="19" a="1"/>
  <c r="F215" i="19" a="1"/>
  <c r="B192" i="19" a="1"/>
  <c r="C210" i="19" a="1"/>
  <c r="F232" i="19" a="1"/>
  <c r="E132" i="19" a="1"/>
  <c r="F210" i="19" a="1"/>
  <c r="C178" i="19" a="1"/>
  <c r="E229" i="19" a="1"/>
  <c r="C226" i="19" a="1"/>
  <c r="B205" i="19" a="1"/>
  <c r="E226" i="19" a="1"/>
  <c r="E64" i="19" a="1"/>
  <c r="C161" i="19" a="1"/>
  <c r="C43" i="19" a="1"/>
  <c r="F15" i="19" a="1"/>
  <c r="C150" i="19" a="1"/>
  <c r="E106" i="19" a="1"/>
  <c r="F18" i="19" a="1"/>
  <c r="C204" i="19" a="1"/>
  <c r="B221" i="19" a="1"/>
  <c r="B60" i="19" a="1"/>
  <c r="C114" i="19" a="1"/>
  <c r="E120" i="19" a="1"/>
  <c r="C143" i="19" a="1"/>
  <c r="B178" i="19" a="1"/>
  <c r="E208" i="19" a="1"/>
  <c r="B84" i="19" a="1"/>
  <c r="F87" i="19" a="1"/>
  <c r="E28" i="19" a="1"/>
  <c r="C77" i="19" a="1"/>
  <c r="F58" i="19" a="1"/>
  <c r="E19" i="19" a="1"/>
  <c r="C102" i="19" a="1"/>
  <c r="C38" i="19" a="1"/>
  <c r="F144" i="19" a="1"/>
  <c r="B29" i="19" a="1"/>
  <c r="C165" i="19" a="1"/>
  <c r="B200" i="19" a="1"/>
  <c r="C142" i="19" a="1"/>
  <c r="C142" i="19" l="1"/>
  <c r="B200" i="19"/>
  <c r="C165" i="19"/>
  <c r="B29" i="19"/>
  <c r="F144" i="19"/>
  <c r="C38" i="19"/>
  <c r="C102" i="19"/>
  <c r="E19" i="19"/>
  <c r="F58" i="19"/>
  <c r="C77" i="19"/>
  <c r="E28" i="19"/>
  <c r="F87" i="19"/>
  <c r="B84" i="19"/>
  <c r="E208" i="19"/>
  <c r="B178" i="19"/>
  <c r="C143" i="19"/>
  <c r="E120" i="19"/>
  <c r="C114" i="19"/>
  <c r="B60" i="19"/>
  <c r="B221" i="19"/>
  <c r="C204" i="19"/>
  <c r="F18" i="19"/>
  <c r="E106" i="19"/>
  <c r="C150" i="19"/>
  <c r="F15" i="19"/>
  <c r="C43" i="19"/>
  <c r="C161" i="19"/>
  <c r="E64" i="19"/>
  <c r="E226" i="19"/>
  <c r="B205" i="19"/>
  <c r="C226" i="19"/>
  <c r="E229" i="19"/>
  <c r="C178" i="19"/>
  <c r="F210" i="19"/>
  <c r="E132" i="19"/>
  <c r="F232" i="19"/>
  <c r="C210" i="19"/>
  <c r="B192" i="19"/>
  <c r="F215" i="19"/>
  <c r="E182" i="19"/>
  <c r="C214" i="19"/>
  <c r="E91" i="19"/>
  <c r="F211" i="19"/>
  <c r="F227" i="19"/>
  <c r="E70" i="19"/>
  <c r="E49" i="19"/>
  <c r="E37" i="19"/>
  <c r="C56" i="19"/>
  <c r="C117" i="19"/>
  <c r="C184" i="19"/>
  <c r="E151" i="19"/>
  <c r="F30" i="19"/>
  <c r="B203" i="19"/>
  <c r="C18" i="19"/>
  <c r="C93" i="19"/>
  <c r="E173" i="19"/>
  <c r="C185" i="19"/>
  <c r="C132" i="19"/>
  <c r="C220" i="19"/>
  <c r="B80" i="19"/>
  <c r="E206" i="19"/>
  <c r="E165" i="19"/>
  <c r="C134" i="19"/>
  <c r="E127" i="19"/>
  <c r="B160" i="19"/>
  <c r="F88" i="19"/>
  <c r="E40" i="19"/>
  <c r="B98" i="19"/>
  <c r="B77" i="19"/>
  <c r="C236" i="19"/>
  <c r="C46" i="19"/>
  <c r="C189" i="19"/>
  <c r="E108" i="19"/>
  <c r="B25" i="19"/>
  <c r="B48" i="19"/>
  <c r="C186" i="19"/>
  <c r="C101" i="19"/>
  <c r="F162" i="19"/>
  <c r="F148" i="19"/>
  <c r="B21" i="19"/>
  <c r="F21" i="19"/>
  <c r="E150" i="19"/>
  <c r="B36" i="19"/>
  <c r="B46" i="19"/>
  <c r="E110" i="19"/>
  <c r="E42" i="19"/>
  <c r="F35" i="19"/>
  <c r="F60" i="19"/>
  <c r="E122" i="19"/>
  <c r="F67" i="19"/>
  <c r="F45" i="19"/>
  <c r="B141" i="19"/>
  <c r="F189" i="19"/>
  <c r="C201" i="19"/>
  <c r="C19" i="19"/>
  <c r="B215" i="19"/>
  <c r="C108" i="19"/>
  <c r="C79" i="19"/>
  <c r="C31" i="19"/>
  <c r="F160" i="19"/>
  <c r="E117" i="19"/>
  <c r="C51" i="19"/>
  <c r="C27" i="19"/>
  <c r="C15" i="19"/>
  <c r="C74" i="19"/>
  <c r="F127" i="19"/>
  <c r="B102" i="19"/>
  <c r="C179" i="19"/>
  <c r="E218" i="19"/>
  <c r="B223" i="19"/>
  <c r="C73" i="19"/>
  <c r="B195" i="19"/>
  <c r="E147" i="19"/>
  <c r="B81" i="19"/>
  <c r="B140" i="19"/>
  <c r="B53" i="19"/>
  <c r="E38" i="19"/>
  <c r="C231" i="19"/>
  <c r="E16" i="19"/>
  <c r="F23" i="19"/>
  <c r="E47" i="19"/>
  <c r="C45" i="19"/>
  <c r="F129" i="19"/>
  <c r="E77" i="19"/>
  <c r="E211" i="19"/>
  <c r="F37" i="19"/>
  <c r="B79" i="19"/>
  <c r="F173" i="19"/>
  <c r="E118" i="19"/>
  <c r="F114" i="19"/>
  <c r="E56" i="19"/>
  <c r="E233" i="19"/>
  <c r="C227" i="19"/>
  <c r="C84" i="19"/>
  <c r="E60" i="19"/>
  <c r="C118" i="19"/>
  <c r="B236" i="19"/>
  <c r="F158" i="19"/>
  <c r="E65" i="19"/>
  <c r="E67" i="19"/>
  <c r="B91" i="19"/>
  <c r="E53" i="19"/>
  <c r="E185" i="19"/>
  <c r="E192" i="19"/>
  <c r="E178" i="19"/>
  <c r="E175" i="19"/>
  <c r="B61" i="19"/>
  <c r="F140" i="19"/>
  <c r="B206" i="19"/>
  <c r="C228" i="19"/>
  <c r="F82" i="19"/>
  <c r="C23" i="19"/>
  <c r="F55" i="19"/>
  <c r="B42" i="19"/>
  <c r="F225" i="19"/>
  <c r="B75" i="19"/>
  <c r="C158" i="19"/>
  <c r="C169" i="19"/>
  <c r="F39" i="19"/>
  <c r="F78" i="19"/>
  <c r="B37" i="19"/>
  <c r="F49" i="19"/>
  <c r="C182" i="19"/>
  <c r="B18" i="19"/>
  <c r="F213" i="19"/>
  <c r="C131" i="19"/>
  <c r="C130" i="19"/>
  <c r="E236" i="19"/>
  <c r="E52" i="19"/>
  <c r="B47" i="19"/>
  <c r="C105" i="19"/>
  <c r="B88" i="19"/>
  <c r="B224" i="19"/>
  <c r="C154" i="19"/>
  <c r="B163" i="19"/>
  <c r="F79" i="19"/>
  <c r="E21" i="19"/>
  <c r="C181" i="19"/>
  <c r="E216" i="19"/>
  <c r="B222" i="19"/>
  <c r="C160" i="19"/>
  <c r="C213" i="19"/>
  <c r="E125" i="19"/>
  <c r="C175" i="19"/>
  <c r="C94" i="19"/>
  <c r="B108" i="19"/>
  <c r="E114" i="19"/>
  <c r="E34" i="19"/>
  <c r="F86" i="19"/>
  <c r="E78" i="19"/>
  <c r="C183" i="19"/>
  <c r="F149" i="19"/>
  <c r="E198" i="19"/>
  <c r="F12" i="19"/>
  <c r="C28" i="19"/>
  <c r="E73" i="19"/>
  <c r="B19" i="19"/>
  <c r="C98" i="19"/>
  <c r="C151" i="19"/>
  <c r="B78" i="19"/>
  <c r="B216" i="19"/>
  <c r="C41" i="19"/>
  <c r="E69" i="19"/>
  <c r="E160" i="19"/>
  <c r="E200" i="19"/>
  <c r="E196" i="19"/>
  <c r="F62" i="19"/>
  <c r="E230" i="19"/>
  <c r="B133" i="19"/>
  <c r="B198" i="19"/>
  <c r="E195" i="19"/>
  <c r="E176" i="19"/>
  <c r="E201" i="19"/>
  <c r="F181" i="19"/>
  <c r="B187" i="19"/>
  <c r="C95" i="19"/>
  <c r="B227" i="19"/>
  <c r="F183" i="19"/>
  <c r="C221" i="19"/>
  <c r="B230" i="19"/>
  <c r="B112" i="19"/>
  <c r="E152" i="19"/>
  <c r="C129" i="19"/>
  <c r="B28" i="19"/>
  <c r="E170" i="19"/>
  <c r="C196" i="19"/>
  <c r="B122" i="19"/>
  <c r="F107" i="19"/>
  <c r="E50" i="19"/>
  <c r="C139" i="19"/>
  <c r="E29" i="19"/>
  <c r="B33" i="19"/>
  <c r="E232" i="19"/>
  <c r="F196" i="19"/>
  <c r="F70" i="19"/>
  <c r="F221" i="19"/>
  <c r="F52" i="19"/>
  <c r="C78" i="19"/>
  <c r="C199" i="19"/>
  <c r="B15" i="19"/>
  <c r="E51" i="19"/>
  <c r="F51" i="19"/>
  <c r="E36" i="19"/>
  <c r="C167" i="19"/>
  <c r="C52" i="19"/>
  <c r="C162" i="19"/>
  <c r="C127" i="19"/>
  <c r="B126" i="19"/>
  <c r="F73" i="19"/>
  <c r="E82" i="19"/>
  <c r="C25" i="19"/>
  <c r="B70" i="19"/>
  <c r="C96" i="19"/>
  <c r="B69" i="19"/>
  <c r="E134" i="19"/>
  <c r="F200" i="19"/>
  <c r="B172" i="19"/>
  <c r="B142" i="19"/>
  <c r="E166" i="19"/>
  <c r="E25" i="19"/>
  <c r="E86" i="19"/>
  <c r="C12" i="19"/>
  <c r="B76" i="19"/>
  <c r="C55" i="19"/>
  <c r="C173" i="19"/>
  <c r="B82" i="19"/>
  <c r="C135" i="19"/>
  <c r="E144" i="19"/>
  <c r="F154" i="19"/>
  <c r="F75" i="19"/>
  <c r="F163" i="19"/>
  <c r="F66" i="19"/>
  <c r="C171" i="19"/>
  <c r="E123" i="19"/>
  <c r="E41" i="19"/>
  <c r="E119" i="19"/>
  <c r="B149" i="19"/>
  <c r="B181" i="19"/>
  <c r="C75" i="19"/>
  <c r="E61" i="19"/>
  <c r="B93" i="19"/>
  <c r="F207" i="19"/>
  <c r="F202" i="19"/>
  <c r="F103" i="19"/>
  <c r="F101" i="19"/>
  <c r="E107" i="19"/>
  <c r="B107" i="19"/>
  <c r="B136" i="19"/>
  <c r="B103" i="19"/>
  <c r="C217" i="19"/>
  <c r="E199" i="19"/>
  <c r="C30" i="19"/>
  <c r="B125" i="19"/>
  <c r="F110" i="19"/>
  <c r="F102" i="19"/>
  <c r="F27" i="19"/>
  <c r="E23" i="19"/>
  <c r="B119" i="19"/>
  <c r="C29" i="19"/>
  <c r="C116" i="19"/>
  <c r="C42" i="19"/>
  <c r="E85" i="19"/>
  <c r="E39" i="19"/>
  <c r="B139" i="19"/>
  <c r="C24" i="19"/>
  <c r="F90" i="19"/>
  <c r="F57" i="19"/>
  <c r="F165" i="19"/>
  <c r="F53" i="19"/>
  <c r="C232" i="19"/>
  <c r="E130" i="19"/>
  <c r="C35" i="19"/>
  <c r="C72" i="19"/>
  <c r="E189" i="19"/>
  <c r="E104" i="19"/>
  <c r="B196" i="19"/>
  <c r="E186" i="19"/>
  <c r="F214" i="19"/>
  <c r="F20" i="19"/>
  <c r="F94" i="19"/>
  <c r="F17" i="19"/>
  <c r="B34" i="19"/>
  <c r="E187" i="19"/>
  <c r="C89" i="19"/>
  <c r="E87" i="19"/>
  <c r="B104" i="19"/>
  <c r="E97" i="19"/>
  <c r="C44" i="19"/>
  <c r="B105" i="19"/>
  <c r="B190" i="19"/>
  <c r="F81" i="19"/>
  <c r="F43" i="19"/>
  <c r="F184" i="19"/>
  <c r="E93" i="19"/>
  <c r="F166" i="19"/>
  <c r="E81" i="19"/>
  <c r="C208" i="19"/>
  <c r="C164" i="19"/>
  <c r="C230" i="19"/>
  <c r="F48" i="19"/>
  <c r="F42" i="19"/>
  <c r="E76" i="19"/>
  <c r="E84" i="19"/>
  <c r="C81" i="19"/>
  <c r="E143" i="19"/>
  <c r="B20" i="19"/>
  <c r="F56" i="19"/>
  <c r="E89" i="19"/>
  <c r="C40" i="19"/>
  <c r="B147" i="19"/>
  <c r="E72" i="19"/>
  <c r="E197" i="19"/>
  <c r="F50" i="19"/>
  <c r="B209" i="19"/>
  <c r="B115" i="19"/>
  <c r="C205" i="19"/>
  <c r="C141" i="19"/>
  <c r="E90" i="19"/>
  <c r="E146" i="19"/>
  <c r="F13" i="19"/>
  <c r="C86" i="19"/>
  <c r="C224" i="19"/>
  <c r="E207" i="19"/>
  <c r="B176" i="19"/>
  <c r="C170" i="19"/>
  <c r="C219" i="19"/>
  <c r="C53" i="19"/>
  <c r="E235" i="19"/>
  <c r="F119" i="19"/>
  <c r="F209" i="19"/>
  <c r="F150" i="19"/>
  <c r="F71" i="19"/>
  <c r="B132" i="19"/>
  <c r="C17" i="19"/>
  <c r="E141" i="19"/>
  <c r="B51" i="19"/>
  <c r="B155" i="19"/>
  <c r="E164" i="19"/>
  <c r="B191" i="19"/>
  <c r="E22" i="19"/>
  <c r="F100" i="19"/>
  <c r="F69" i="19"/>
  <c r="F76" i="19"/>
  <c r="C190" i="19"/>
  <c r="B233" i="19"/>
  <c r="B186" i="19"/>
  <c r="E44" i="19"/>
  <c r="E71" i="19"/>
  <c r="B50" i="19"/>
  <c r="E228" i="19"/>
  <c r="C65" i="19"/>
  <c r="E203" i="19"/>
  <c r="F170" i="19"/>
  <c r="F185" i="19"/>
  <c r="F155" i="19"/>
  <c r="C223" i="19"/>
  <c r="E204" i="19"/>
  <c r="C113" i="19"/>
  <c r="B56" i="19"/>
  <c r="B31" i="19"/>
  <c r="C49" i="19"/>
  <c r="E179" i="19"/>
  <c r="B90" i="19"/>
  <c r="F65" i="19"/>
  <c r="F34" i="19"/>
  <c r="F112" i="19"/>
  <c r="E140" i="19"/>
  <c r="E95" i="19"/>
  <c r="C67" i="19"/>
  <c r="B189" i="19"/>
  <c r="B201" i="19"/>
  <c r="B109" i="19"/>
  <c r="B23" i="19"/>
  <c r="B159" i="19"/>
  <c r="C111" i="19"/>
  <c r="B165" i="19"/>
  <c r="F117" i="19"/>
  <c r="F143" i="19"/>
  <c r="F153" i="19"/>
  <c r="F235" i="19"/>
  <c r="E202" i="19"/>
  <c r="B208" i="19"/>
  <c r="E190" i="19"/>
  <c r="C106" i="19"/>
  <c r="C202" i="19"/>
  <c r="E17" i="19"/>
  <c r="C133" i="19"/>
  <c r="C155" i="19"/>
  <c r="B118" i="19"/>
  <c r="B161" i="19"/>
  <c r="F126" i="19"/>
  <c r="F64" i="19"/>
  <c r="F106" i="19"/>
  <c r="F33" i="19"/>
  <c r="C112" i="19"/>
  <c r="C91" i="19"/>
  <c r="E205" i="19"/>
  <c r="C123" i="19"/>
  <c r="E126" i="19"/>
  <c r="F68" i="19"/>
  <c r="F205" i="19"/>
  <c r="E20" i="19"/>
  <c r="C140" i="19"/>
  <c r="B168" i="19"/>
  <c r="E57" i="19"/>
  <c r="E58" i="19"/>
  <c r="C207" i="19"/>
  <c r="F16" i="19"/>
  <c r="B234" i="19"/>
  <c r="B173" i="19"/>
  <c r="B175" i="19"/>
  <c r="C234" i="19"/>
  <c r="E212" i="19"/>
  <c r="F59" i="19"/>
  <c r="C47" i="19"/>
  <c r="C206" i="19"/>
  <c r="E181" i="19"/>
  <c r="F176" i="19"/>
  <c r="B232" i="19"/>
  <c r="C211" i="19"/>
  <c r="C180" i="19"/>
  <c r="E184" i="19"/>
  <c r="B231" i="19"/>
  <c r="C153" i="19"/>
  <c r="B226" i="19"/>
  <c r="C145" i="19"/>
  <c r="F44" i="19"/>
  <c r="F234" i="19"/>
  <c r="F41" i="19"/>
  <c r="B41" i="19"/>
  <c r="C193" i="19"/>
  <c r="C187" i="19"/>
  <c r="B146" i="19"/>
  <c r="E92" i="19"/>
  <c r="E31" i="19"/>
  <c r="C225" i="19"/>
  <c r="B65" i="19"/>
  <c r="C107" i="19"/>
  <c r="C97" i="19"/>
  <c r="E167" i="19"/>
  <c r="F80" i="19"/>
  <c r="F192" i="19"/>
  <c r="F222" i="19"/>
  <c r="B71" i="19"/>
  <c r="B166" i="19"/>
  <c r="E59" i="19"/>
  <c r="B145" i="19"/>
  <c r="E75" i="19"/>
  <c r="B152" i="19"/>
  <c r="E159" i="19"/>
  <c r="C229" i="19"/>
  <c r="B197" i="19"/>
  <c r="B143" i="19"/>
  <c r="F40" i="19"/>
  <c r="F92" i="19"/>
  <c r="F142" i="19"/>
  <c r="B157" i="19"/>
  <c r="C90" i="19"/>
  <c r="C168" i="19"/>
  <c r="B12" i="19"/>
  <c r="C138" i="19"/>
  <c r="C235" i="19"/>
  <c r="B171" i="19"/>
  <c r="B55" i="19"/>
  <c r="F83" i="19"/>
  <c r="F177" i="19"/>
  <c r="F219" i="19"/>
  <c r="C83" i="19"/>
  <c r="B114" i="19"/>
  <c r="B199" i="19"/>
  <c r="B111" i="19"/>
  <c r="C92" i="19"/>
  <c r="E62" i="19"/>
  <c r="E99" i="19"/>
  <c r="C163" i="19"/>
  <c r="C21" i="19"/>
  <c r="B179" i="19"/>
  <c r="E209" i="19"/>
  <c r="F108" i="19"/>
  <c r="F137" i="19"/>
  <c r="F84" i="19"/>
  <c r="F182" i="19"/>
  <c r="E139" i="19"/>
  <c r="B26" i="19"/>
  <c r="B214" i="19"/>
  <c r="C68" i="19"/>
  <c r="C87" i="19"/>
  <c r="E124" i="19"/>
  <c r="B74" i="19"/>
  <c r="B151" i="19"/>
  <c r="B164" i="19"/>
  <c r="F193" i="19"/>
  <c r="F179" i="19"/>
  <c r="F133" i="19"/>
  <c r="C156" i="19"/>
  <c r="E148" i="19"/>
  <c r="E210" i="19"/>
  <c r="B16" i="19"/>
  <c r="C59" i="19"/>
  <c r="E142" i="19"/>
  <c r="F61" i="19"/>
  <c r="F122" i="19"/>
  <c r="F63" i="19"/>
  <c r="C103" i="19"/>
  <c r="B156" i="19"/>
  <c r="C104" i="19"/>
  <c r="B210" i="19"/>
  <c r="B66" i="19"/>
  <c r="C197" i="19"/>
  <c r="E26" i="19"/>
  <c r="C120" i="19"/>
  <c r="F72" i="19"/>
  <c r="F115" i="19"/>
  <c r="F230" i="19"/>
  <c r="F19" i="19"/>
  <c r="E48" i="19"/>
  <c r="E115" i="19"/>
  <c r="C191" i="19"/>
  <c r="B177" i="19"/>
  <c r="C209" i="19"/>
  <c r="B72" i="19"/>
  <c r="C177" i="19"/>
  <c r="C26" i="19"/>
  <c r="F195" i="19"/>
  <c r="F32" i="19"/>
  <c r="F74" i="19"/>
  <c r="E194" i="19"/>
  <c r="B54" i="19"/>
  <c r="E102" i="19"/>
  <c r="B64" i="19"/>
  <c r="E177" i="19"/>
  <c r="B68" i="19"/>
  <c r="E162" i="19"/>
  <c r="B170" i="19"/>
  <c r="F28" i="19"/>
  <c r="F91" i="19"/>
  <c r="F226" i="19"/>
  <c r="F157" i="19"/>
  <c r="E116" i="19"/>
  <c r="E128" i="19"/>
  <c r="E63" i="19"/>
  <c r="C147" i="19"/>
  <c r="B154" i="19"/>
  <c r="B24" i="19"/>
  <c r="E46" i="19"/>
  <c r="C61" i="19"/>
  <c r="F31" i="19"/>
  <c r="F208" i="19"/>
  <c r="F26" i="19"/>
  <c r="F204" i="19"/>
  <c r="F216" i="19"/>
  <c r="F175" i="19"/>
  <c r="B219" i="19"/>
  <c r="C16" i="19"/>
  <c r="C100" i="19"/>
  <c r="B97" i="19"/>
  <c r="F113" i="19"/>
  <c r="C110" i="19"/>
  <c r="C203" i="19"/>
  <c r="C82" i="19"/>
  <c r="C195" i="19"/>
  <c r="E27" i="19"/>
  <c r="B32" i="19"/>
  <c r="E13" i="19"/>
  <c r="F54" i="19"/>
  <c r="F136" i="19"/>
  <c r="C71" i="19"/>
  <c r="C48" i="19"/>
  <c r="E221" i="19"/>
  <c r="E35" i="19"/>
  <c r="C144" i="19"/>
  <c r="F167" i="19"/>
  <c r="E135" i="19"/>
  <c r="E109" i="19"/>
  <c r="B124" i="19"/>
  <c r="F156" i="19"/>
  <c r="B89" i="19"/>
  <c r="E137" i="19"/>
  <c r="B180" i="19"/>
  <c r="E214" i="19"/>
  <c r="B182" i="19"/>
  <c r="E161" i="19"/>
  <c r="E94" i="19"/>
  <c r="E32" i="19"/>
  <c r="C62" i="19"/>
  <c r="F97" i="19"/>
  <c r="F228" i="19"/>
  <c r="F46" i="19"/>
  <c r="B202" i="19"/>
  <c r="E129" i="19"/>
  <c r="C212" i="19"/>
  <c r="B22" i="19"/>
  <c r="B134" i="19"/>
  <c r="B148" i="19"/>
  <c r="B94" i="19"/>
  <c r="C122" i="19"/>
  <c r="B228" i="19"/>
  <c r="E66" i="19"/>
  <c r="C66" i="19"/>
  <c r="F124" i="19"/>
  <c r="F116" i="19"/>
  <c r="F197" i="19"/>
  <c r="F36" i="19"/>
  <c r="B207" i="19"/>
  <c r="E133" i="19"/>
  <c r="C215" i="19"/>
  <c r="C176" i="19"/>
  <c r="C157" i="19"/>
  <c r="B169" i="19"/>
  <c r="E217" i="19"/>
  <c r="B13" i="19"/>
  <c r="B213" i="19"/>
  <c r="E215" i="19"/>
  <c r="B30" i="19"/>
  <c r="F135" i="19"/>
  <c r="F199" i="19"/>
  <c r="F95" i="19"/>
  <c r="F180" i="19"/>
  <c r="B83" i="19"/>
  <c r="E112" i="19"/>
  <c r="E145" i="19"/>
  <c r="B128" i="19"/>
  <c r="E55" i="19"/>
  <c r="B63" i="19"/>
  <c r="E156" i="19"/>
  <c r="E113" i="19"/>
  <c r="F14" i="19"/>
  <c r="F152" i="19"/>
  <c r="F198" i="19"/>
  <c r="F93" i="19"/>
  <c r="E12" i="19"/>
  <c r="E80" i="19"/>
  <c r="B204" i="19"/>
  <c r="E149" i="19"/>
  <c r="B49" i="19"/>
  <c r="C20" i="19"/>
  <c r="B183" i="19"/>
  <c r="C222" i="19"/>
  <c r="B27" i="19"/>
  <c r="C198" i="19"/>
  <c r="F96" i="19"/>
  <c r="F130" i="19"/>
  <c r="F85" i="19"/>
  <c r="E223" i="19"/>
  <c r="B184" i="19"/>
  <c r="B39" i="19"/>
  <c r="B45" i="19"/>
  <c r="C22" i="19"/>
  <c r="E168" i="19"/>
  <c r="C88" i="19"/>
  <c r="E180" i="19"/>
  <c r="C166" i="19"/>
  <c r="F168" i="19"/>
  <c r="F146" i="19"/>
  <c r="F47" i="19"/>
  <c r="F147" i="19"/>
  <c r="C148" i="19"/>
  <c r="B99" i="19"/>
  <c r="B67" i="19"/>
  <c r="C174" i="19"/>
  <c r="C125" i="19"/>
  <c r="C152" i="19"/>
  <c r="C188" i="19"/>
  <c r="F217" i="19"/>
  <c r="C99" i="19"/>
  <c r="C37" i="19"/>
  <c r="E172" i="19"/>
  <c r="C218" i="19"/>
  <c r="B117" i="19"/>
  <c r="B113" i="19"/>
  <c r="B73" i="19"/>
  <c r="F151" i="19"/>
  <c r="E33" i="19"/>
  <c r="B129" i="19"/>
  <c r="E219" i="19"/>
  <c r="B95" i="19"/>
  <c r="B150" i="19"/>
  <c r="B87" i="19"/>
  <c r="E131" i="19"/>
  <c r="F218" i="19"/>
  <c r="F233" i="19"/>
  <c r="F121" i="19"/>
  <c r="E105" i="19"/>
  <c r="E171" i="19"/>
  <c r="F171" i="19"/>
  <c r="E153" i="19"/>
  <c r="C57" i="19"/>
  <c r="E220" i="19"/>
  <c r="E191" i="19"/>
  <c r="B43" i="19"/>
  <c r="B44" i="19"/>
  <c r="C70" i="19"/>
  <c r="C34" i="19"/>
  <c r="F29" i="19"/>
  <c r="F123" i="19"/>
  <c r="F99" i="19"/>
  <c r="E193" i="19"/>
  <c r="C58" i="19"/>
  <c r="B106" i="19"/>
  <c r="E68" i="19"/>
  <c r="E155" i="19"/>
  <c r="E158" i="19"/>
  <c r="B220" i="19"/>
  <c r="B38" i="19"/>
  <c r="F191" i="19"/>
  <c r="F22" i="19"/>
  <c r="F120" i="19"/>
  <c r="F159" i="19"/>
  <c r="B167" i="19"/>
  <c r="C54" i="19"/>
  <c r="B100" i="19"/>
  <c r="B127" i="19"/>
  <c r="E74" i="19"/>
  <c r="C159" i="19"/>
  <c r="B58" i="19"/>
  <c r="C172" i="19"/>
  <c r="F169" i="19"/>
  <c r="F174" i="19"/>
  <c r="F224" i="19"/>
  <c r="F98" i="19"/>
  <c r="E231" i="19"/>
  <c r="C63" i="19"/>
  <c r="B110" i="19"/>
  <c r="C13" i="19"/>
  <c r="E111" i="19"/>
  <c r="F206" i="19"/>
  <c r="F131" i="19"/>
  <c r="F89" i="19"/>
  <c r="F132" i="19"/>
  <c r="C192" i="19"/>
  <c r="B120" i="19"/>
  <c r="C136" i="19"/>
  <c r="B193" i="19"/>
  <c r="C146" i="19"/>
  <c r="B101" i="19"/>
  <c r="B225" i="19"/>
  <c r="B62" i="19"/>
  <c r="E88" i="19"/>
  <c r="C124" i="19"/>
  <c r="F187" i="19"/>
  <c r="F229" i="19"/>
  <c r="F220" i="19"/>
  <c r="B138" i="19"/>
  <c r="E157" i="19"/>
  <c r="B35" i="19"/>
  <c r="E54" i="19"/>
  <c r="F139" i="19"/>
  <c r="F141" i="19"/>
  <c r="F24" i="19"/>
  <c r="F134" i="19"/>
  <c r="E138" i="19"/>
  <c r="B130" i="19"/>
  <c r="E96" i="19"/>
  <c r="E183" i="19"/>
  <c r="E163" i="19"/>
  <c r="C85" i="19"/>
  <c r="F203" i="19"/>
  <c r="C216" i="19"/>
  <c r="B96" i="19"/>
  <c r="E83" i="19"/>
  <c r="C119" i="19"/>
  <c r="E101" i="19"/>
  <c r="F138" i="19"/>
  <c r="C109" i="19"/>
  <c r="C64" i="19"/>
  <c r="B137" i="19"/>
  <c r="C121" i="19"/>
  <c r="E154" i="19"/>
  <c r="B85" i="19"/>
  <c r="B121" i="19"/>
  <c r="C39" i="19"/>
  <c r="E30" i="19"/>
  <c r="C194" i="19"/>
  <c r="B194" i="19"/>
  <c r="B92" i="19"/>
  <c r="E98" i="19"/>
  <c r="F186" i="19"/>
  <c r="B116" i="19"/>
  <c r="C32" i="19"/>
  <c r="E14" i="19"/>
  <c r="B14" i="19"/>
  <c r="E18" i="19"/>
  <c r="C80" i="19"/>
  <c r="C200" i="19"/>
  <c r="B153" i="19"/>
  <c r="B40" i="19"/>
  <c r="B235" i="19"/>
  <c r="E225" i="19"/>
  <c r="F236" i="19"/>
  <c r="F172" i="19"/>
  <c r="F77" i="19"/>
  <c r="F104" i="19"/>
  <c r="C36" i="19"/>
  <c r="E222" i="19"/>
  <c r="B174" i="19"/>
  <c r="E121" i="19"/>
  <c r="B217" i="19"/>
  <c r="E15" i="19"/>
  <c r="C149" i="19"/>
  <c r="C126" i="19"/>
  <c r="B144" i="19"/>
  <c r="E169" i="19"/>
  <c r="F178" i="19"/>
  <c r="F161" i="19"/>
  <c r="F223" i="19"/>
  <c r="F201" i="19"/>
  <c r="C76" i="19"/>
  <c r="C50" i="19"/>
  <c r="B52" i="19"/>
  <c r="B135" i="19"/>
  <c r="B162" i="19"/>
  <c r="E24" i="19"/>
  <c r="B188" i="19"/>
  <c r="C33" i="19"/>
  <c r="C233" i="19"/>
  <c r="C60" i="19"/>
  <c r="F125" i="19"/>
  <c r="F105" i="19"/>
  <c r="F111" i="19"/>
  <c r="F109" i="19"/>
  <c r="B131" i="19"/>
  <c r="B17" i="19"/>
  <c r="E79" i="19"/>
  <c r="E234" i="19"/>
  <c r="B123" i="19"/>
  <c r="C14" i="19"/>
  <c r="C137" i="19"/>
  <c r="E174" i="19"/>
  <c r="F164" i="19"/>
  <c r="F118" i="19"/>
  <c r="F188" i="19"/>
  <c r="F38" i="19"/>
  <c r="E224" i="19"/>
  <c r="E213" i="19"/>
  <c r="C115" i="19"/>
  <c r="C128" i="19"/>
  <c r="B229" i="19"/>
  <c r="E103" i="19"/>
  <c r="B158" i="19"/>
  <c r="E227" i="19"/>
  <c r="B211" i="19"/>
  <c r="B212" i="19"/>
  <c r="E43" i="19"/>
  <c r="F231" i="19"/>
  <c r="F128" i="19"/>
  <c r="F190" i="19"/>
  <c r="B57" i="19"/>
  <c r="E45" i="19"/>
  <c r="B218" i="19"/>
  <c r="E188" i="19"/>
  <c r="C69" i="19"/>
  <c r="B86" i="19"/>
  <c r="E136" i="19"/>
  <c r="B59" i="19"/>
  <c r="B185" i="19"/>
  <c r="E100" i="19"/>
  <c r="F212" i="19"/>
  <c r="F25" i="19"/>
  <c r="F194" i="19"/>
  <c r="F145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<sst xmlns="http://schemas.openxmlformats.org/spreadsheetml/2006/main" count="86" uniqueCount="30">
  <si>
    <t>Year</t>
  </si>
  <si>
    <t>Month</t>
  </si>
  <si>
    <t>Day</t>
  </si>
  <si>
    <t>Model</t>
  </si>
  <si>
    <t>DEFAULT</t>
  </si>
  <si>
    <t>BaseAddress</t>
  </si>
  <si>
    <t>FirstDataRowNo</t>
  </si>
  <si>
    <t>TEST.SIM1</t>
  </si>
  <si>
    <t>Type</t>
  </si>
  <si>
    <t>Hourly</t>
  </si>
  <si>
    <t>Daily</t>
  </si>
  <si>
    <t>Monthly</t>
  </si>
  <si>
    <t>/Historical/AllMonthsData/DEFAULT?TagName=TEST.SIM1&amp;YearDate=2018-08-01</t>
  </si>
  <si>
    <t>RT</t>
  </si>
  <si>
    <t>FAST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</si>
  <si>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Hide this sheet after modifing these fields</t>
    </r>
  </si>
  <si>
    <t>http://localhost:49110/</t>
  </si>
  <si>
    <t>Group.Tag</t>
  </si>
  <si>
    <t>/Historical/AllDaysData/DEFAULT?TagName=Day&amp;MonthDate=2018-08-01</t>
  </si>
  <si>
    <t>Path/File access error</t>
  </si>
  <si>
    <t>Device Type</t>
  </si>
  <si>
    <t>Device Number</t>
  </si>
  <si>
    <t>Load Present</t>
  </si>
  <si>
    <t xml:space="preserve"> Current Draw (Last Reading)</t>
  </si>
  <si>
    <t>Communication  %</t>
  </si>
  <si>
    <t>Num</t>
  </si>
  <si>
    <t>Device Info</t>
  </si>
  <si>
    <t xml:space="preserve">Controller </t>
  </si>
  <si>
    <t>C:\Users\ahmed\OneDrive - streamcontrols.com\Desktop\Work\Hunter\HunterApp\Reports\</t>
  </si>
  <si>
    <t>ï»¿-1,3,Station,1,2,45,100,-1-1,2,Station,2,0,0,255,-1-1,2,Station,2,0,0,255,-1-1,3,Station,3,0,0,255,-1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</si>
</sst>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7ABD1"/>
        <bgColor indexed="64"/>
      </patternFill>
    </fill>
    <fill>
      <patternFill patternType="solid">
        <fgColor rgb="FF00658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0" xfId="0" applyFill="1" applyAlignment="1">
      <alignment horizontal="center"/>
    </xf>
    <xf numFmtId="0" fontId="4" fillId="2" borderId="0" xfId="1" applyFill="1"/>
    <xf numFmtId="0" fontId="0" fillId="0" borderId="1" xfId="0" applyBorder="1" applyAlignment="1">
      <alignment horizontal="center" vertical="center"/>
    </xf>
    <xf numFmtId="0" fontId="0" fillId="0" borderId="0" xfId="0" applyAlignment="1">
      <alignment wrapText="1"/>
    </xf>
    <xf numFmtId="0" fontId="5" fillId="6" borderId="2" xfId="0" applyFont="1" applyFill="1" applyBorder="1" applyAlignment="1">
      <alignment horizontal="centerContinuous" vertical="center"/>
    </xf>
    <xf numFmtId="0" fontId="5" fillId="6" borderId="3" xfId="0" applyFont="1" applyFill="1" applyBorder="1" applyAlignment="1">
      <alignment horizontal="centerContinuous" vertical="center"/>
    </xf>
    <xf numFmtId="0" fontId="5" fillId="5" borderId="2" xfId="0" applyFont="1" applyFill="1" applyBorder="1" applyAlignment="1">
      <alignment horizontal="centerContinuous" vertical="center"/>
    </xf>
    <xf numFmtId="0" fontId="5" fillId="5" borderId="3" xfId="0" applyFont="1" applyFill="1" applyBorder="1" applyAlignment="1">
      <alignment horizontal="centerContinuous" vertical="center"/>
    </xf>
    <xf numFmtId="0" fontId="5" fillId="6" borderId="4" xfId="0" applyFont="1" applyFill="1" applyBorder="1" applyAlignment="1">
      <alignment horizontal="centerContinuous" vertical="center"/>
    </xf>
    <xf numFmtId="0" fontId="5" fillId="5" borderId="4" xfId="0" applyFont="1" applyFill="1" applyBorder="1" applyAlignment="1">
      <alignment horizontal="centerContinuous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4E1DF"/>
      <color rgb="FF00658A"/>
      <color rgb="FF47ABD1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5</xdr:row>
          <xdr:rowOff>114300</xdr:rowOff>
        </xdr:from>
        <xdr:to>
          <xdr:col>3</xdr:col>
          <xdr:colOff>1171575</xdr:colOff>
          <xdr:row>7</xdr:row>
          <xdr:rowOff>161925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4911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36"/>
  <sheetViews>
    <sheetView workbookViewId="0">
      <selection activeCell="R1" sqref="R1:R1048576"/>
    </sheetView>
  </sheetViews>
  <sheetFormatPr defaultRowHeight="15" x14ac:dyDescent="0.25"/>
  <cols>
    <col min="1" max="1" width="19.42578125" customWidth="1"/>
    <col min="2" max="2" width="21.85546875" bestFit="1" customWidth="1"/>
    <col min="14" max="14" width="0" hidden="1" customWidth="1"/>
    <col min="18" max="18" width="0" hidden="1" customWidth="1"/>
  </cols>
  <sheetData>
    <row r="1" spans="1:18" x14ac:dyDescent="0.25">
      <c r="A1" t="s">
        <v>5</v>
      </c>
      <c r="B1" s="13" t="s">
        <v>16</v>
      </c>
    </row>
    <row r="2" spans="1:18" x14ac:dyDescent="0.25">
      <c r="A2" t="s">
        <v>6</v>
      </c>
      <c r="B2" s="12">
        <v>10</v>
      </c>
    </row>
    <row r="3" spans="1:18" x14ac:dyDescent="0.25">
      <c r="R3">
        <v>7</v>
      </c>
    </row>
    <row r="4" spans="1:18" x14ac:dyDescent="0.25">
      <c r="A4" t="s">
        <v>15</v>
      </c>
      <c r="R4">
        <v>14</v>
      </c>
    </row>
    <row r="5" spans="1:18" x14ac:dyDescent="0.25">
      <c r="R5">
        <v>21</v>
      </c>
    </row>
    <row r="6" spans="1:18" x14ac:dyDescent="0.25">
      <c r="R6">
        <v>28</v>
      </c>
    </row>
    <row r="7" spans="1:18" x14ac:dyDescent="0.25">
      <c r="R7">
        <v>35</v>
      </c>
    </row>
    <row r="8" spans="1:18" x14ac:dyDescent="0.25">
      <c r="R8">
        <v>42</v>
      </c>
    </row>
    <row r="9" spans="1:18" x14ac:dyDescent="0.25">
      <c r="R9">
        <v>49</v>
      </c>
    </row>
    <row r="10" spans="1:18" x14ac:dyDescent="0.25">
      <c r="R10">
        <v>56</v>
      </c>
    </row>
    <row r="11" spans="1:18" x14ac:dyDescent="0.25">
      <c r="R11">
        <v>63</v>
      </c>
    </row>
    <row r="12" spans="1:18" x14ac:dyDescent="0.25">
      <c r="N12">
        <v>7</v>
      </c>
      <c r="R12">
        <v>70</v>
      </c>
    </row>
    <row r="13" spans="1:18" x14ac:dyDescent="0.25">
      <c r="N13">
        <v>14</v>
      </c>
      <c r="R13">
        <v>77</v>
      </c>
    </row>
    <row r="14" spans="1:18" x14ac:dyDescent="0.25">
      <c r="N14">
        <v>21</v>
      </c>
      <c r="R14">
        <v>84</v>
      </c>
    </row>
    <row r="15" spans="1:18" x14ac:dyDescent="0.25">
      <c r="N15">
        <v>28</v>
      </c>
      <c r="R15">
        <v>91</v>
      </c>
    </row>
    <row r="16" spans="1:18" x14ac:dyDescent="0.25">
      <c r="N16">
        <v>35</v>
      </c>
      <c r="R16">
        <v>98</v>
      </c>
    </row>
    <row r="17" spans="14:18" x14ac:dyDescent="0.25">
      <c r="N17">
        <v>42</v>
      </c>
      <c r="R17">
        <v>105</v>
      </c>
    </row>
    <row r="18" spans="14:18" x14ac:dyDescent="0.25">
      <c r="N18">
        <v>49</v>
      </c>
      <c r="R18">
        <v>112</v>
      </c>
    </row>
    <row r="19" spans="14:18" x14ac:dyDescent="0.25">
      <c r="N19">
        <v>56</v>
      </c>
      <c r="R19">
        <v>119</v>
      </c>
    </row>
    <row r="20" spans="14:18" x14ac:dyDescent="0.25">
      <c r="N20">
        <v>63</v>
      </c>
      <c r="R20">
        <v>126</v>
      </c>
    </row>
    <row r="21" spans="14:18" x14ac:dyDescent="0.25">
      <c r="N21">
        <v>70</v>
      </c>
      <c r="R21">
        <v>133</v>
      </c>
    </row>
    <row r="22" spans="14:18" x14ac:dyDescent="0.25">
      <c r="N22">
        <v>77</v>
      </c>
      <c r="R22">
        <v>140</v>
      </c>
    </row>
    <row r="23" spans="14:18" x14ac:dyDescent="0.25">
      <c r="N23">
        <v>84</v>
      </c>
      <c r="R23">
        <v>147</v>
      </c>
    </row>
    <row r="24" spans="14:18" x14ac:dyDescent="0.25">
      <c r="N24">
        <v>91</v>
      </c>
      <c r="R24">
        <v>154</v>
      </c>
    </row>
    <row r="25" spans="14:18" x14ac:dyDescent="0.25">
      <c r="N25">
        <v>98</v>
      </c>
      <c r="R25">
        <v>161</v>
      </c>
    </row>
    <row r="26" spans="14:18" x14ac:dyDescent="0.25">
      <c r="N26">
        <v>105</v>
      </c>
      <c r="R26">
        <v>168</v>
      </c>
    </row>
    <row r="27" spans="14:18" x14ac:dyDescent="0.25">
      <c r="N27">
        <v>112</v>
      </c>
      <c r="R27">
        <v>175</v>
      </c>
    </row>
    <row r="28" spans="14:18" x14ac:dyDescent="0.25">
      <c r="N28">
        <v>119</v>
      </c>
      <c r="R28">
        <v>182</v>
      </c>
    </row>
    <row r="29" spans="14:18" x14ac:dyDescent="0.25">
      <c r="N29">
        <v>126</v>
      </c>
      <c r="R29">
        <v>189</v>
      </c>
    </row>
    <row r="30" spans="14:18" x14ac:dyDescent="0.25">
      <c r="N30">
        <v>133</v>
      </c>
      <c r="R30">
        <v>196</v>
      </c>
    </row>
    <row r="31" spans="14:18" x14ac:dyDescent="0.25">
      <c r="N31">
        <v>140</v>
      </c>
      <c r="R31">
        <v>203</v>
      </c>
    </row>
    <row r="32" spans="14:18" x14ac:dyDescent="0.25">
      <c r="N32">
        <v>147</v>
      </c>
      <c r="R32">
        <v>210</v>
      </c>
    </row>
    <row r="33" spans="14:18" x14ac:dyDescent="0.25">
      <c r="N33">
        <v>154</v>
      </c>
      <c r="R33">
        <v>217</v>
      </c>
    </row>
    <row r="34" spans="14:18" x14ac:dyDescent="0.25">
      <c r="N34">
        <v>161</v>
      </c>
      <c r="R34">
        <v>224</v>
      </c>
    </row>
    <row r="35" spans="14:18" x14ac:dyDescent="0.25">
      <c r="N35">
        <v>168</v>
      </c>
      <c r="R35">
        <v>231</v>
      </c>
    </row>
    <row r="36" spans="14:18" x14ac:dyDescent="0.25">
      <c r="N36">
        <v>175</v>
      </c>
      <c r="R36">
        <v>238</v>
      </c>
    </row>
    <row r="37" spans="14:18" x14ac:dyDescent="0.25">
      <c r="N37">
        <v>182</v>
      </c>
      <c r="R37">
        <v>245</v>
      </c>
    </row>
    <row r="38" spans="14:18" x14ac:dyDescent="0.25">
      <c r="N38">
        <v>189</v>
      </c>
      <c r="R38">
        <v>252</v>
      </c>
    </row>
    <row r="39" spans="14:18" x14ac:dyDescent="0.25">
      <c r="N39">
        <v>196</v>
      </c>
      <c r="R39">
        <v>259</v>
      </c>
    </row>
    <row r="40" spans="14:18" x14ac:dyDescent="0.25">
      <c r="N40">
        <v>203</v>
      </c>
      <c r="R40">
        <v>266</v>
      </c>
    </row>
    <row r="41" spans="14:18" x14ac:dyDescent="0.25">
      <c r="N41">
        <v>210</v>
      </c>
      <c r="R41">
        <v>273</v>
      </c>
    </row>
    <row r="42" spans="14:18" x14ac:dyDescent="0.25">
      <c r="N42">
        <v>217</v>
      </c>
      <c r="R42">
        <v>280</v>
      </c>
    </row>
    <row r="43" spans="14:18" x14ac:dyDescent="0.25">
      <c r="N43">
        <v>224</v>
      </c>
      <c r="R43">
        <v>287</v>
      </c>
    </row>
    <row r="44" spans="14:18" x14ac:dyDescent="0.25">
      <c r="N44">
        <v>231</v>
      </c>
      <c r="R44">
        <v>294</v>
      </c>
    </row>
    <row r="45" spans="14:18" x14ac:dyDescent="0.25">
      <c r="N45">
        <v>238</v>
      </c>
      <c r="R45">
        <v>301</v>
      </c>
    </row>
    <row r="46" spans="14:18" x14ac:dyDescent="0.25">
      <c r="N46">
        <v>245</v>
      </c>
      <c r="R46">
        <v>308</v>
      </c>
    </row>
    <row r="47" spans="14:18" x14ac:dyDescent="0.25">
      <c r="N47">
        <v>252</v>
      </c>
      <c r="R47">
        <v>315</v>
      </c>
    </row>
    <row r="48" spans="14:18" x14ac:dyDescent="0.25">
      <c r="N48">
        <v>259</v>
      </c>
      <c r="R48">
        <v>322</v>
      </c>
    </row>
    <row r="49" spans="14:18" x14ac:dyDescent="0.25">
      <c r="N49">
        <v>266</v>
      </c>
      <c r="R49">
        <v>329</v>
      </c>
    </row>
    <row r="50" spans="14:18" x14ac:dyDescent="0.25">
      <c r="N50">
        <v>273</v>
      </c>
      <c r="R50">
        <v>336</v>
      </c>
    </row>
    <row r="51" spans="14:18" x14ac:dyDescent="0.25">
      <c r="N51">
        <v>280</v>
      </c>
      <c r="R51">
        <v>343</v>
      </c>
    </row>
    <row r="52" spans="14:18" x14ac:dyDescent="0.25">
      <c r="N52">
        <v>287</v>
      </c>
      <c r="R52">
        <v>350</v>
      </c>
    </row>
    <row r="53" spans="14:18" x14ac:dyDescent="0.25">
      <c r="N53">
        <v>294</v>
      </c>
      <c r="R53">
        <v>357</v>
      </c>
    </row>
    <row r="54" spans="14:18" x14ac:dyDescent="0.25">
      <c r="N54">
        <v>301</v>
      </c>
      <c r="R54">
        <v>364</v>
      </c>
    </row>
    <row r="55" spans="14:18" x14ac:dyDescent="0.25">
      <c r="N55">
        <v>308</v>
      </c>
      <c r="R55">
        <v>371</v>
      </c>
    </row>
    <row r="56" spans="14:18" x14ac:dyDescent="0.25">
      <c r="N56">
        <v>315</v>
      </c>
      <c r="R56">
        <v>378</v>
      </c>
    </row>
    <row r="57" spans="14:18" x14ac:dyDescent="0.25">
      <c r="N57">
        <v>322</v>
      </c>
      <c r="R57">
        <v>385</v>
      </c>
    </row>
    <row r="58" spans="14:18" x14ac:dyDescent="0.25">
      <c r="N58">
        <v>329</v>
      </c>
      <c r="R58">
        <v>392</v>
      </c>
    </row>
    <row r="59" spans="14:18" x14ac:dyDescent="0.25">
      <c r="N59">
        <v>336</v>
      </c>
      <c r="R59">
        <v>399</v>
      </c>
    </row>
    <row r="60" spans="14:18" x14ac:dyDescent="0.25">
      <c r="N60">
        <v>343</v>
      </c>
      <c r="R60">
        <v>406</v>
      </c>
    </row>
    <row r="61" spans="14:18" x14ac:dyDescent="0.25">
      <c r="N61">
        <v>350</v>
      </c>
      <c r="R61">
        <v>413</v>
      </c>
    </row>
    <row r="62" spans="14:18" x14ac:dyDescent="0.25">
      <c r="N62">
        <v>357</v>
      </c>
      <c r="R62">
        <v>420</v>
      </c>
    </row>
    <row r="63" spans="14:18" x14ac:dyDescent="0.25">
      <c r="N63">
        <v>364</v>
      </c>
      <c r="R63">
        <v>427</v>
      </c>
    </row>
    <row r="64" spans="14:18" x14ac:dyDescent="0.25">
      <c r="N64">
        <v>371</v>
      </c>
      <c r="R64">
        <v>434</v>
      </c>
    </row>
    <row r="65" spans="14:18" x14ac:dyDescent="0.25">
      <c r="N65">
        <v>378</v>
      </c>
      <c r="R65">
        <v>441</v>
      </c>
    </row>
    <row r="66" spans="14:18" x14ac:dyDescent="0.25">
      <c r="N66">
        <v>385</v>
      </c>
      <c r="R66">
        <v>448</v>
      </c>
    </row>
    <row r="67" spans="14:18" x14ac:dyDescent="0.25">
      <c r="N67">
        <v>392</v>
      </c>
      <c r="R67">
        <v>455</v>
      </c>
    </row>
    <row r="68" spans="14:18" x14ac:dyDescent="0.25">
      <c r="N68">
        <v>399</v>
      </c>
      <c r="R68">
        <v>462</v>
      </c>
    </row>
    <row r="69" spans="14:18" x14ac:dyDescent="0.25">
      <c r="N69">
        <v>406</v>
      </c>
      <c r="R69">
        <v>469</v>
      </c>
    </row>
    <row r="70" spans="14:18" x14ac:dyDescent="0.25">
      <c r="N70">
        <v>413</v>
      </c>
      <c r="R70">
        <v>476</v>
      </c>
    </row>
    <row r="71" spans="14:18" x14ac:dyDescent="0.25">
      <c r="N71">
        <v>420</v>
      </c>
      <c r="R71">
        <v>483</v>
      </c>
    </row>
    <row r="72" spans="14:18" x14ac:dyDescent="0.25">
      <c r="N72">
        <v>427</v>
      </c>
      <c r="R72">
        <v>490</v>
      </c>
    </row>
    <row r="73" spans="14:18" x14ac:dyDescent="0.25">
      <c r="N73">
        <v>434</v>
      </c>
      <c r="R73">
        <v>497</v>
      </c>
    </row>
    <row r="74" spans="14:18" x14ac:dyDescent="0.25">
      <c r="N74">
        <v>441</v>
      </c>
      <c r="R74">
        <v>504</v>
      </c>
    </row>
    <row r="75" spans="14:18" x14ac:dyDescent="0.25">
      <c r="N75">
        <v>448</v>
      </c>
      <c r="R75">
        <v>511</v>
      </c>
    </row>
    <row r="76" spans="14:18" x14ac:dyDescent="0.25">
      <c r="N76">
        <v>455</v>
      </c>
      <c r="R76">
        <v>518</v>
      </c>
    </row>
    <row r="77" spans="14:18" x14ac:dyDescent="0.25">
      <c r="N77">
        <v>462</v>
      </c>
      <c r="R77">
        <v>525</v>
      </c>
    </row>
    <row r="78" spans="14:18" x14ac:dyDescent="0.25">
      <c r="N78">
        <v>469</v>
      </c>
      <c r="R78">
        <v>532</v>
      </c>
    </row>
    <row r="79" spans="14:18" x14ac:dyDescent="0.25">
      <c r="N79">
        <v>476</v>
      </c>
      <c r="R79">
        <v>539</v>
      </c>
    </row>
    <row r="80" spans="14:18" x14ac:dyDescent="0.25">
      <c r="N80">
        <v>483</v>
      </c>
      <c r="R80">
        <v>546</v>
      </c>
    </row>
    <row r="81" spans="14:18" x14ac:dyDescent="0.25">
      <c r="N81">
        <v>490</v>
      </c>
      <c r="R81">
        <v>553</v>
      </c>
    </row>
    <row r="82" spans="14:18" x14ac:dyDescent="0.25">
      <c r="N82">
        <v>497</v>
      </c>
      <c r="R82">
        <v>560</v>
      </c>
    </row>
    <row r="83" spans="14:18" x14ac:dyDescent="0.25">
      <c r="N83">
        <v>504</v>
      </c>
      <c r="R83">
        <v>567</v>
      </c>
    </row>
    <row r="84" spans="14:18" x14ac:dyDescent="0.25">
      <c r="N84">
        <v>511</v>
      </c>
      <c r="R84">
        <v>574</v>
      </c>
    </row>
    <row r="85" spans="14:18" x14ac:dyDescent="0.25">
      <c r="N85">
        <v>518</v>
      </c>
      <c r="R85">
        <v>581</v>
      </c>
    </row>
    <row r="86" spans="14:18" x14ac:dyDescent="0.25">
      <c r="N86">
        <v>525</v>
      </c>
      <c r="R86">
        <v>588</v>
      </c>
    </row>
    <row r="87" spans="14:18" x14ac:dyDescent="0.25">
      <c r="N87">
        <v>532</v>
      </c>
      <c r="R87">
        <v>595</v>
      </c>
    </row>
    <row r="88" spans="14:18" x14ac:dyDescent="0.25">
      <c r="N88">
        <v>539</v>
      </c>
      <c r="R88">
        <v>602</v>
      </c>
    </row>
    <row r="89" spans="14:18" x14ac:dyDescent="0.25">
      <c r="N89">
        <v>546</v>
      </c>
      <c r="R89">
        <v>609</v>
      </c>
    </row>
    <row r="90" spans="14:18" x14ac:dyDescent="0.25">
      <c r="N90">
        <v>553</v>
      </c>
      <c r="R90">
        <v>616</v>
      </c>
    </row>
    <row r="91" spans="14:18" x14ac:dyDescent="0.25">
      <c r="N91">
        <v>560</v>
      </c>
      <c r="R91">
        <v>623</v>
      </c>
    </row>
    <row r="92" spans="14:18" x14ac:dyDescent="0.25">
      <c r="N92">
        <v>567</v>
      </c>
      <c r="R92">
        <v>630</v>
      </c>
    </row>
    <row r="93" spans="14:18" x14ac:dyDescent="0.25">
      <c r="N93">
        <v>574</v>
      </c>
      <c r="R93">
        <v>637</v>
      </c>
    </row>
    <row r="94" spans="14:18" x14ac:dyDescent="0.25">
      <c r="N94">
        <v>581</v>
      </c>
      <c r="R94">
        <v>644</v>
      </c>
    </row>
    <row r="95" spans="14:18" x14ac:dyDescent="0.25">
      <c r="N95">
        <v>588</v>
      </c>
      <c r="R95">
        <v>651</v>
      </c>
    </row>
    <row r="96" spans="14:18" x14ac:dyDescent="0.25">
      <c r="N96">
        <v>595</v>
      </c>
      <c r="R96">
        <v>658</v>
      </c>
    </row>
    <row r="97" spans="14:18" x14ac:dyDescent="0.25">
      <c r="N97">
        <v>602</v>
      </c>
      <c r="R97">
        <v>665</v>
      </c>
    </row>
    <row r="98" spans="14:18" x14ac:dyDescent="0.25">
      <c r="N98">
        <v>609</v>
      </c>
      <c r="R98">
        <v>672</v>
      </c>
    </row>
    <row r="99" spans="14:18" x14ac:dyDescent="0.25">
      <c r="N99">
        <v>616</v>
      </c>
      <c r="R99">
        <v>679</v>
      </c>
    </row>
    <row r="100" spans="14:18" x14ac:dyDescent="0.25">
      <c r="N100">
        <v>623</v>
      </c>
      <c r="R100">
        <v>686</v>
      </c>
    </row>
    <row r="101" spans="14:18" x14ac:dyDescent="0.25">
      <c r="N101">
        <v>630</v>
      </c>
      <c r="R101">
        <v>693</v>
      </c>
    </row>
    <row r="102" spans="14:18" x14ac:dyDescent="0.25">
      <c r="N102">
        <v>637</v>
      </c>
      <c r="R102">
        <v>700</v>
      </c>
    </row>
    <row r="103" spans="14:18" x14ac:dyDescent="0.25">
      <c r="N103">
        <v>644</v>
      </c>
      <c r="R103">
        <v>707</v>
      </c>
    </row>
    <row r="104" spans="14:18" x14ac:dyDescent="0.25">
      <c r="N104">
        <v>651</v>
      </c>
    </row>
    <row r="105" spans="14:18" x14ac:dyDescent="0.25">
      <c r="N105">
        <v>658</v>
      </c>
    </row>
    <row r="106" spans="14:18" x14ac:dyDescent="0.25">
      <c r="N106">
        <v>665</v>
      </c>
    </row>
    <row r="107" spans="14:18" x14ac:dyDescent="0.25">
      <c r="N107">
        <v>672</v>
      </c>
    </row>
    <row r="108" spans="14:18" x14ac:dyDescent="0.25">
      <c r="N108">
        <v>679</v>
      </c>
    </row>
    <row r="109" spans="14:18" x14ac:dyDescent="0.25">
      <c r="N109">
        <v>686</v>
      </c>
    </row>
    <row r="110" spans="14:18" x14ac:dyDescent="0.25">
      <c r="N110">
        <v>693</v>
      </c>
    </row>
    <row r="111" spans="14:18" x14ac:dyDescent="0.25">
      <c r="N111">
        <v>700</v>
      </c>
    </row>
    <row r="112" spans="14:18" x14ac:dyDescent="0.25">
      <c r="N112">
        <v>707</v>
      </c>
    </row>
    <row r="113" spans="14:14" x14ac:dyDescent="0.25">
      <c r="N113">
        <v>714</v>
      </c>
    </row>
    <row r="114" spans="14:14" x14ac:dyDescent="0.25">
      <c r="N114">
        <v>721</v>
      </c>
    </row>
    <row r="115" spans="14:14" x14ac:dyDescent="0.25">
      <c r="N115">
        <v>728</v>
      </c>
    </row>
    <row r="116" spans="14:14" x14ac:dyDescent="0.25">
      <c r="N116">
        <v>735</v>
      </c>
    </row>
    <row r="117" spans="14:14" x14ac:dyDescent="0.25">
      <c r="N117">
        <v>742</v>
      </c>
    </row>
    <row r="118" spans="14:14" x14ac:dyDescent="0.25">
      <c r="N118">
        <v>749</v>
      </c>
    </row>
    <row r="119" spans="14:14" x14ac:dyDescent="0.25">
      <c r="N119">
        <v>756</v>
      </c>
    </row>
    <row r="120" spans="14:14" x14ac:dyDescent="0.25">
      <c r="N120">
        <v>763</v>
      </c>
    </row>
    <row r="121" spans="14:14" x14ac:dyDescent="0.25">
      <c r="N121">
        <v>770</v>
      </c>
    </row>
    <row r="122" spans="14:14" x14ac:dyDescent="0.25">
      <c r="N122">
        <v>777</v>
      </c>
    </row>
    <row r="123" spans="14:14" x14ac:dyDescent="0.25">
      <c r="N123">
        <v>784</v>
      </c>
    </row>
    <row r="124" spans="14:14" x14ac:dyDescent="0.25">
      <c r="N124">
        <v>791</v>
      </c>
    </row>
    <row r="125" spans="14:14" x14ac:dyDescent="0.25">
      <c r="N125">
        <v>798</v>
      </c>
    </row>
    <row r="126" spans="14:14" x14ac:dyDescent="0.25">
      <c r="N126">
        <v>805</v>
      </c>
    </row>
    <row r="127" spans="14:14" x14ac:dyDescent="0.25">
      <c r="N127">
        <v>812</v>
      </c>
    </row>
    <row r="128" spans="14:14" x14ac:dyDescent="0.25">
      <c r="N128">
        <v>819</v>
      </c>
    </row>
    <row r="129" spans="14:14" x14ac:dyDescent="0.25">
      <c r="N129">
        <v>826</v>
      </c>
    </row>
    <row r="130" spans="14:14" x14ac:dyDescent="0.25">
      <c r="N130">
        <v>833</v>
      </c>
    </row>
    <row r="131" spans="14:14" x14ac:dyDescent="0.25">
      <c r="N131">
        <v>840</v>
      </c>
    </row>
    <row r="132" spans="14:14" x14ac:dyDescent="0.25">
      <c r="N132">
        <v>847</v>
      </c>
    </row>
    <row r="133" spans="14:14" x14ac:dyDescent="0.25">
      <c r="N133">
        <v>854</v>
      </c>
    </row>
    <row r="134" spans="14:14" x14ac:dyDescent="0.25">
      <c r="N134">
        <v>861</v>
      </c>
    </row>
    <row r="135" spans="14:14" x14ac:dyDescent="0.25">
      <c r="N135">
        <v>868</v>
      </c>
    </row>
    <row r="136" spans="14:14" x14ac:dyDescent="0.25">
      <c r="N136">
        <v>875</v>
      </c>
    </row>
    <row r="137" spans="14:14" x14ac:dyDescent="0.25">
      <c r="N137">
        <v>882</v>
      </c>
    </row>
    <row r="138" spans="14:14" x14ac:dyDescent="0.25">
      <c r="N138">
        <v>889</v>
      </c>
    </row>
    <row r="139" spans="14:14" x14ac:dyDescent="0.25">
      <c r="N139">
        <v>896</v>
      </c>
    </row>
    <row r="140" spans="14:14" x14ac:dyDescent="0.25">
      <c r="N140">
        <v>903</v>
      </c>
    </row>
    <row r="141" spans="14:14" x14ac:dyDescent="0.25">
      <c r="N141">
        <v>910</v>
      </c>
    </row>
    <row r="142" spans="14:14" x14ac:dyDescent="0.25">
      <c r="N142">
        <v>917</v>
      </c>
    </row>
    <row r="143" spans="14:14" x14ac:dyDescent="0.25">
      <c r="N143">
        <v>924</v>
      </c>
    </row>
    <row r="144" spans="14:14" x14ac:dyDescent="0.25">
      <c r="N144">
        <v>931</v>
      </c>
    </row>
    <row r="145" spans="14:14" x14ac:dyDescent="0.25">
      <c r="N145">
        <v>938</v>
      </c>
    </row>
    <row r="146" spans="14:14" x14ac:dyDescent="0.25">
      <c r="N146">
        <v>945</v>
      </c>
    </row>
    <row r="147" spans="14:14" x14ac:dyDescent="0.25">
      <c r="N147">
        <v>952</v>
      </c>
    </row>
    <row r="148" spans="14:14" x14ac:dyDescent="0.25">
      <c r="N148">
        <v>959</v>
      </c>
    </row>
    <row r="149" spans="14:14" x14ac:dyDescent="0.25">
      <c r="N149">
        <v>966</v>
      </c>
    </row>
    <row r="150" spans="14:14" x14ac:dyDescent="0.25">
      <c r="N150">
        <v>973</v>
      </c>
    </row>
    <row r="151" spans="14:14" x14ac:dyDescent="0.25">
      <c r="N151">
        <v>980</v>
      </c>
    </row>
    <row r="152" spans="14:14" x14ac:dyDescent="0.25">
      <c r="N152">
        <v>987</v>
      </c>
    </row>
    <row r="153" spans="14:14" x14ac:dyDescent="0.25">
      <c r="N153">
        <v>994</v>
      </c>
    </row>
    <row r="154" spans="14:14" x14ac:dyDescent="0.25">
      <c r="N154">
        <v>1001</v>
      </c>
    </row>
    <row r="155" spans="14:14" x14ac:dyDescent="0.25">
      <c r="N155">
        <v>1008</v>
      </c>
    </row>
    <row r="156" spans="14:14" x14ac:dyDescent="0.25">
      <c r="N156">
        <v>1015</v>
      </c>
    </row>
    <row r="157" spans="14:14" x14ac:dyDescent="0.25">
      <c r="N157">
        <v>1022</v>
      </c>
    </row>
    <row r="158" spans="14:14" x14ac:dyDescent="0.25">
      <c r="N158">
        <v>1029</v>
      </c>
    </row>
    <row r="159" spans="14:14" x14ac:dyDescent="0.25">
      <c r="N159">
        <v>1036</v>
      </c>
    </row>
    <row r="160" spans="14:14" x14ac:dyDescent="0.25">
      <c r="N160">
        <v>1043</v>
      </c>
    </row>
    <row r="161" spans="14:14" x14ac:dyDescent="0.25">
      <c r="N161">
        <v>1050</v>
      </c>
    </row>
    <row r="162" spans="14:14" x14ac:dyDescent="0.25">
      <c r="N162">
        <v>1057</v>
      </c>
    </row>
    <row r="163" spans="14:14" x14ac:dyDescent="0.25">
      <c r="N163">
        <v>1064</v>
      </c>
    </row>
    <row r="164" spans="14:14" x14ac:dyDescent="0.25">
      <c r="N164">
        <v>1071</v>
      </c>
    </row>
    <row r="165" spans="14:14" x14ac:dyDescent="0.25">
      <c r="N165">
        <v>1078</v>
      </c>
    </row>
    <row r="166" spans="14:14" x14ac:dyDescent="0.25">
      <c r="N166">
        <v>1085</v>
      </c>
    </row>
    <row r="167" spans="14:14" x14ac:dyDescent="0.25">
      <c r="N167">
        <v>1092</v>
      </c>
    </row>
    <row r="168" spans="14:14" x14ac:dyDescent="0.25">
      <c r="N168">
        <v>1099</v>
      </c>
    </row>
    <row r="169" spans="14:14" x14ac:dyDescent="0.25">
      <c r="N169">
        <v>1106</v>
      </c>
    </row>
    <row r="170" spans="14:14" x14ac:dyDescent="0.25">
      <c r="N170">
        <v>1113</v>
      </c>
    </row>
    <row r="171" spans="14:14" x14ac:dyDescent="0.25">
      <c r="N171">
        <v>1120</v>
      </c>
    </row>
    <row r="172" spans="14:14" x14ac:dyDescent="0.25">
      <c r="N172">
        <v>1127</v>
      </c>
    </row>
    <row r="173" spans="14:14" x14ac:dyDescent="0.25">
      <c r="N173">
        <v>1134</v>
      </c>
    </row>
    <row r="174" spans="14:14" x14ac:dyDescent="0.25">
      <c r="N174">
        <v>1141</v>
      </c>
    </row>
    <row r="175" spans="14:14" x14ac:dyDescent="0.25">
      <c r="N175">
        <v>1148</v>
      </c>
    </row>
    <row r="176" spans="14:14" x14ac:dyDescent="0.25">
      <c r="N176">
        <v>1155</v>
      </c>
    </row>
    <row r="177" spans="14:14" x14ac:dyDescent="0.25">
      <c r="N177">
        <v>1162</v>
      </c>
    </row>
    <row r="178" spans="14:14" x14ac:dyDescent="0.25">
      <c r="N178">
        <v>1169</v>
      </c>
    </row>
    <row r="179" spans="14:14" x14ac:dyDescent="0.25">
      <c r="N179">
        <v>1176</v>
      </c>
    </row>
    <row r="180" spans="14:14" x14ac:dyDescent="0.25">
      <c r="N180">
        <v>1183</v>
      </c>
    </row>
    <row r="181" spans="14:14" x14ac:dyDescent="0.25">
      <c r="N181">
        <v>1190</v>
      </c>
    </row>
    <row r="182" spans="14:14" x14ac:dyDescent="0.25">
      <c r="N182">
        <v>1197</v>
      </c>
    </row>
    <row r="183" spans="14:14" x14ac:dyDescent="0.25">
      <c r="N183">
        <v>1204</v>
      </c>
    </row>
    <row r="184" spans="14:14" x14ac:dyDescent="0.25">
      <c r="N184">
        <v>1211</v>
      </c>
    </row>
    <row r="185" spans="14:14" x14ac:dyDescent="0.25">
      <c r="N185">
        <v>1218</v>
      </c>
    </row>
    <row r="186" spans="14:14" x14ac:dyDescent="0.25">
      <c r="N186">
        <v>1225</v>
      </c>
    </row>
    <row r="187" spans="14:14" x14ac:dyDescent="0.25">
      <c r="N187">
        <v>1232</v>
      </c>
    </row>
    <row r="188" spans="14:14" x14ac:dyDescent="0.25">
      <c r="N188">
        <v>1239</v>
      </c>
    </row>
    <row r="189" spans="14:14" x14ac:dyDescent="0.25">
      <c r="N189">
        <v>1246</v>
      </c>
    </row>
    <row r="190" spans="14:14" x14ac:dyDescent="0.25">
      <c r="N190">
        <v>1253</v>
      </c>
    </row>
    <row r="191" spans="14:14" x14ac:dyDescent="0.25">
      <c r="N191">
        <v>1260</v>
      </c>
    </row>
    <row r="192" spans="14:14" x14ac:dyDescent="0.25">
      <c r="N192">
        <v>1267</v>
      </c>
    </row>
    <row r="193" spans="14:14" x14ac:dyDescent="0.25">
      <c r="N193">
        <v>1274</v>
      </c>
    </row>
    <row r="194" spans="14:14" x14ac:dyDescent="0.25">
      <c r="N194">
        <v>1281</v>
      </c>
    </row>
    <row r="195" spans="14:14" x14ac:dyDescent="0.25">
      <c r="N195">
        <v>1288</v>
      </c>
    </row>
    <row r="196" spans="14:14" x14ac:dyDescent="0.25">
      <c r="N196">
        <v>1295</v>
      </c>
    </row>
    <row r="197" spans="14:14" x14ac:dyDescent="0.25">
      <c r="N197">
        <v>1302</v>
      </c>
    </row>
    <row r="198" spans="14:14" x14ac:dyDescent="0.25">
      <c r="N198">
        <v>1309</v>
      </c>
    </row>
    <row r="199" spans="14:14" x14ac:dyDescent="0.25">
      <c r="N199">
        <v>1316</v>
      </c>
    </row>
    <row r="200" spans="14:14" x14ac:dyDescent="0.25">
      <c r="N200">
        <v>1323</v>
      </c>
    </row>
    <row r="201" spans="14:14" x14ac:dyDescent="0.25">
      <c r="N201">
        <v>1330</v>
      </c>
    </row>
    <row r="202" spans="14:14" x14ac:dyDescent="0.25">
      <c r="N202">
        <v>1337</v>
      </c>
    </row>
    <row r="203" spans="14:14" x14ac:dyDescent="0.25">
      <c r="N203">
        <v>1344</v>
      </c>
    </row>
    <row r="204" spans="14:14" x14ac:dyDescent="0.25">
      <c r="N204">
        <v>1351</v>
      </c>
    </row>
    <row r="205" spans="14:14" x14ac:dyDescent="0.25">
      <c r="N205">
        <v>1358</v>
      </c>
    </row>
    <row r="206" spans="14:14" x14ac:dyDescent="0.25">
      <c r="N206">
        <v>1365</v>
      </c>
    </row>
    <row r="207" spans="14:14" x14ac:dyDescent="0.25">
      <c r="N207">
        <v>1372</v>
      </c>
    </row>
    <row r="208" spans="14:14" x14ac:dyDescent="0.25">
      <c r="N208">
        <v>1379</v>
      </c>
    </row>
    <row r="209" spans="14:14" x14ac:dyDescent="0.25">
      <c r="N209">
        <v>1386</v>
      </c>
    </row>
    <row r="210" spans="14:14" x14ac:dyDescent="0.25">
      <c r="N210">
        <v>1393</v>
      </c>
    </row>
    <row r="211" spans="14:14" x14ac:dyDescent="0.25">
      <c r="N211">
        <v>1400</v>
      </c>
    </row>
    <row r="212" spans="14:14" x14ac:dyDescent="0.25">
      <c r="N212">
        <v>1407</v>
      </c>
    </row>
    <row r="213" spans="14:14" x14ac:dyDescent="0.25">
      <c r="N213">
        <v>1414</v>
      </c>
    </row>
    <row r="214" spans="14:14" x14ac:dyDescent="0.25">
      <c r="N214">
        <v>1421</v>
      </c>
    </row>
    <row r="215" spans="14:14" x14ac:dyDescent="0.25">
      <c r="N215">
        <v>1428</v>
      </c>
    </row>
    <row r="216" spans="14:14" x14ac:dyDescent="0.25">
      <c r="N216">
        <v>1435</v>
      </c>
    </row>
    <row r="217" spans="14:14" x14ac:dyDescent="0.25">
      <c r="N217">
        <v>1442</v>
      </c>
    </row>
    <row r="218" spans="14:14" x14ac:dyDescent="0.25">
      <c r="N218">
        <v>1449</v>
      </c>
    </row>
    <row r="219" spans="14:14" x14ac:dyDescent="0.25">
      <c r="N219">
        <v>1456</v>
      </c>
    </row>
    <row r="220" spans="14:14" x14ac:dyDescent="0.25">
      <c r="N220">
        <v>1463</v>
      </c>
    </row>
    <row r="221" spans="14:14" x14ac:dyDescent="0.25">
      <c r="N221">
        <v>1470</v>
      </c>
    </row>
    <row r="222" spans="14:14" x14ac:dyDescent="0.25">
      <c r="N222">
        <v>1477</v>
      </c>
    </row>
    <row r="223" spans="14:14" x14ac:dyDescent="0.25">
      <c r="N223">
        <v>1484</v>
      </c>
    </row>
    <row r="224" spans="14:14" x14ac:dyDescent="0.25">
      <c r="N224">
        <v>1491</v>
      </c>
    </row>
    <row r="225" spans="14:14" x14ac:dyDescent="0.25">
      <c r="N225">
        <v>1498</v>
      </c>
    </row>
    <row r="226" spans="14:14" x14ac:dyDescent="0.25">
      <c r="N226">
        <v>1505</v>
      </c>
    </row>
    <row r="227" spans="14:14" x14ac:dyDescent="0.25">
      <c r="N227">
        <v>1512</v>
      </c>
    </row>
    <row r="228" spans="14:14" x14ac:dyDescent="0.25">
      <c r="N228">
        <v>1519</v>
      </c>
    </row>
    <row r="229" spans="14:14" x14ac:dyDescent="0.25">
      <c r="N229">
        <v>1526</v>
      </c>
    </row>
    <row r="230" spans="14:14" x14ac:dyDescent="0.25">
      <c r="N230">
        <v>1533</v>
      </c>
    </row>
    <row r="231" spans="14:14" x14ac:dyDescent="0.25">
      <c r="N231">
        <v>1540</v>
      </c>
    </row>
    <row r="232" spans="14:14" x14ac:dyDescent="0.25">
      <c r="N232">
        <v>1547</v>
      </c>
    </row>
    <row r="233" spans="14:14" x14ac:dyDescent="0.25">
      <c r="N233">
        <v>1554</v>
      </c>
    </row>
    <row r="234" spans="14:14" x14ac:dyDescent="0.25">
      <c r="N234">
        <v>1561</v>
      </c>
    </row>
    <row r="235" spans="14:14" x14ac:dyDescent="0.25">
      <c r="N235">
        <v>1568</v>
      </c>
    </row>
    <row r="236" spans="14:14" x14ac:dyDescent="0.25">
      <c r="N236">
        <v>1575</v>
      </c>
    </row>
  </sheetData>
  <hyperlinks>
    <hyperlink ref="B1" r:id="rId1" xr:uid="{161E075D-C8B4-4029-B928-920504FD4A81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6AE-F82C-47C3-AC4E-9FA0E7CDBAAD}">
  <sheetPr codeName="Sheet4"/>
  <dimension ref="A1:G236"/>
  <sheetViews>
    <sheetView tabSelected="1" topLeftCell="A6" workbookViewId="0">
      <selection activeCell="H17" sqref="H17"/>
    </sheetView>
  </sheetViews>
  <sheetFormatPr defaultRowHeight="15" x14ac:dyDescent="0.25"/>
  <cols>
    <col min="1" max="1" width="14.5703125" customWidth="1"/>
    <col min="2" max="6" width="25.7109375" customWidth="1"/>
    <col min="8" max="8" width="9.140625" customWidth="1"/>
  </cols>
  <sheetData>
    <row r="1" spans="1:7" ht="135" hidden="1" x14ac:dyDescent="0.25">
      <c r="A1" s="15" t="s">
        <v>29</v>
      </c>
      <c r="B1" t="str">
        <f>CONCATENATE(E1,"ReportText\C", TEXT(C7, "000"), "_DeviceInfo.txt")</f>
        <v>C:\Users\ahmed\OneDrive - streamcontrols.com\Desktop\Work\Hunter\HunterApp\Reports\ReportText\C001_DeviceInfo.txt</v>
      </c>
      <c r="E1" t="s">
        <v>28</v>
      </c>
    </row>
    <row r="2" spans="1:7" ht="15.75" hidden="1" customHeight="1" x14ac:dyDescent="0.25">
      <c r="A2" t="str">
        <f>MID(A1,4,10000)</f>
        <v>-1,3,Station,1,2,45,100,-1-1,2,Station,2,0,0,255,-1-1,2,Station,2,0,0,255,-1-1,3,Station,3,0,0,255,-1</v>
      </c>
    </row>
    <row r="3" spans="1:7" ht="15.75" hidden="1" customHeight="1" x14ac:dyDescent="0.25"/>
    <row r="4" spans="1:7" ht="15.75" hidden="1" customHeight="1" x14ac:dyDescent="0.25">
      <c r="B4" t="s">
        <v>19</v>
      </c>
      <c r="C4" t="s">
        <v>19</v>
      </c>
      <c r="D4" t="s">
        <v>19</v>
      </c>
      <c r="E4" t="s">
        <v>19</v>
      </c>
      <c r="F4" t="s">
        <v>19</v>
      </c>
      <c r="G4" t="s">
        <v>19</v>
      </c>
    </row>
    <row r="5" spans="1:7" ht="15.75" hidden="1" customHeight="1" x14ac:dyDescent="0.25"/>
    <row r="6" spans="1:7" ht="15.75" customHeight="1" x14ac:dyDescent="0.25"/>
    <row r="7" spans="1:7" ht="15.75" customHeight="1" x14ac:dyDescent="0.25">
      <c r="B7" s="1" t="s">
        <v>27</v>
      </c>
      <c r="C7" s="2">
        <v>1</v>
      </c>
    </row>
    <row r="8" spans="1:7" ht="15.75" customHeight="1" x14ac:dyDescent="0.25"/>
    <row r="9" spans="1:7" ht="30.75" customHeight="1" x14ac:dyDescent="0.25">
      <c r="A9" s="16" t="str">
        <f>CONCATENATE("Controller C",TEXT(C7,"000"))</f>
        <v>Controller C001</v>
      </c>
      <c r="B9" s="17"/>
      <c r="C9" s="17"/>
      <c r="D9" s="17"/>
      <c r="E9" s="17"/>
      <c r="F9" s="20"/>
    </row>
    <row r="10" spans="1:7" ht="23.25" customHeight="1" x14ac:dyDescent="0.25">
      <c r="A10" s="18" t="s">
        <v>26</v>
      </c>
      <c r="B10" s="19"/>
      <c r="C10" s="19"/>
      <c r="D10" s="19"/>
      <c r="E10" s="19"/>
      <c r="F10" s="21"/>
    </row>
    <row r="11" spans="1:7" x14ac:dyDescent="0.25">
      <c r="A11" s="5" t="s">
        <v>25</v>
      </c>
      <c r="B11" s="5" t="s">
        <v>20</v>
      </c>
      <c r="C11" s="5" t="s">
        <v>21</v>
      </c>
      <c r="D11" s="5" t="s">
        <v>22</v>
      </c>
      <c r="E11" s="5" t="s">
        <v>23</v>
      </c>
      <c r="F11" s="5" t="s">
        <v>24</v>
      </c>
    </row>
    <row r="12" spans="1:7" x14ac:dyDescent="0.25">
      <c r="A12" s="14">
        <v>1</v>
      </c>
      <c r="B12" s="10" t="str" cm="1">
        <f t="array" ref="B12">GetCSVIndex(A2,2)</f>
        <v>Station</v>
      </c>
      <c r="C12" s="10" t="str" cm="1">
        <f t="array" ref="C12">GetCSVIndex(A2,3)</f>
        <v>1</v>
      </c>
      <c r="D12" s="10" t="str" cm="1">
        <f t="array" ref="D12">IFERROR(CHOOSE(GetCSVIndex(A2,4)+1,"Unknown","No","Yes"),"")</f>
        <v>Yes</v>
      </c>
      <c r="E12" s="10" t="str" cm="1">
        <f t="array" ref="E12">GetCSVIndex(A2,5)</f>
        <v>45</v>
      </c>
      <c r="F12" s="10" t="str" cm="1">
        <f t="array" ref="F12" xml:space="preserve"> IF(GetCSVIndex(A2,6)="255","Not Connected",GetCSVIndex(A2,6))</f>
        <v>100</v>
      </c>
    </row>
    <row r="13" spans="1:7" x14ac:dyDescent="0.25">
      <c r="A13" s="14">
        <v>2</v>
      </c>
      <c r="B13" s="10" t="str" cm="1">
        <f t="array" ref="B13">GetCSVIndex(A2,2+7)</f>
        <v>Station</v>
      </c>
      <c r="C13" s="10" t="str" cm="1">
        <f t="array" ref="C13">GetCSVIndex(A2,3+7)</f>
        <v>2</v>
      </c>
      <c r="D13" s="10" t="str">
        <f>IFERROR(CHOOSE(GetCSVIndex($A$2,4+7)+1,"Unknown","No","Yes"),"")</f>
        <v>Unknown</v>
      </c>
      <c r="E13" s="10" t="str" cm="1">
        <f t="array" ref="E13">GetCSVIndex(A2,5+7)</f>
        <v>0</v>
      </c>
      <c r="F13" s="10" t="str" cm="1">
        <f t="array" ref="F13" xml:space="preserve"> IF(GetCSVIndex(A2,6+settings!N12)="255","Not Connected",GetCSVIndex(A2,6+settings!N12))</f>
        <v>Not Connected</v>
      </c>
    </row>
    <row r="14" spans="1:7" x14ac:dyDescent="0.25">
      <c r="A14" s="14">
        <v>3</v>
      </c>
      <c r="B14" s="10" t="str" cm="1">
        <f t="array" ref="B14">GetCSVIndex(A2,2+14)</f>
        <v>Station</v>
      </c>
      <c r="C14" s="10" t="str" cm="1">
        <f t="array" ref="C14">GetCSVIndex(A2,3+14)</f>
        <v>2</v>
      </c>
      <c r="D14" s="10" t="str">
        <f>IFERROR(CHOOSE(GetCSVIndex($A$2,4+14)+1,"Unknown","No","Yes"),"")</f>
        <v>Unknown</v>
      </c>
      <c r="E14" s="10" t="str" cm="1">
        <f t="array" ref="E14">GetCSVIndex(A2,5+14)</f>
        <v>0</v>
      </c>
      <c r="F14" s="10" t="str" cm="1">
        <f t="array" ref="F14" xml:space="preserve"> IF(GetCSVIndex(A2,6+settings!N13)="255","Not Connected",GetCSVIndex(A2,6+settings!N13))</f>
        <v>Not Connected</v>
      </c>
    </row>
    <row r="15" spans="1:7" x14ac:dyDescent="0.25">
      <c r="A15" s="14">
        <v>4</v>
      </c>
      <c r="B15" s="10" t="str" cm="1">
        <f t="array" ref="B15">GetCSVIndex(A2,2+21)</f>
        <v>Station</v>
      </c>
      <c r="C15" s="10" t="str" cm="1">
        <f t="array" ref="C15">GetCSVIndex(A2,3+21)</f>
        <v>3</v>
      </c>
      <c r="D15" s="10" t="str" cm="1">
        <f t="array" ref="D15">IFERROR(CHOOSE(GetCSVIndex($A$2,4+21)+1,"Unknown","No","Yes"),"")</f>
        <v>Unknown</v>
      </c>
      <c r="E15" s="10" t="str" cm="1">
        <f t="array" ref="E15">GetCSVIndex(A2,5+21)</f>
        <v>0</v>
      </c>
      <c r="F15" s="10" t="str" cm="1">
        <f t="array" ref="F15" xml:space="preserve"> IF(GetCSVIndex(A2,6+settings!N14)="255","Not Connected",GetCSVIndex(A2,6+settings!N14))</f>
        <v>Not Connected</v>
      </c>
    </row>
    <row r="16" spans="1:7" x14ac:dyDescent="0.25">
      <c r="A16" s="14">
        <v>5</v>
      </c>
      <c r="B16" s="10" t="str" cm="1">
        <f t="array" ref="B16">GetCSVIndex(A2,2+28)</f>
        <v/>
      </c>
      <c r="C16" s="10" t="str" cm="1">
        <f t="array" ref="C16">GetCSVIndex(A2,3+28)</f>
        <v/>
      </c>
      <c r="D16" s="10" t="str" cm="1">
        <f t="array" ref="D16">IFERROR(CHOOSE(GetCSVIndex($A$2,4+28)+1,"Unknown","No","Yes"),"")</f>
        <v/>
      </c>
      <c r="E16" s="10" t="str" cm="1">
        <f t="array" ref="E16">GetCSVIndex(A2,5+28)</f>
        <v/>
      </c>
      <c r="F16" s="10" t="str" cm="1">
        <f t="array" ref="F16" xml:space="preserve"> IF(GetCSVIndex(A2,6+settings!N15)="255","Not Connected",GetCSVIndex(A2,6+settings!N15))</f>
        <v/>
      </c>
    </row>
    <row r="17" spans="1:6" x14ac:dyDescent="0.25">
      <c r="A17" s="14">
        <v>6</v>
      </c>
      <c r="B17" s="10" t="str" cm="1">
        <f t="array" ref="B17">GetCSVIndex(A2,2+35)</f>
        <v/>
      </c>
      <c r="C17" s="10" t="str" cm="1">
        <f t="array" ref="C17">GetCSVIndex(A2,3+35)</f>
        <v/>
      </c>
      <c r="D17" s="10" t="str">
        <f>IFERROR(CHOOSE(GetCSVIndex($A$2,4+35)+1,"Unknown","No","Yes"),"")</f>
        <v/>
      </c>
      <c r="E17" s="10" t="str" cm="1">
        <f t="array" ref="E17">GetCSVIndex(A2,5+35)</f>
        <v/>
      </c>
      <c r="F17" s="10" t="str" cm="1">
        <f t="array" ref="F17" xml:space="preserve"> IF(GetCSVIndex(A2,6+settings!N16)="255","Not Connected",GetCSVIndex(A2,6+settings!N16))</f>
        <v/>
      </c>
    </row>
    <row r="18" spans="1:6" x14ac:dyDescent="0.25">
      <c r="A18" s="14">
        <v>7</v>
      </c>
      <c r="B18" s="10" t="str" cm="1">
        <f t="array" ref="B18">GetCSVIndex(A2,2+42)</f>
        <v/>
      </c>
      <c r="C18" s="10" t="str" cm="1">
        <f t="array" ref="C18">GetCSVIndex(A2,3+42)</f>
        <v/>
      </c>
      <c r="D18" s="10" t="str">
        <f>IFERROR(CHOOSE(GetCSVIndex($A$2,4+42)+1,"Unknown","No","Yes"),"")</f>
        <v/>
      </c>
      <c r="E18" s="10" t="str" cm="1">
        <f t="array" ref="E18">GetCSVIndex(A2,5+42)</f>
        <v/>
      </c>
      <c r="F18" s="10" t="str" cm="1">
        <f t="array" ref="F18" xml:space="preserve"> IF(GetCSVIndex(A2,6+settings!N17)="255","Not Connected",GetCSVIndex(A2,6+settings!N17))</f>
        <v/>
      </c>
    </row>
    <row r="19" spans="1:6" x14ac:dyDescent="0.25">
      <c r="A19" s="14">
        <v>8</v>
      </c>
      <c r="B19" s="10" t="str" cm="1">
        <f t="array" ref="B19">GetCSVIndex(A2,2+49)</f>
        <v/>
      </c>
      <c r="C19" s="10" t="str" cm="1">
        <f t="array" ref="C19">GetCSVIndex(A2,3+49)</f>
        <v/>
      </c>
      <c r="D19" s="10" t="str">
        <f>IFERROR(CHOOSE(GetCSVIndex($A$2,4+49)+1,"Unknown","No","Yes"),"")</f>
        <v/>
      </c>
      <c r="E19" s="10" t="str" cm="1">
        <f t="array" ref="E19">GetCSVIndex(A2,5+49)</f>
        <v/>
      </c>
      <c r="F19" s="10" t="str" cm="1">
        <f t="array" ref="F19" xml:space="preserve"> IF(GetCSVIndex(A2,6+settings!N18)="255","Not Connected",GetCSVIndex(A2,6+settings!N18))</f>
        <v/>
      </c>
    </row>
    <row r="20" spans="1:6" x14ac:dyDescent="0.25">
      <c r="A20" s="14">
        <v>9</v>
      </c>
      <c r="B20" s="10" t="str" cm="1">
        <f t="array" ref="B20">GetCSVIndex(A2,2+56)</f>
        <v/>
      </c>
      <c r="C20" s="10" t="str" cm="1">
        <f t="array" ref="C20">GetCSVIndex(A2,3+56)</f>
        <v/>
      </c>
      <c r="D20" s="10" t="str">
        <f>IFERROR(CHOOSE(GetCSVIndex($A$2,4+56)+1,"Unknown","No","Yes"),"")</f>
        <v/>
      </c>
      <c r="E20" s="10" t="str" cm="1">
        <f t="array" ref="E20">GetCSVIndex(A2,5+56)</f>
        <v/>
      </c>
      <c r="F20" s="10" t="str" cm="1">
        <f t="array" ref="F20" xml:space="preserve"> IF(GetCSVIndex(A2,6+settings!N19)="255","Not Connected",GetCSVIndex(A2,6+settings!N19))</f>
        <v/>
      </c>
    </row>
    <row r="21" spans="1:6" x14ac:dyDescent="0.25">
      <c r="A21" s="14">
        <v>10</v>
      </c>
      <c r="B21" s="10" t="str" cm="1">
        <f t="array" ref="B21">GetCSVIndex(A2,2+63)</f>
        <v/>
      </c>
      <c r="C21" s="10" t="str" cm="1">
        <f t="array" ref="C21">GetCSVIndex(A2,3+63)</f>
        <v/>
      </c>
      <c r="D21" s="10" t="str">
        <f>IFERROR(CHOOSE(GetCSVIndex($A$2,4+63)+1,"Unknown","No","Yes"),"")</f>
        <v/>
      </c>
      <c r="E21" s="10" t="str" cm="1">
        <f t="array" ref="E21">GetCSVIndex(A2,5+63)</f>
        <v/>
      </c>
      <c r="F21" s="10" t="str" cm="1">
        <f t="array" ref="F21" xml:space="preserve"> IF(GetCSVIndex(A2,6+settings!N20)="255","Not Connected",GetCSVIndex(A2,6+settings!N20))</f>
        <v/>
      </c>
    </row>
    <row r="22" spans="1:6" x14ac:dyDescent="0.25">
      <c r="A22" s="14">
        <v>11</v>
      </c>
      <c r="B22" s="10" t="str" cm="1">
        <f t="array" ref="B22">GetCSVIndex(A2,2+70)</f>
        <v/>
      </c>
      <c r="C22" s="10" t="str" cm="1">
        <f t="array" ref="C22">GetCSVIndex(A2,3+70)</f>
        <v/>
      </c>
      <c r="D22" s="10" t="str">
        <f>IFERROR(CHOOSE(GetCSVIndex($A$2,4+70)+1,"Unknown","No","Yes"),"")</f>
        <v/>
      </c>
      <c r="E22" s="10" t="str" cm="1">
        <f t="array" ref="E22">GetCSVIndex(A2,5+70)</f>
        <v/>
      </c>
      <c r="F22" s="10" t="str" cm="1">
        <f t="array" ref="F22" xml:space="preserve"> IF(GetCSVIndex(A2,6+settings!N21)="255","Not Connected",GetCSVIndex(A2,6+settings!N21))</f>
        <v/>
      </c>
    </row>
    <row r="23" spans="1:6" x14ac:dyDescent="0.25">
      <c r="A23" s="14">
        <v>12</v>
      </c>
      <c r="B23" s="10" t="str" cm="1">
        <f t="array" ref="B23">GetCSVIndex(A2,2+77)</f>
        <v/>
      </c>
      <c r="C23" s="10" t="str" cm="1">
        <f t="array" ref="C23">GetCSVIndex(A2,3+77)</f>
        <v/>
      </c>
      <c r="D23" s="10" t="str">
        <f>IFERROR(CHOOSE(GetCSVIndex($A$2,4+77)+1,"Unknown","No","Yes"),"")</f>
        <v/>
      </c>
      <c r="E23" s="10" t="str" cm="1">
        <f t="array" ref="E23">GetCSVIndex(A2,5+77)</f>
        <v/>
      </c>
      <c r="F23" s="10" t="str" cm="1">
        <f t="array" ref="F23" xml:space="preserve"> IF(GetCSVIndex(A2,6+settings!N22)="255","Not Connected",GetCSVIndex(A2,6+settings!N22))</f>
        <v/>
      </c>
    </row>
    <row r="24" spans="1:6" x14ac:dyDescent="0.25">
      <c r="A24" s="14">
        <v>13</v>
      </c>
      <c r="B24" s="10" t="str" cm="1">
        <f t="array" ref="B24">GetCSVIndex(A2,2+84)</f>
        <v/>
      </c>
      <c r="C24" s="10" t="str" cm="1">
        <f t="array" ref="C24">GetCSVIndex(A2,3+84)</f>
        <v/>
      </c>
      <c r="D24" s="10" t="str">
        <f>IFERROR(CHOOSE(GetCSVIndex($A$2,4+84)+1,"Unknown","No","Yes"),"")</f>
        <v/>
      </c>
      <c r="E24" s="10" t="str" cm="1">
        <f t="array" ref="E24">GetCSVIndex(A2,5+84)</f>
        <v/>
      </c>
      <c r="F24" s="10" t="str" cm="1">
        <f t="array" ref="F24" xml:space="preserve"> IF(GetCSVIndex(A2,6+settings!N23)="255","Not Connected",GetCSVIndex(A2,6+settings!N23))</f>
        <v/>
      </c>
    </row>
    <row r="25" spans="1:6" x14ac:dyDescent="0.25">
      <c r="A25" s="14">
        <v>14</v>
      </c>
      <c r="B25" s="10" t="str" cm="1">
        <f t="array" ref="B25">GetCSVIndex(A2,2+91)</f>
        <v/>
      </c>
      <c r="C25" s="10" t="str" cm="1">
        <f t="array" ref="C25">GetCSVIndex(A2,3+91)</f>
        <v/>
      </c>
      <c r="D25" s="10" t="str">
        <f>IFERROR(CHOOSE(GetCSVIndex($A$2,4+91)+1,"Unknown","No","Yes"),"")</f>
        <v/>
      </c>
      <c r="E25" s="10" t="str" cm="1">
        <f t="array" ref="E25">GetCSVIndex(A2,5+91)</f>
        <v/>
      </c>
      <c r="F25" s="10" t="str" cm="1">
        <f t="array" ref="F25" xml:space="preserve"> IF(GetCSVIndex(A2,6+settings!N24)="255","Not Connected",GetCSVIndex(A2,6+settings!N24))</f>
        <v/>
      </c>
    </row>
    <row r="26" spans="1:6" x14ac:dyDescent="0.25">
      <c r="A26" s="14">
        <v>15</v>
      </c>
      <c r="B26" s="10" t="str" cm="1">
        <f t="array" ref="B26">GetCSVIndex(A2,2+98)</f>
        <v/>
      </c>
      <c r="C26" s="10" t="str" cm="1">
        <f t="array" ref="C26">GetCSVIndex(A2,3+98)</f>
        <v/>
      </c>
      <c r="D26" s="10" t="str">
        <f>IFERROR(CHOOSE(GetCSVIndex($A$2,4+98)+1,"Unknown","No","Yes"),"")</f>
        <v/>
      </c>
      <c r="E26" s="10" t="str" cm="1">
        <f t="array" ref="E26">GetCSVIndex(A2,5+98)</f>
        <v/>
      </c>
      <c r="F26" s="10" t="str" cm="1">
        <f t="array" ref="F26" xml:space="preserve"> IF(GetCSVIndex(A2,6+settings!N25)="255","Not Connected",GetCSVIndex(A2,6+settings!N25))</f>
        <v/>
      </c>
    </row>
    <row r="27" spans="1:6" x14ac:dyDescent="0.25">
      <c r="A27" s="14">
        <v>16</v>
      </c>
      <c r="B27" s="10" t="str" cm="1">
        <f t="array" ref="B27">GetCSVIndex(A2,2+105)</f>
        <v/>
      </c>
      <c r="C27" s="10" t="str" cm="1">
        <f t="array" ref="C27">GetCSVIndex(A2,3+105)</f>
        <v/>
      </c>
      <c r="D27" s="10" t="str">
        <f>IFERROR(CHOOSE(GetCSVIndex($A$2,4+105)+1,"Unknown","No","Yes"),"")</f>
        <v/>
      </c>
      <c r="E27" s="10" t="str" cm="1">
        <f t="array" ref="E27">GetCSVIndex(A2,5+105)</f>
        <v/>
      </c>
      <c r="F27" s="10" t="str" cm="1">
        <f t="array" ref="F27" xml:space="preserve"> IF(GetCSVIndex(A2,6+settings!N26)="255","Not Connected",GetCSVIndex(A2,6+settings!N26))</f>
        <v/>
      </c>
    </row>
    <row r="28" spans="1:6" x14ac:dyDescent="0.25">
      <c r="A28" s="14">
        <v>17</v>
      </c>
      <c r="B28" s="10" t="str" cm="1">
        <f t="array" ref="B28">GetCSVIndex(A2,2+112)</f>
        <v/>
      </c>
      <c r="C28" s="10" t="str" cm="1">
        <f t="array" ref="C28">GetCSVIndex(A2,3+112)</f>
        <v/>
      </c>
      <c r="D28" s="10" t="str">
        <f>IFERROR(CHOOSE(GetCSVIndex($A$2,4+112)+1,"Unknown","No","Yes"),"")</f>
        <v/>
      </c>
      <c r="E28" s="10" t="str" cm="1">
        <f t="array" ref="E28">GetCSVIndex(A2,5+112)</f>
        <v/>
      </c>
      <c r="F28" s="10" t="str" cm="1">
        <f t="array" ref="F28" xml:space="preserve"> IF(GetCSVIndex(A2,6+settings!N27)="255","Not Connected",GetCSVIndex(A2,6+settings!N27))</f>
        <v/>
      </c>
    </row>
    <row r="29" spans="1:6" x14ac:dyDescent="0.25">
      <c r="A29" s="14">
        <v>18</v>
      </c>
      <c r="B29" s="10" t="str" cm="1">
        <f t="array" ref="B29">GetCSVIndex(A2,2+119)</f>
        <v/>
      </c>
      <c r="C29" s="10" t="str" cm="1">
        <f t="array" ref="C29">GetCSVIndex(A2,3+119)</f>
        <v/>
      </c>
      <c r="D29" s="10" t="str">
        <f>IFERROR(CHOOSE(GetCSVIndex($A$2,4+119)+1,"Unknown","No","Yes"),"")</f>
        <v/>
      </c>
      <c r="E29" s="10" t="str" cm="1">
        <f t="array" ref="E29">GetCSVIndex(A2,5+119)</f>
        <v/>
      </c>
      <c r="F29" s="10" t="str" cm="1">
        <f t="array" ref="F29" xml:space="preserve"> IF(GetCSVIndex(A2,6+settings!N28)="255","Not Connected",GetCSVIndex(A2,6+settings!N28))</f>
        <v/>
      </c>
    </row>
    <row r="30" spans="1:6" x14ac:dyDescent="0.25">
      <c r="A30" s="14">
        <v>19</v>
      </c>
      <c r="B30" s="10" t="str" cm="1">
        <f t="array" ref="B30">GetCSVIndex(A2,2+126)</f>
        <v/>
      </c>
      <c r="C30" s="10" t="str" cm="1">
        <f t="array" ref="C30">GetCSVIndex(A2,3+126)</f>
        <v/>
      </c>
      <c r="D30" s="10" t="str">
        <f>IFERROR(CHOOSE(GetCSVIndex($A$2,4+126)+1,"Unknown","No","Yes"),"")</f>
        <v/>
      </c>
      <c r="E30" s="10" t="str" cm="1">
        <f t="array" ref="E30">GetCSVIndex(A2,5+126)</f>
        <v/>
      </c>
      <c r="F30" s="10" t="str" cm="1">
        <f t="array" ref="F30" xml:space="preserve"> IF(GetCSVIndex(A2,6+settings!N29)="255","Not Connected",GetCSVIndex(A2,6+settings!N29))</f>
        <v/>
      </c>
    </row>
    <row r="31" spans="1:6" x14ac:dyDescent="0.25">
      <c r="A31" s="14">
        <v>20</v>
      </c>
      <c r="B31" s="10" t="str" cm="1">
        <f t="array" ref="B31">GetCSVIndex(A2,2+133)</f>
        <v/>
      </c>
      <c r="C31" s="10" t="str" cm="1">
        <f t="array" ref="C31">GetCSVIndex(A2,3+133)</f>
        <v/>
      </c>
      <c r="D31" s="10" t="str">
        <f>IFERROR(CHOOSE(GetCSVIndex($A$2,4+133)+1,"Unknown","No","Yes"),"")</f>
        <v/>
      </c>
      <c r="E31" s="10" t="str" cm="1">
        <f t="array" ref="E31">GetCSVIndex(A2,5+133)</f>
        <v/>
      </c>
      <c r="F31" s="10" t="str" cm="1">
        <f t="array" ref="F31" xml:space="preserve"> IF(GetCSVIndex(A2,6+settings!N30)="255","Not Connected",GetCSVIndex(A2,6+settings!N30))</f>
        <v/>
      </c>
    </row>
    <row r="32" spans="1:6" x14ac:dyDescent="0.25">
      <c r="A32" s="14">
        <v>21</v>
      </c>
      <c r="B32" s="10" t="str" cm="1">
        <f t="array" ref="B32">GetCSVIndex(A2,2+140)</f>
        <v/>
      </c>
      <c r="C32" s="10" t="str" cm="1">
        <f t="array" ref="C32">GetCSVIndex(A2,3+140)</f>
        <v/>
      </c>
      <c r="D32" s="10" t="str">
        <f>IFERROR(CHOOSE(GetCSVIndex($A$2,4+140)+1,"Unknown","No","Yes"),"")</f>
        <v/>
      </c>
      <c r="E32" s="10" t="str" cm="1">
        <f t="array" ref="E32">GetCSVIndex(A2,5+140)</f>
        <v/>
      </c>
      <c r="F32" s="10" t="str" cm="1">
        <f t="array" ref="F32" xml:space="preserve"> IF(GetCSVIndex(A2,6+settings!N31)="255","Not Connected",GetCSVIndex(A2,6+settings!N31))</f>
        <v/>
      </c>
    </row>
    <row r="33" spans="1:6" x14ac:dyDescent="0.25">
      <c r="A33" s="14">
        <v>22</v>
      </c>
      <c r="B33" s="10" t="str" cm="1">
        <f t="array" ref="B33">GetCSVIndex(A2,2+147)</f>
        <v/>
      </c>
      <c r="C33" s="10" t="str" cm="1">
        <f t="array" ref="C33">GetCSVIndex(A2,3+147)</f>
        <v/>
      </c>
      <c r="D33" s="10" t="str">
        <f>IFERROR(CHOOSE(GetCSVIndex($A$2,4+147)+1,"Unknown","No","Yes"),"")</f>
        <v/>
      </c>
      <c r="E33" s="10" t="str" cm="1">
        <f t="array" ref="E33">GetCSVIndex(A2,5+147)</f>
        <v/>
      </c>
      <c r="F33" s="10" t="str" cm="1">
        <f t="array" ref="F33" xml:space="preserve"> IF(GetCSVIndex(A2,6+settings!N32)="255","Not Connected",GetCSVIndex(A2,6+settings!N32))</f>
        <v/>
      </c>
    </row>
    <row r="34" spans="1:6" x14ac:dyDescent="0.25">
      <c r="A34" s="14">
        <v>23</v>
      </c>
      <c r="B34" s="10" t="str" cm="1">
        <f t="array" ref="B34">GetCSVIndex(A2,2+154)</f>
        <v/>
      </c>
      <c r="C34" s="10" t="str" cm="1">
        <f t="array" ref="C34">GetCSVIndex(A2,3+154)</f>
        <v/>
      </c>
      <c r="D34" s="10" t="str">
        <f>IFERROR(CHOOSE(GetCSVIndex($A$2,4+154)+1,"Unknown","No","Yes"),"")</f>
        <v/>
      </c>
      <c r="E34" s="10" t="str" cm="1">
        <f t="array" ref="E34">GetCSVIndex(A2,5+154)</f>
        <v/>
      </c>
      <c r="F34" s="10" t="str" cm="1">
        <f t="array" ref="F34" xml:space="preserve"> IF(GetCSVIndex(A2,6+settings!N33)="255","Not Connected",GetCSVIndex(A2,6+settings!N33))</f>
        <v/>
      </c>
    </row>
    <row r="35" spans="1:6" x14ac:dyDescent="0.25">
      <c r="A35" s="14">
        <v>24</v>
      </c>
      <c r="B35" s="10" t="str" cm="1">
        <f t="array" ref="B35">GetCSVIndex(A2,2+161)</f>
        <v/>
      </c>
      <c r="C35" s="10" t="str" cm="1">
        <f t="array" ref="C35">GetCSVIndex(A2,3+161)</f>
        <v/>
      </c>
      <c r="D35" s="10" t="str">
        <f>IFERROR(CHOOSE(GetCSVIndex($A$2,4+161)+1,"Unknown","No","Yes"),"")</f>
        <v/>
      </c>
      <c r="E35" s="10" t="str" cm="1">
        <f t="array" ref="E35">GetCSVIndex(A2,5+161)</f>
        <v/>
      </c>
      <c r="F35" s="10" t="str" cm="1">
        <f t="array" ref="F35" xml:space="preserve"> IF(GetCSVIndex(A2,6+settings!N34)="255","Not Connected",GetCSVIndex(A2,6+settings!N34))</f>
        <v/>
      </c>
    </row>
    <row r="36" spans="1:6" x14ac:dyDescent="0.25">
      <c r="A36" s="14">
        <v>25</v>
      </c>
      <c r="B36" s="10" t="str" cm="1">
        <f t="array" ref="B36">GetCSVIndex(A2,2+168)</f>
        <v/>
      </c>
      <c r="C36" s="10" t="str" cm="1">
        <f t="array" ref="C36">GetCSVIndex(A2,3+168)</f>
        <v/>
      </c>
      <c r="D36" s="10" t="str">
        <f>IFERROR(CHOOSE(GetCSVIndex($A$2,4+168)+1,"Unknown","No","Yes"),"")</f>
        <v/>
      </c>
      <c r="E36" s="10" t="str" cm="1">
        <f t="array" ref="E36">GetCSVIndex(A2,5+168)</f>
        <v/>
      </c>
      <c r="F36" s="10" t="str" cm="1">
        <f t="array" ref="F36" xml:space="preserve"> IF(GetCSVIndex(A2,6+settings!N35)="255","Not Connected",GetCSVIndex(A2,6+settings!N35))</f>
        <v/>
      </c>
    </row>
    <row r="37" spans="1:6" x14ac:dyDescent="0.25">
      <c r="A37" s="14">
        <v>26</v>
      </c>
      <c r="B37" s="10" t="str" cm="1">
        <f t="array" ref="B37">GetCSVIndex(A2,2+175)</f>
        <v/>
      </c>
      <c r="C37" s="10" t="str" cm="1">
        <f t="array" ref="C37">GetCSVIndex(A2,3+175)</f>
        <v/>
      </c>
      <c r="D37" s="10" t="str">
        <f>IFERROR(CHOOSE(GetCSVIndex($A$2,4+175)+1,"Unknown","No","Yes"),"")</f>
        <v/>
      </c>
      <c r="E37" s="10" t="str" cm="1">
        <f t="array" ref="E37">GetCSVIndex(A2,5+175)</f>
        <v/>
      </c>
      <c r="F37" s="10" t="str" cm="1">
        <f t="array" ref="F37" xml:space="preserve"> IF(GetCSVIndex(A2,6+settings!N36)="255","Not Connected",GetCSVIndex(A2,6+settings!N36))</f>
        <v/>
      </c>
    </row>
    <row r="38" spans="1:6" x14ac:dyDescent="0.25">
      <c r="A38" s="14">
        <v>27</v>
      </c>
      <c r="B38" s="10" t="str" cm="1">
        <f t="array" ref="B38">GetCSVIndex(A2,2+182)</f>
        <v/>
      </c>
      <c r="C38" s="10" t="str" cm="1">
        <f t="array" ref="C38">GetCSVIndex(A2,3+182)</f>
        <v/>
      </c>
      <c r="D38" s="10" t="str">
        <f>IFERROR(CHOOSE(GetCSVIndex($A$2,4+182)+1,"Unknown","No","Yes"),"")</f>
        <v/>
      </c>
      <c r="E38" s="10" t="str" cm="1">
        <f t="array" ref="E38">GetCSVIndex(A2,5+182)</f>
        <v/>
      </c>
      <c r="F38" s="10" t="str" cm="1">
        <f t="array" ref="F38" xml:space="preserve"> IF(GetCSVIndex(A2,6+settings!N37)="255","Not Connected",GetCSVIndex(A2,6+settings!N37))</f>
        <v/>
      </c>
    </row>
    <row r="39" spans="1:6" x14ac:dyDescent="0.25">
      <c r="A39" s="14">
        <v>28</v>
      </c>
      <c r="B39" s="10" t="str" cm="1">
        <f t="array" ref="B39">GetCSVIndex(A2,2+189)</f>
        <v/>
      </c>
      <c r="C39" s="10" t="str" cm="1">
        <f t="array" ref="C39">GetCSVIndex(A2,3+189)</f>
        <v/>
      </c>
      <c r="D39" s="10" t="str">
        <f>IFERROR(CHOOSE(GetCSVIndex($A$2,4+189)+1,"Unknown","No","Yes"),"")</f>
        <v/>
      </c>
      <c r="E39" s="10" t="str" cm="1">
        <f t="array" ref="E39">GetCSVIndex(A2,5+189)</f>
        <v/>
      </c>
      <c r="F39" s="10" t="str" cm="1">
        <f t="array" ref="F39" xml:space="preserve"> IF(GetCSVIndex(A2,6+settings!N38)="255","Not Connected",GetCSVIndex(A2,6+settings!N38))</f>
        <v/>
      </c>
    </row>
    <row r="40" spans="1:6" x14ac:dyDescent="0.25">
      <c r="A40" s="14">
        <v>29</v>
      </c>
      <c r="B40" s="10" t="str" cm="1">
        <f t="array" ref="B40">GetCSVIndex(A2,2+196)</f>
        <v/>
      </c>
      <c r="C40" s="10" t="str" cm="1">
        <f t="array" ref="C40">GetCSVIndex(A2,3+196)</f>
        <v/>
      </c>
      <c r="D40" s="10" t="str">
        <f>IFERROR(CHOOSE(GetCSVIndex($A$2,4+196)+1,"Unknown","No","Yes"),"")</f>
        <v/>
      </c>
      <c r="E40" s="10" t="str" cm="1">
        <f t="array" ref="E40">GetCSVIndex(A2,5+196)</f>
        <v/>
      </c>
      <c r="F40" s="10" t="str" cm="1">
        <f t="array" ref="F40" xml:space="preserve"> IF(GetCSVIndex(A2,6+settings!N39)="255","Not Connected",GetCSVIndex(A2,6+settings!N39))</f>
        <v/>
      </c>
    </row>
    <row r="41" spans="1:6" x14ac:dyDescent="0.25">
      <c r="A41" s="14">
        <v>30</v>
      </c>
      <c r="B41" s="10" t="str" cm="1">
        <f t="array" ref="B41">GetCSVIndex(A2,2+203)</f>
        <v/>
      </c>
      <c r="C41" s="10" t="str" cm="1">
        <f t="array" ref="C41">GetCSVIndex(A2,3+203)</f>
        <v/>
      </c>
      <c r="D41" s="10" t="str">
        <f>IFERROR(CHOOSE(GetCSVIndex($A$2,4+203)+1,"Unknown","No","Yes"),"")</f>
        <v/>
      </c>
      <c r="E41" s="10" t="str" cm="1">
        <f t="array" ref="E41">GetCSVIndex(A2,5+203)</f>
        <v/>
      </c>
      <c r="F41" s="10" t="str" cm="1">
        <f t="array" ref="F41" xml:space="preserve"> IF(GetCSVIndex(A2,6+settings!N40)="255","Not Connected",GetCSVIndex(A2,6+settings!N40))</f>
        <v/>
      </c>
    </row>
    <row r="42" spans="1:6" x14ac:dyDescent="0.25">
      <c r="A42" s="14">
        <v>31</v>
      </c>
      <c r="B42" s="10" t="str" cm="1">
        <f t="array" ref="B42">GetCSVIndex(A2,2+210)</f>
        <v/>
      </c>
      <c r="C42" s="10" t="str" cm="1">
        <f t="array" ref="C42">GetCSVIndex(A2,3+210)</f>
        <v/>
      </c>
      <c r="D42" s="10" t="str">
        <f>IFERROR(CHOOSE(GetCSVIndex($A$2,4+210)+1,"Unknown","No","Yes"),"")</f>
        <v/>
      </c>
      <c r="E42" s="10" t="str" cm="1">
        <f t="array" ref="E42">GetCSVIndex(A2,5+210)</f>
        <v/>
      </c>
      <c r="F42" s="10" t="str" cm="1">
        <f t="array" ref="F42" xml:space="preserve"> IF(GetCSVIndex(A2,6+settings!N41)="255","Not Connected",GetCSVIndex(A2,6+settings!N41))</f>
        <v/>
      </c>
    </row>
    <row r="43" spans="1:6" x14ac:dyDescent="0.25">
      <c r="A43" s="14">
        <v>32</v>
      </c>
      <c r="B43" s="10" t="str" cm="1">
        <f t="array" ref="B43">GetCSVIndex(A2,2+217)</f>
        <v/>
      </c>
      <c r="C43" s="10" t="str" cm="1">
        <f t="array" ref="C43">GetCSVIndex(A2,3+217)</f>
        <v/>
      </c>
      <c r="D43" s="10" t="str">
        <f>IFERROR(CHOOSE(GetCSVIndex($A$2,4+217)+1,"Unknown","No","Yes"),"")</f>
        <v/>
      </c>
      <c r="E43" s="10" t="str" cm="1">
        <f t="array" ref="E43">GetCSVIndex(A2,5+217)</f>
        <v/>
      </c>
      <c r="F43" s="10" t="str" cm="1">
        <f t="array" ref="F43" xml:space="preserve"> IF(GetCSVIndex(A2,6+settings!N42)="255","Not Connected",GetCSVIndex(A2,6+settings!N42))</f>
        <v/>
      </c>
    </row>
    <row r="44" spans="1:6" x14ac:dyDescent="0.25">
      <c r="A44" s="14">
        <v>33</v>
      </c>
      <c r="B44" s="10" t="str" cm="1">
        <f t="array" ref="B44">GetCSVIndex(A2,2+224)</f>
        <v/>
      </c>
      <c r="C44" s="10" t="str" cm="1">
        <f t="array" ref="C44">GetCSVIndex(A2,3+224)</f>
        <v/>
      </c>
      <c r="D44" s="10" t="str">
        <f>IFERROR(CHOOSE(GetCSVIndex($A$2,4+224)+1,"Unknown","No","Yes"),"")</f>
        <v/>
      </c>
      <c r="E44" s="10" t="str" cm="1">
        <f t="array" ref="E44">GetCSVIndex(A2,5+224)</f>
        <v/>
      </c>
      <c r="F44" s="10" t="str" cm="1">
        <f t="array" ref="F44" xml:space="preserve"> IF(GetCSVIndex(A2,6+settings!N43)="255","Not Connected",GetCSVIndex(A2,6+settings!N43))</f>
        <v/>
      </c>
    </row>
    <row r="45" spans="1:6" x14ac:dyDescent="0.25">
      <c r="A45" s="14">
        <v>34</v>
      </c>
      <c r="B45" s="10" t="str" cm="1">
        <f t="array" ref="B45">GetCSVIndex(A2,2+231)</f>
        <v/>
      </c>
      <c r="C45" s="10" t="str" cm="1">
        <f t="array" ref="C45">GetCSVIndex(A2,3+231)</f>
        <v/>
      </c>
      <c r="D45" s="10" t="str">
        <f>IFERROR(CHOOSE(GetCSVIndex($A$2,4+231)+1,"Unknown","No","Yes"),"")</f>
        <v/>
      </c>
      <c r="E45" s="10" t="str" cm="1">
        <f t="array" ref="E45">GetCSVIndex(A2,5+231)</f>
        <v/>
      </c>
      <c r="F45" s="10" t="str" cm="1">
        <f t="array" ref="F45" xml:space="preserve"> IF(GetCSVIndex(A2,6+settings!N44)="255","Not Connected",GetCSVIndex(A2,6+settings!N44))</f>
        <v/>
      </c>
    </row>
    <row r="46" spans="1:6" x14ac:dyDescent="0.25">
      <c r="A46" s="14">
        <v>35</v>
      </c>
      <c r="B46" s="10" t="str" cm="1">
        <f t="array" ref="B46">GetCSVIndex(A2,2+238)</f>
        <v/>
      </c>
      <c r="C46" s="10" t="str" cm="1">
        <f t="array" ref="C46">GetCSVIndex(A2,3+238)</f>
        <v/>
      </c>
      <c r="D46" s="10" t="str">
        <f>IFERROR(CHOOSE(GetCSVIndex($A$2,4+238)+1,"Unknown","No","Yes"),"")</f>
        <v/>
      </c>
      <c r="E46" s="10" t="str" cm="1">
        <f t="array" ref="E46">GetCSVIndex(A2,5+238)</f>
        <v/>
      </c>
      <c r="F46" s="10" t="str" cm="1">
        <f t="array" ref="F46" xml:space="preserve"> IF(GetCSVIndex(A2,6+settings!N45)="255","Not Connected",GetCSVIndex(A2,6+settings!N45))</f>
        <v/>
      </c>
    </row>
    <row r="47" spans="1:6" x14ac:dyDescent="0.25">
      <c r="A47" s="14">
        <v>36</v>
      </c>
      <c r="B47" s="10" t="str" cm="1">
        <f t="array" ref="B47">GetCSVIndex(A2,2+245)</f>
        <v/>
      </c>
      <c r="C47" s="10" t="str" cm="1">
        <f t="array" ref="C47">GetCSVIndex(A2,3+245)</f>
        <v/>
      </c>
      <c r="D47" s="10" t="str">
        <f>IFERROR(CHOOSE(GetCSVIndex($A$2,4+245)+1,"Unknown","No","Yes"),"")</f>
        <v/>
      </c>
      <c r="E47" s="10" t="str" cm="1">
        <f t="array" ref="E47">GetCSVIndex(A2,5+245)</f>
        <v/>
      </c>
      <c r="F47" s="10" t="str" cm="1">
        <f t="array" ref="F47" xml:space="preserve"> IF(GetCSVIndex(A2,6+settings!N46)="255","Not Connected",GetCSVIndex(A2,6+settings!N46))</f>
        <v/>
      </c>
    </row>
    <row r="48" spans="1:6" x14ac:dyDescent="0.25">
      <c r="A48" s="14">
        <v>37</v>
      </c>
      <c r="B48" s="10" t="str" cm="1">
        <f t="array" ref="B48">GetCSVIndex(A2,2+252)</f>
        <v/>
      </c>
      <c r="C48" s="10" t="str" cm="1">
        <f t="array" ref="C48">GetCSVIndex(A2,3+252)</f>
        <v/>
      </c>
      <c r="D48" s="10" t="str">
        <f>IFERROR(CHOOSE(GetCSVIndex($A$2,4+252)+1,"Unknown","No","Yes"),"")</f>
        <v/>
      </c>
      <c r="E48" s="10" t="str" cm="1">
        <f t="array" ref="E48">GetCSVIndex(A2,5+252)</f>
        <v/>
      </c>
      <c r="F48" s="10" t="str" cm="1">
        <f t="array" ref="F48" xml:space="preserve"> IF(GetCSVIndex(A2,6+settings!N47)="255","Not Connected",GetCSVIndex(A2,6+settings!N47))</f>
        <v/>
      </c>
    </row>
    <row r="49" spans="1:6" x14ac:dyDescent="0.25">
      <c r="A49" s="14">
        <v>38</v>
      </c>
      <c r="B49" s="10" t="str" cm="1">
        <f t="array" ref="B49">GetCSVIndex(A2,2+259)</f>
        <v/>
      </c>
      <c r="C49" s="10" t="str" cm="1">
        <f t="array" ref="C49">GetCSVIndex(A2,3+259)</f>
        <v/>
      </c>
      <c r="D49" s="10" t="str">
        <f>IFERROR(CHOOSE(GetCSVIndex($A$2,4+259)+1,"Unknown","No","Yes"),"")</f>
        <v/>
      </c>
      <c r="E49" s="10" t="str" cm="1">
        <f t="array" ref="E49">GetCSVIndex(A2,5+259)</f>
        <v/>
      </c>
      <c r="F49" s="10" t="str" cm="1">
        <f t="array" ref="F49" xml:space="preserve"> IF(GetCSVIndex(A2,6+settings!N48)="255","Not Connected",GetCSVIndex(A2,6+settings!N48))</f>
        <v/>
      </c>
    </row>
    <row r="50" spans="1:6" x14ac:dyDescent="0.25">
      <c r="A50" s="14">
        <v>39</v>
      </c>
      <c r="B50" s="10" t="str" cm="1">
        <f t="array" ref="B50">GetCSVIndex(A2,2+266)</f>
        <v/>
      </c>
      <c r="C50" s="10" t="str" cm="1">
        <f t="array" ref="C50">GetCSVIndex(A2,3+266)</f>
        <v/>
      </c>
      <c r="D50" s="10" t="str">
        <f>IFERROR(CHOOSE(GetCSVIndex($A$2,4+266)+1,"Unknown","No","Yes"),"")</f>
        <v/>
      </c>
      <c r="E50" s="10" t="str" cm="1">
        <f t="array" ref="E50">GetCSVIndex(A2,5+266)</f>
        <v/>
      </c>
      <c r="F50" s="10" t="str" cm="1">
        <f t="array" ref="F50" xml:space="preserve"> IF(GetCSVIndex(A2,6+settings!N49)="255","Not Connected",GetCSVIndex(A2,6+settings!N49))</f>
        <v/>
      </c>
    </row>
    <row r="51" spans="1:6" x14ac:dyDescent="0.25">
      <c r="A51" s="14">
        <v>40</v>
      </c>
      <c r="B51" s="10" t="str" cm="1">
        <f t="array" ref="B51">GetCSVIndex(A2,2+273)</f>
        <v/>
      </c>
      <c r="C51" s="10" t="str" cm="1">
        <f t="array" ref="C51">GetCSVIndex(A2,3+273)</f>
        <v/>
      </c>
      <c r="D51" s="10" t="str">
        <f>IFERROR(CHOOSE(GetCSVIndex($A$2,4+273)+1,"Unknown","No","Yes"),"")</f>
        <v/>
      </c>
      <c r="E51" s="10" t="str" cm="1">
        <f t="array" ref="E51">GetCSVIndex(A2,5+273)</f>
        <v/>
      </c>
      <c r="F51" s="10" t="str" cm="1">
        <f t="array" ref="F51" xml:space="preserve"> IF(GetCSVIndex(A2,6+settings!N50)="255","Not Connected",GetCSVIndex(A2,6+settings!N50))</f>
        <v/>
      </c>
    </row>
    <row r="52" spans="1:6" x14ac:dyDescent="0.25">
      <c r="A52" s="14">
        <v>41</v>
      </c>
      <c r="B52" s="10" t="str" cm="1">
        <f t="array" ref="B52">GetCSVIndex(A2,2+280)</f>
        <v/>
      </c>
      <c r="C52" s="10" t="str" cm="1">
        <f t="array" ref="C52">GetCSVIndex(A2,3+280)</f>
        <v/>
      </c>
      <c r="D52" s="10" t="str">
        <f>IFERROR(CHOOSE(GetCSVIndex($A$2,4+280)+1,"Unknown","No","Yes"),"")</f>
        <v/>
      </c>
      <c r="E52" s="10" t="str" cm="1">
        <f t="array" ref="E52">GetCSVIndex(A2,5+280)</f>
        <v/>
      </c>
      <c r="F52" s="10" t="str" cm="1">
        <f t="array" ref="F52" xml:space="preserve"> IF(GetCSVIndex(A2,6+settings!N51)="255","Not Connected",GetCSVIndex(A2,6+settings!N51))</f>
        <v/>
      </c>
    </row>
    <row r="53" spans="1:6" x14ac:dyDescent="0.25">
      <c r="A53" s="14">
        <v>42</v>
      </c>
      <c r="B53" s="10" t="str" cm="1">
        <f t="array" ref="B53">GetCSVIndex(A2,2+287)</f>
        <v/>
      </c>
      <c r="C53" s="10" t="str" cm="1">
        <f t="array" ref="C53">GetCSVIndex(A2,3+287)</f>
        <v/>
      </c>
      <c r="D53" s="10" t="str">
        <f>IFERROR(CHOOSE(GetCSVIndex($A$2,4+287)+1,"Unknown","No","Yes"),"")</f>
        <v/>
      </c>
      <c r="E53" s="10" t="str" cm="1">
        <f t="array" ref="E53">GetCSVIndex(A2,5+287)</f>
        <v/>
      </c>
      <c r="F53" s="10" t="str" cm="1">
        <f t="array" ref="F53" xml:space="preserve"> IF(GetCSVIndex(A2,6+settings!N52)="255","Not Connected",GetCSVIndex(A2,6+settings!N52))</f>
        <v/>
      </c>
    </row>
    <row r="54" spans="1:6" x14ac:dyDescent="0.25">
      <c r="A54" s="14">
        <v>43</v>
      </c>
      <c r="B54" s="10" t="str" cm="1">
        <f t="array" ref="B54">GetCSVIndex(A2,2+294)</f>
        <v/>
      </c>
      <c r="C54" s="10" t="str" cm="1">
        <f t="array" ref="C54">GetCSVIndex(A2,3+294)</f>
        <v/>
      </c>
      <c r="D54" s="10" t="str">
        <f>IFERROR(CHOOSE(GetCSVIndex($A$2,4+294)+1,"Unknown","No","Yes"),"")</f>
        <v/>
      </c>
      <c r="E54" s="10" t="str" cm="1">
        <f t="array" ref="E54">GetCSVIndex(A2,5+294)</f>
        <v/>
      </c>
      <c r="F54" s="10" t="str" cm="1">
        <f t="array" ref="F54" xml:space="preserve"> IF(GetCSVIndex(A2,6+settings!N53)="255","Not Connected",GetCSVIndex(A2,6+settings!N53))</f>
        <v/>
      </c>
    </row>
    <row r="55" spans="1:6" x14ac:dyDescent="0.25">
      <c r="A55" s="14">
        <v>44</v>
      </c>
      <c r="B55" s="10" t="str" cm="1">
        <f t="array" ref="B55">GetCSVIndex(A2,2+301)</f>
        <v/>
      </c>
      <c r="C55" s="10" t="str" cm="1">
        <f t="array" ref="C55">GetCSVIndex(A2,3+301)</f>
        <v/>
      </c>
      <c r="D55" s="10" t="str">
        <f>IFERROR(CHOOSE(GetCSVIndex($A$2,4+301)+1,"Unknown","No","Yes"),"")</f>
        <v/>
      </c>
      <c r="E55" s="10" t="str" cm="1">
        <f t="array" ref="E55">GetCSVIndex(A2,5+301)</f>
        <v/>
      </c>
      <c r="F55" s="10" t="str" cm="1">
        <f t="array" ref="F55" xml:space="preserve"> IF(GetCSVIndex(A2,6+settings!N54)="255","Not Connected",GetCSVIndex(A2,6+settings!N54))</f>
        <v/>
      </c>
    </row>
    <row r="56" spans="1:6" x14ac:dyDescent="0.25">
      <c r="A56" s="14">
        <v>45</v>
      </c>
      <c r="B56" s="10" t="str" cm="1">
        <f t="array" ref="B56">GetCSVIndex(A2,2+308)</f>
        <v/>
      </c>
      <c r="C56" s="10" t="str" cm="1">
        <f t="array" ref="C56">GetCSVIndex(A2,3+308)</f>
        <v/>
      </c>
      <c r="D56" s="10" t="str">
        <f>IFERROR(CHOOSE(GetCSVIndex($A$2,4+308)+1,"Unknown","No","Yes"),"")</f>
        <v/>
      </c>
      <c r="E56" s="10" t="str" cm="1">
        <f t="array" ref="E56">GetCSVIndex(A2,5+308)</f>
        <v/>
      </c>
      <c r="F56" s="10" t="str" cm="1">
        <f t="array" ref="F56" xml:space="preserve"> IF(GetCSVIndex(A2,6+settings!N55)="255","Not Connected",GetCSVIndex(A2,6+settings!N55))</f>
        <v/>
      </c>
    </row>
    <row r="57" spans="1:6" x14ac:dyDescent="0.25">
      <c r="A57" s="14">
        <v>46</v>
      </c>
      <c r="B57" s="10" t="str" cm="1">
        <f t="array" ref="B57">GetCSVIndex(A2,2+315)</f>
        <v/>
      </c>
      <c r="C57" s="10" t="str" cm="1">
        <f t="array" ref="C57">GetCSVIndex(A2,3+315)</f>
        <v/>
      </c>
      <c r="D57" s="10" t="str">
        <f>IFERROR(CHOOSE(GetCSVIndex($A$2,4+315)+1,"Unknown","No","Yes"),"")</f>
        <v/>
      </c>
      <c r="E57" s="10" t="str" cm="1">
        <f t="array" ref="E57">GetCSVIndex(A2,5+315)</f>
        <v/>
      </c>
      <c r="F57" s="10" t="str" cm="1">
        <f t="array" ref="F57" xml:space="preserve"> IF(GetCSVIndex(A2,6+settings!N56)="255","Not Connected",GetCSVIndex(A2,6+settings!N56))</f>
        <v/>
      </c>
    </row>
    <row r="58" spans="1:6" x14ac:dyDescent="0.25">
      <c r="A58" s="14">
        <v>47</v>
      </c>
      <c r="B58" s="10" t="str" cm="1">
        <f t="array" ref="B58">GetCSVIndex(A2,2+322)</f>
        <v/>
      </c>
      <c r="C58" s="10" t="str" cm="1">
        <f t="array" ref="C58">GetCSVIndex(A2,3+322)</f>
        <v/>
      </c>
      <c r="D58" s="10" t="str">
        <f>IFERROR(CHOOSE(GetCSVIndex($A$2,4+322)+1,"Unknown","No","Yes"),"")</f>
        <v/>
      </c>
      <c r="E58" s="10" t="str" cm="1">
        <f t="array" ref="E58">GetCSVIndex(A2,5+322)</f>
        <v/>
      </c>
      <c r="F58" s="10" t="str" cm="1">
        <f t="array" ref="F58" xml:space="preserve"> IF(GetCSVIndex(A2,6+settings!N57)="255","Not Connected",GetCSVIndex(A2,6+settings!N57))</f>
        <v/>
      </c>
    </row>
    <row r="59" spans="1:6" x14ac:dyDescent="0.25">
      <c r="A59" s="14">
        <v>48</v>
      </c>
      <c r="B59" s="10" t="str" cm="1">
        <f t="array" ref="B59">GetCSVIndex(A2,2+329)</f>
        <v/>
      </c>
      <c r="C59" s="10" t="str" cm="1">
        <f t="array" ref="C59">GetCSVIndex(A2,3+329)</f>
        <v/>
      </c>
      <c r="D59" s="10" t="str">
        <f>IFERROR(CHOOSE(GetCSVIndex($A$2,4+329)+1,"Unknown","No","Yes"),"")</f>
        <v/>
      </c>
      <c r="E59" s="10" t="str" cm="1">
        <f t="array" ref="E59">GetCSVIndex(A2,5+329)</f>
        <v/>
      </c>
      <c r="F59" s="10" t="str" cm="1">
        <f t="array" ref="F59" xml:space="preserve"> IF(GetCSVIndex(A2,6+settings!N58)="255","Not Connected",GetCSVIndex(A2,6+settings!N58))</f>
        <v/>
      </c>
    </row>
    <row r="60" spans="1:6" x14ac:dyDescent="0.25">
      <c r="A60" s="14">
        <v>49</v>
      </c>
      <c r="B60" s="10" t="str" cm="1">
        <f t="array" ref="B60">GetCSVIndex(A2,2+336)</f>
        <v/>
      </c>
      <c r="C60" s="10" t="str" cm="1">
        <f t="array" ref="C60">GetCSVIndex(A2,3+336)</f>
        <v/>
      </c>
      <c r="D60" s="10" t="str">
        <f>IFERROR(CHOOSE(GetCSVIndex($A$2,4+336)+1,"Unknown","No","Yes"),"")</f>
        <v/>
      </c>
      <c r="E60" s="10" t="str" cm="1">
        <f t="array" ref="E60">GetCSVIndex(A2,5+336)</f>
        <v/>
      </c>
      <c r="F60" s="10" t="str" cm="1">
        <f t="array" ref="F60" xml:space="preserve"> IF(GetCSVIndex(A2,6+settings!N59)="255","Not Connected",GetCSVIndex(A2,6+settings!N59))</f>
        <v/>
      </c>
    </row>
    <row r="61" spans="1:6" x14ac:dyDescent="0.25">
      <c r="A61" s="14">
        <v>50</v>
      </c>
      <c r="B61" s="10" t="str" cm="1">
        <f t="array" ref="B61">GetCSVIndex(A2,2+343)</f>
        <v/>
      </c>
      <c r="C61" s="10" t="str" cm="1">
        <f t="array" ref="C61">GetCSVIndex(A2,3+343)</f>
        <v/>
      </c>
      <c r="D61" s="10" t="str">
        <f>IFERROR(CHOOSE(GetCSVIndex($A$2,4+343)+1,"Unknown","No","Yes"),"")</f>
        <v/>
      </c>
      <c r="E61" s="10" t="str" cm="1">
        <f t="array" ref="E61">GetCSVIndex(A2,5+343)</f>
        <v/>
      </c>
      <c r="F61" s="10" t="str" cm="1">
        <f t="array" ref="F61" xml:space="preserve"> IF(GetCSVIndex(A2,6+settings!N60)="255","Not Connected",GetCSVIndex(A2,6+settings!N60))</f>
        <v/>
      </c>
    </row>
    <row r="62" spans="1:6" x14ac:dyDescent="0.25">
      <c r="A62" s="14">
        <v>51</v>
      </c>
      <c r="B62" s="10" t="str" cm="1">
        <f t="array" ref="B62">GetCSVIndex(A2,2+350)</f>
        <v/>
      </c>
      <c r="C62" s="10" t="str" cm="1">
        <f t="array" ref="C62">GetCSVIndex(A2,3+350)</f>
        <v/>
      </c>
      <c r="D62" s="10" t="str">
        <f>IFERROR(CHOOSE(GetCSVIndex($A$2,4+350)+1,"Unknown","No","Yes"),"")</f>
        <v/>
      </c>
      <c r="E62" s="10" t="str" cm="1">
        <f t="array" ref="E62">GetCSVIndex(A2,5+350)</f>
        <v/>
      </c>
      <c r="F62" s="10" t="str" cm="1">
        <f t="array" ref="F62" xml:space="preserve"> IF(GetCSVIndex(A2,6+settings!N61)="255","Not Connected",GetCSVIndex(A2,6+settings!N61))</f>
        <v/>
      </c>
    </row>
    <row r="63" spans="1:6" x14ac:dyDescent="0.25">
      <c r="A63" s="14">
        <v>52</v>
      </c>
      <c r="B63" s="10" t="str" cm="1">
        <f t="array" ref="B63">GetCSVIndex(A2,2+357)</f>
        <v/>
      </c>
      <c r="C63" s="10" t="str" cm="1">
        <f t="array" ref="C63">GetCSVIndex(A2,3+357)</f>
        <v/>
      </c>
      <c r="D63" s="10" t="str">
        <f>IFERROR(CHOOSE(GetCSVIndex($A$2,4+357)+1,"Unknown","No","Yes"),"")</f>
        <v/>
      </c>
      <c r="E63" s="10" t="str" cm="1">
        <f t="array" ref="E63">GetCSVIndex(A2,5+357)</f>
        <v/>
      </c>
      <c r="F63" s="10" t="str" cm="1">
        <f t="array" ref="F63" xml:space="preserve"> IF(GetCSVIndex(A2,6+settings!N62)="255","Not Connected",GetCSVIndex(A2,6+settings!N62))</f>
        <v/>
      </c>
    </row>
    <row r="64" spans="1:6" x14ac:dyDescent="0.25">
      <c r="A64" s="14">
        <v>53</v>
      </c>
      <c r="B64" s="10" t="str" cm="1">
        <f t="array" ref="B64">GetCSVIndex(A2,2+364)</f>
        <v/>
      </c>
      <c r="C64" s="10" t="str" cm="1">
        <f t="array" ref="C64">GetCSVIndex(A2,3+364)</f>
        <v/>
      </c>
      <c r="D64" s="10" t="str">
        <f>IFERROR(CHOOSE(GetCSVIndex($A$2,4+364)+1,"Unknown","No","Yes"),"")</f>
        <v/>
      </c>
      <c r="E64" s="10" t="str" cm="1">
        <f t="array" ref="E64">GetCSVIndex(A2,5+364)</f>
        <v/>
      </c>
      <c r="F64" s="10" t="str" cm="1">
        <f t="array" ref="F64" xml:space="preserve"> IF(GetCSVIndex(A2,6+settings!N63)="255","Not Connected",GetCSVIndex(A2,6+settings!N63))</f>
        <v/>
      </c>
    </row>
    <row r="65" spans="1:6" x14ac:dyDescent="0.25">
      <c r="A65" s="14">
        <v>54</v>
      </c>
      <c r="B65" s="10" t="str" cm="1">
        <f t="array" ref="B65">GetCSVIndex(A2,2+371)</f>
        <v/>
      </c>
      <c r="C65" s="10" t="str" cm="1">
        <f t="array" ref="C65">GetCSVIndex(A2,3+371)</f>
        <v/>
      </c>
      <c r="D65" s="10" t="str">
        <f>IFERROR(CHOOSE(GetCSVIndex($A$2,4+371)+1,"Unknown","No","Yes"),"")</f>
        <v/>
      </c>
      <c r="E65" s="10" t="str" cm="1">
        <f t="array" ref="E65">GetCSVIndex(A2,5+371)</f>
        <v/>
      </c>
      <c r="F65" s="10" t="str" cm="1">
        <f t="array" ref="F65" xml:space="preserve"> IF(GetCSVIndex(A2,6+settings!N64)="255","Not Connected",GetCSVIndex(A2,6+settings!N64))</f>
        <v/>
      </c>
    </row>
    <row r="66" spans="1:6" x14ac:dyDescent="0.25">
      <c r="A66" s="14">
        <v>55</v>
      </c>
      <c r="B66" s="10" t="str" cm="1">
        <f t="array" ref="B66">GetCSVIndex(A2,2+378)</f>
        <v/>
      </c>
      <c r="C66" s="10" t="str" cm="1">
        <f t="array" ref="C66">GetCSVIndex(A2,3+378)</f>
        <v/>
      </c>
      <c r="D66" s="10" t="str">
        <f>IFERROR(CHOOSE(GetCSVIndex($A$2,4+378)+1,"Unknown","No","Yes"),"")</f>
        <v/>
      </c>
      <c r="E66" s="10" t="str" cm="1">
        <f t="array" ref="E66">GetCSVIndex(A2,5+378)</f>
        <v/>
      </c>
      <c r="F66" s="10" t="str" cm="1">
        <f t="array" ref="F66" xml:space="preserve"> IF(GetCSVIndex(A2,6+settings!N65)="255","Not Connected",GetCSVIndex(A2,6+settings!N65))</f>
        <v/>
      </c>
    </row>
    <row r="67" spans="1:6" x14ac:dyDescent="0.25">
      <c r="A67" s="14">
        <v>56</v>
      </c>
      <c r="B67" s="10" t="str" cm="1">
        <f t="array" ref="B67">GetCSVIndex(A2,2+385)</f>
        <v/>
      </c>
      <c r="C67" s="10" t="str" cm="1">
        <f t="array" ref="C67">GetCSVIndex(A2,3+385)</f>
        <v/>
      </c>
      <c r="D67" s="10" t="str">
        <f>IFERROR(CHOOSE(GetCSVIndex($A$2,4+385)+1,"Unknown","No","Yes"),"")</f>
        <v/>
      </c>
      <c r="E67" s="10" t="str" cm="1">
        <f t="array" ref="E67">GetCSVIndex(A2,5+385)</f>
        <v/>
      </c>
      <c r="F67" s="10" t="str" cm="1">
        <f t="array" ref="F67" xml:space="preserve"> IF(GetCSVIndex(A2,6+settings!N66)="255","Not Connected",GetCSVIndex(A2,6+settings!N66))</f>
        <v/>
      </c>
    </row>
    <row r="68" spans="1:6" x14ac:dyDescent="0.25">
      <c r="A68" s="14">
        <v>57</v>
      </c>
      <c r="B68" s="10" t="str" cm="1">
        <f t="array" ref="B68">GetCSVIndex(A2,2+392)</f>
        <v/>
      </c>
      <c r="C68" s="10" t="str" cm="1">
        <f t="array" ref="C68">GetCSVIndex(A2,3+392)</f>
        <v/>
      </c>
      <c r="D68" s="10" t="str">
        <f>IFERROR(CHOOSE(GetCSVIndex($A$2,4+392)+1,"Unknown","No","Yes"),"")</f>
        <v/>
      </c>
      <c r="E68" s="10" t="str" cm="1">
        <f t="array" ref="E68">GetCSVIndex(A2,5+392)</f>
        <v/>
      </c>
      <c r="F68" s="10" t="str" cm="1">
        <f t="array" ref="F68" xml:space="preserve"> IF(GetCSVIndex(A2,6+settings!N67)="255","Not Connected",GetCSVIndex(A2,6+settings!N67))</f>
        <v/>
      </c>
    </row>
    <row r="69" spans="1:6" x14ac:dyDescent="0.25">
      <c r="A69" s="14">
        <v>58</v>
      </c>
      <c r="B69" s="10" t="str" cm="1">
        <f t="array" ref="B69">GetCSVIndex(A2,2+399)</f>
        <v/>
      </c>
      <c r="C69" s="10" t="str" cm="1">
        <f t="array" ref="C69">GetCSVIndex(A2,3+399)</f>
        <v/>
      </c>
      <c r="D69" s="10" t="str">
        <f>IFERROR(CHOOSE(GetCSVIndex($A$2,4+399)+1,"Unknown","No","Yes"),"")</f>
        <v/>
      </c>
      <c r="E69" s="10" t="str" cm="1">
        <f t="array" ref="E69">GetCSVIndex(A2,5+399)</f>
        <v/>
      </c>
      <c r="F69" s="10" t="str" cm="1">
        <f t="array" ref="F69" xml:space="preserve"> IF(GetCSVIndex(A2,6+settings!N68)="255","Not Connected",GetCSVIndex(A2,6+settings!N68))</f>
        <v/>
      </c>
    </row>
    <row r="70" spans="1:6" x14ac:dyDescent="0.25">
      <c r="A70" s="14">
        <v>59</v>
      </c>
      <c r="B70" s="10" t="str" cm="1">
        <f t="array" ref="B70">GetCSVIndex(A2,2+406)</f>
        <v/>
      </c>
      <c r="C70" s="10" t="str" cm="1">
        <f t="array" ref="C70">GetCSVIndex(A2,3+406)</f>
        <v/>
      </c>
      <c r="D70" s="10" t="str">
        <f>IFERROR(CHOOSE(GetCSVIndex($A$2,4+406)+1,"Unknown","No","Yes"),"")</f>
        <v/>
      </c>
      <c r="E70" s="10" t="str" cm="1">
        <f t="array" ref="E70">GetCSVIndex(A2,5+406)</f>
        <v/>
      </c>
      <c r="F70" s="10" t="str" cm="1">
        <f t="array" ref="F70" xml:space="preserve"> IF(GetCSVIndex(A2,6+settings!N69)="255","Not Connected",GetCSVIndex(A2,6+settings!N69))</f>
        <v/>
      </c>
    </row>
    <row r="71" spans="1:6" x14ac:dyDescent="0.25">
      <c r="A71" s="14">
        <v>60</v>
      </c>
      <c r="B71" s="10" t="str" cm="1">
        <f t="array" ref="B71">GetCSVIndex(A2,2+413)</f>
        <v/>
      </c>
      <c r="C71" s="10" t="str" cm="1">
        <f t="array" ref="C71">GetCSVIndex(A2,3+413)</f>
        <v/>
      </c>
      <c r="D71" s="10" t="str">
        <f>IFERROR(CHOOSE(GetCSVIndex($A$2,4+413)+1,"Unknown","No","Yes"),"")</f>
        <v/>
      </c>
      <c r="E71" s="10" t="str" cm="1">
        <f t="array" ref="E71">GetCSVIndex(A2,5+413)</f>
        <v/>
      </c>
      <c r="F71" s="10" t="str" cm="1">
        <f t="array" ref="F71" xml:space="preserve"> IF(GetCSVIndex(A2,6+settings!N70)="255","Not Connected",GetCSVIndex(A2,6+settings!N70))</f>
        <v/>
      </c>
    </row>
    <row r="72" spans="1:6" x14ac:dyDescent="0.25">
      <c r="A72" s="14">
        <v>61</v>
      </c>
      <c r="B72" s="10" t="str" cm="1">
        <f t="array" ref="B72">GetCSVIndex(A2,2+420)</f>
        <v/>
      </c>
      <c r="C72" s="10" t="str" cm="1">
        <f t="array" ref="C72">GetCSVIndex(A2,3+420)</f>
        <v/>
      </c>
      <c r="D72" s="10" t="str">
        <f>IFERROR(CHOOSE(GetCSVIndex($A$2,4+420)+1,"Unknown","No","Yes"),"")</f>
        <v/>
      </c>
      <c r="E72" s="10" t="str" cm="1">
        <f t="array" ref="E72">GetCSVIndex(A2,5+420)</f>
        <v/>
      </c>
      <c r="F72" s="10" t="str" cm="1">
        <f t="array" ref="F72" xml:space="preserve"> IF(GetCSVIndex(A2,6+settings!N71)="255","Not Connected",GetCSVIndex(A2,6+settings!N71))</f>
        <v/>
      </c>
    </row>
    <row r="73" spans="1:6" x14ac:dyDescent="0.25">
      <c r="A73" s="14">
        <v>62</v>
      </c>
      <c r="B73" s="10" t="str" cm="1">
        <f t="array" ref="B73">GetCSVIndex(A2,2+427)</f>
        <v/>
      </c>
      <c r="C73" s="10" t="str" cm="1">
        <f t="array" ref="C73">GetCSVIndex(A2,3+427)</f>
        <v/>
      </c>
      <c r="D73" s="10" t="str">
        <f>IFERROR(CHOOSE(GetCSVIndex($A$2,4+427)+1,"Unknown","No","Yes"),"")</f>
        <v/>
      </c>
      <c r="E73" s="10" t="str" cm="1">
        <f t="array" ref="E73">GetCSVIndex(A2,5+427)</f>
        <v/>
      </c>
      <c r="F73" s="10" t="str" cm="1">
        <f t="array" ref="F73" xml:space="preserve"> IF(GetCSVIndex(A2,6+settings!N72)="255","Not Connected",GetCSVIndex(A2,6+settings!N72))</f>
        <v/>
      </c>
    </row>
    <row r="74" spans="1:6" x14ac:dyDescent="0.25">
      <c r="A74" s="14">
        <v>63</v>
      </c>
      <c r="B74" s="10" t="str" cm="1">
        <f t="array" ref="B74">GetCSVIndex(A2,2+434)</f>
        <v/>
      </c>
      <c r="C74" s="10" t="str" cm="1">
        <f t="array" ref="C74">GetCSVIndex(A2,3+434)</f>
        <v/>
      </c>
      <c r="D74" s="10" t="str">
        <f>IFERROR(CHOOSE(GetCSVIndex($A$2,4+434)+1,"Unknown","No","Yes"),"")</f>
        <v/>
      </c>
      <c r="E74" s="10" t="str" cm="1">
        <f t="array" ref="E74">GetCSVIndex(A2,5+434)</f>
        <v/>
      </c>
      <c r="F74" s="10" t="str" cm="1">
        <f t="array" ref="F74" xml:space="preserve"> IF(GetCSVIndex(A2,6+settings!N73)="255","Not Connected",GetCSVIndex(A2,6+settings!N73))</f>
        <v/>
      </c>
    </row>
    <row r="75" spans="1:6" x14ac:dyDescent="0.25">
      <c r="A75" s="14">
        <v>64</v>
      </c>
      <c r="B75" s="10" t="str" cm="1">
        <f t="array" ref="B75">GetCSVIndex(A2,2+441)</f>
        <v/>
      </c>
      <c r="C75" s="10" t="str" cm="1">
        <f t="array" ref="C75">GetCSVIndex(A2,3+441)</f>
        <v/>
      </c>
      <c r="D75" s="10" t="str">
        <f>IFERROR(CHOOSE(GetCSVIndex($A$2,4+441)+1,"Unknown","No","Yes"),"")</f>
        <v/>
      </c>
      <c r="E75" s="10" t="str" cm="1">
        <f t="array" ref="E75">GetCSVIndex(A2,5+441)</f>
        <v/>
      </c>
      <c r="F75" s="10" t="str" cm="1">
        <f t="array" ref="F75" xml:space="preserve"> IF(GetCSVIndex(A2,6+settings!N74)="255","Not Connected",GetCSVIndex(A2,6+settings!N74))</f>
        <v/>
      </c>
    </row>
    <row r="76" spans="1:6" x14ac:dyDescent="0.25">
      <c r="A76" s="14">
        <v>65</v>
      </c>
      <c r="B76" s="10" t="str" cm="1">
        <f t="array" ref="B76">GetCSVIndex(A2,2+448)</f>
        <v/>
      </c>
      <c r="C76" s="10" t="str" cm="1">
        <f t="array" ref="C76">GetCSVIndex(A2,3+448)</f>
        <v/>
      </c>
      <c r="D76" s="10" t="str">
        <f>IFERROR(CHOOSE(GetCSVIndex($A$2,4+448)+1,"Unknown","No","Yes"),"")</f>
        <v/>
      </c>
      <c r="E76" s="10" t="str" cm="1">
        <f t="array" ref="E76">GetCSVIndex(A2,5+448)</f>
        <v/>
      </c>
      <c r="F76" s="10" t="str" cm="1">
        <f t="array" ref="F76" xml:space="preserve"> IF(GetCSVIndex(A2,6+settings!N75)="255","Not Connected",GetCSVIndex(A2,6+settings!N75))</f>
        <v/>
      </c>
    </row>
    <row r="77" spans="1:6" x14ac:dyDescent="0.25">
      <c r="A77" s="14">
        <v>66</v>
      </c>
      <c r="B77" s="10" t="str" cm="1">
        <f t="array" ref="B77">GetCSVIndex(A2,2+455)</f>
        <v/>
      </c>
      <c r="C77" s="10" t="str" cm="1">
        <f t="array" ref="C77">GetCSVIndex(A2,3+455)</f>
        <v/>
      </c>
      <c r="D77" s="10" t="str">
        <f>IFERROR(CHOOSE(GetCSVIndex($A$2,4+455)+1,"Unknown","No","Yes"),"")</f>
        <v/>
      </c>
      <c r="E77" s="10" t="str" cm="1">
        <f t="array" ref="E77">GetCSVIndex(A2,5+455)</f>
        <v/>
      </c>
      <c r="F77" s="10" t="str" cm="1">
        <f t="array" ref="F77" xml:space="preserve"> IF(GetCSVIndex(A2,6+settings!N76)="255","Not Connected",GetCSVIndex(A2,6+settings!N76))</f>
        <v/>
      </c>
    </row>
    <row r="78" spans="1:6" x14ac:dyDescent="0.25">
      <c r="A78" s="14">
        <v>67</v>
      </c>
      <c r="B78" s="10" t="str" cm="1">
        <f t="array" ref="B78">GetCSVIndex(A2,2+462)</f>
        <v/>
      </c>
      <c r="C78" s="10" t="str" cm="1">
        <f t="array" ref="C78">GetCSVIndex(A2,3+462)</f>
        <v/>
      </c>
      <c r="D78" s="10" t="str">
        <f>IFERROR(CHOOSE(GetCSVIndex($A$2,4+462)+1,"Unknown","No","Yes"),"")</f>
        <v/>
      </c>
      <c r="E78" s="10" t="str" cm="1">
        <f t="array" ref="E78">GetCSVIndex(A2,5+462)</f>
        <v/>
      </c>
      <c r="F78" s="10" t="str" cm="1">
        <f t="array" ref="F78" xml:space="preserve"> IF(GetCSVIndex(A2,6+settings!N77)="255","Not Connected",GetCSVIndex(A2,6+settings!N77))</f>
        <v/>
      </c>
    </row>
    <row r="79" spans="1:6" x14ac:dyDescent="0.25">
      <c r="A79" s="14">
        <v>68</v>
      </c>
      <c r="B79" s="10" t="str" cm="1">
        <f t="array" ref="B79">GetCSVIndex(A2,2+469)</f>
        <v/>
      </c>
      <c r="C79" s="10" t="str" cm="1">
        <f t="array" ref="C79">GetCSVIndex(A2,3+469)</f>
        <v/>
      </c>
      <c r="D79" s="10" t="str">
        <f>IFERROR(CHOOSE(GetCSVIndex($A$2,4+469)+1,"Unknown","No","Yes"),"")</f>
        <v/>
      </c>
      <c r="E79" s="10" t="str" cm="1">
        <f t="array" ref="E79">GetCSVIndex(A2,5+469)</f>
        <v/>
      </c>
      <c r="F79" s="10" t="str" cm="1">
        <f t="array" ref="F79" xml:space="preserve"> IF(GetCSVIndex(A2,6+settings!N78)="255","Not Connected",GetCSVIndex(A2,6+settings!N78))</f>
        <v/>
      </c>
    </row>
    <row r="80" spans="1:6" x14ac:dyDescent="0.25">
      <c r="A80" s="14">
        <v>69</v>
      </c>
      <c r="B80" s="10" t="str" cm="1">
        <f t="array" ref="B80">GetCSVIndex(A2,2+476)</f>
        <v/>
      </c>
      <c r="C80" s="10" t="str" cm="1">
        <f t="array" ref="C80">GetCSVIndex(A2,3+476)</f>
        <v/>
      </c>
      <c r="D80" s="10" t="str">
        <f>IFERROR(CHOOSE(GetCSVIndex($A$2,4+476)+1,"Unknown","No","Yes"),"")</f>
        <v/>
      </c>
      <c r="E80" s="10" t="str" cm="1">
        <f t="array" ref="E80">GetCSVIndex(A2,5+476)</f>
        <v/>
      </c>
      <c r="F80" s="10" t="str" cm="1">
        <f t="array" ref="F80" xml:space="preserve"> IF(GetCSVIndex(A2,6+settings!N79)="255","Not Connected",GetCSVIndex(A2,6+settings!N79))</f>
        <v/>
      </c>
    </row>
    <row r="81" spans="1:6" x14ac:dyDescent="0.25">
      <c r="A81" s="14">
        <v>70</v>
      </c>
      <c r="B81" s="10" t="str" cm="1">
        <f t="array" ref="B81">GetCSVIndex(A2,2+483)</f>
        <v/>
      </c>
      <c r="C81" s="10" t="str" cm="1">
        <f t="array" ref="C81">GetCSVIndex(A2,3+483)</f>
        <v/>
      </c>
      <c r="D81" s="10" t="str">
        <f>IFERROR(CHOOSE(GetCSVIndex($A$2,4+483)+1,"Unknown","No","Yes"),"")</f>
        <v/>
      </c>
      <c r="E81" s="10" t="str" cm="1">
        <f t="array" ref="E81">GetCSVIndex(A2,5+483)</f>
        <v/>
      </c>
      <c r="F81" s="10" t="str" cm="1">
        <f t="array" ref="F81" xml:space="preserve"> IF(GetCSVIndex(A2,6+settings!N80)="255","Not Connected",GetCSVIndex(A2,6+settings!N80))</f>
        <v/>
      </c>
    </row>
    <row r="82" spans="1:6" x14ac:dyDescent="0.25">
      <c r="A82" s="14">
        <v>71</v>
      </c>
      <c r="B82" s="10" t="str" cm="1">
        <f t="array" ref="B82">GetCSVIndex(A2,2+490)</f>
        <v/>
      </c>
      <c r="C82" s="10" t="str" cm="1">
        <f t="array" ref="C82">GetCSVIndex(A2,3+490)</f>
        <v/>
      </c>
      <c r="D82" s="10" t="str">
        <f>IFERROR(CHOOSE(GetCSVIndex($A$2,4+490)+1,"Unknown","No","Yes"),"")</f>
        <v/>
      </c>
      <c r="E82" s="10" t="str" cm="1">
        <f t="array" ref="E82">GetCSVIndex(A2,5+490)</f>
        <v/>
      </c>
      <c r="F82" s="10" t="str" cm="1">
        <f t="array" ref="F82" xml:space="preserve"> IF(GetCSVIndex(A2,6+settings!N81)="255","Not Connected",GetCSVIndex(A2,6+settings!N81))</f>
        <v/>
      </c>
    </row>
    <row r="83" spans="1:6" x14ac:dyDescent="0.25">
      <c r="A83" s="14">
        <v>72</v>
      </c>
      <c r="B83" s="10" t="str" cm="1">
        <f t="array" ref="B83">GetCSVIndex(A2,2+497)</f>
        <v/>
      </c>
      <c r="C83" s="10" t="str" cm="1">
        <f t="array" ref="C83">GetCSVIndex(A2,3+497)</f>
        <v/>
      </c>
      <c r="D83" s="10" t="str">
        <f>IFERROR(CHOOSE(GetCSVIndex($A$2,4+497)+1,"Unknown","No","Yes"),"")</f>
        <v/>
      </c>
      <c r="E83" s="10" t="str" cm="1">
        <f t="array" ref="E83">GetCSVIndex(A2,5+497)</f>
        <v/>
      </c>
      <c r="F83" s="10" t="str" cm="1">
        <f t="array" ref="F83" xml:space="preserve"> IF(GetCSVIndex(A2,6+settings!N82)="255","Not Connected",GetCSVIndex(A2,6+settings!N82))</f>
        <v/>
      </c>
    </row>
    <row r="84" spans="1:6" x14ac:dyDescent="0.25">
      <c r="A84" s="14">
        <v>73</v>
      </c>
      <c r="B84" s="10" t="str" cm="1">
        <f t="array" ref="B84">GetCSVIndex(A2,2+504)</f>
        <v/>
      </c>
      <c r="C84" s="10" t="str" cm="1">
        <f t="array" ref="C84">GetCSVIndex(A2,3+504)</f>
        <v/>
      </c>
      <c r="D84" s="10" t="str">
        <f>IFERROR(CHOOSE(GetCSVIndex($A$2,4+504)+1,"Unknown","No","Yes"),"")</f>
        <v/>
      </c>
      <c r="E84" s="10" t="str" cm="1">
        <f t="array" ref="E84">GetCSVIndex(A2,5+504)</f>
        <v/>
      </c>
      <c r="F84" s="10" t="str" cm="1">
        <f t="array" ref="F84" xml:space="preserve"> IF(GetCSVIndex(A2,6+settings!N83)="255","Not Connected",GetCSVIndex(A2,6+settings!N83))</f>
        <v/>
      </c>
    </row>
    <row r="85" spans="1:6" x14ac:dyDescent="0.25">
      <c r="A85" s="14">
        <v>74</v>
      </c>
      <c r="B85" s="10" t="str" cm="1">
        <f t="array" ref="B85">GetCSVIndex(A2,2+511)</f>
        <v/>
      </c>
      <c r="C85" s="10" t="str" cm="1">
        <f t="array" ref="C85">GetCSVIndex(A2,3+511)</f>
        <v/>
      </c>
      <c r="D85" s="10" t="str">
        <f>IFERROR(CHOOSE(GetCSVIndex($A$2,4+511)+1,"Unknown","No","Yes"),"")</f>
        <v/>
      </c>
      <c r="E85" s="10" t="str" cm="1">
        <f t="array" ref="E85">GetCSVIndex(A2,5+511)</f>
        <v/>
      </c>
      <c r="F85" s="10" t="str" cm="1">
        <f t="array" ref="F85" xml:space="preserve"> IF(GetCSVIndex(A2,6+settings!N84)="255","Not Connected",GetCSVIndex(A2,6+settings!N84))</f>
        <v/>
      </c>
    </row>
    <row r="86" spans="1:6" x14ac:dyDescent="0.25">
      <c r="A86" s="14">
        <v>75</v>
      </c>
      <c r="B86" s="10" t="str" cm="1">
        <f t="array" ref="B86">GetCSVIndex(A2,2+518)</f>
        <v/>
      </c>
      <c r="C86" s="10" t="str" cm="1">
        <f t="array" ref="C86">GetCSVIndex(A2,3+518)</f>
        <v/>
      </c>
      <c r="D86" s="10" t="str">
        <f>IFERROR(CHOOSE(GetCSVIndex($A$2,4+518)+1,"Unknown","No","Yes"),"")</f>
        <v/>
      </c>
      <c r="E86" s="10" t="str" cm="1">
        <f t="array" ref="E86">GetCSVIndex(A2,5+518)</f>
        <v/>
      </c>
      <c r="F86" s="10" t="str" cm="1">
        <f t="array" ref="F86" xml:space="preserve"> IF(GetCSVIndex(A2,6+settings!N85)="255","Not Connected",GetCSVIndex(A2,6+settings!N85))</f>
        <v/>
      </c>
    </row>
    <row r="87" spans="1:6" x14ac:dyDescent="0.25">
      <c r="A87" s="14">
        <v>76</v>
      </c>
      <c r="B87" s="10" t="str" cm="1">
        <f t="array" ref="B87">GetCSVIndex(A2,2+525)</f>
        <v/>
      </c>
      <c r="C87" s="10" t="str" cm="1">
        <f t="array" ref="C87">GetCSVIndex(A2,3+525)</f>
        <v/>
      </c>
      <c r="D87" s="10" t="str">
        <f>IFERROR(CHOOSE(GetCSVIndex($A$2,4+525)+1,"Unknown","No","Yes"),"")</f>
        <v/>
      </c>
      <c r="E87" s="10" t="str" cm="1">
        <f t="array" ref="E87">GetCSVIndex(A2,5+525)</f>
        <v/>
      </c>
      <c r="F87" s="10" t="str" cm="1">
        <f t="array" ref="F87" xml:space="preserve"> IF(GetCSVIndex(A2,6+settings!N86)="255","Not Connected",GetCSVIndex(A2,6+settings!N86))</f>
        <v/>
      </c>
    </row>
    <row r="88" spans="1:6" x14ac:dyDescent="0.25">
      <c r="A88" s="14">
        <v>77</v>
      </c>
      <c r="B88" s="10" t="str" cm="1">
        <f t="array" ref="B88">GetCSVIndex(A2,2+532)</f>
        <v/>
      </c>
      <c r="C88" s="10" t="str" cm="1">
        <f t="array" ref="C88">GetCSVIndex(A2,3+532)</f>
        <v/>
      </c>
      <c r="D88" s="10" t="str">
        <f>IFERROR(CHOOSE(GetCSVIndex($A$2,4+532)+1,"Unknown","No","Yes"),"")</f>
        <v/>
      </c>
      <c r="E88" s="10" t="str" cm="1">
        <f t="array" ref="E88">GetCSVIndex(A2,5+532)</f>
        <v/>
      </c>
      <c r="F88" s="10" t="str" cm="1">
        <f t="array" ref="F88" xml:space="preserve"> IF(GetCSVIndex(A2,6+settings!N87)="255","Not Connected",GetCSVIndex(A2,6+settings!N87))</f>
        <v/>
      </c>
    </row>
    <row r="89" spans="1:6" x14ac:dyDescent="0.25">
      <c r="A89" s="14">
        <v>78</v>
      </c>
      <c r="B89" s="10" t="str" cm="1">
        <f t="array" ref="B89">GetCSVIndex(A2,2+539)</f>
        <v/>
      </c>
      <c r="C89" s="10" t="str" cm="1">
        <f t="array" ref="C89">GetCSVIndex(A2,3+539)</f>
        <v/>
      </c>
      <c r="D89" s="10" t="str">
        <f>IFERROR(CHOOSE(GetCSVIndex($A$2,4+539)+1,"Unknown","No","Yes"),"")</f>
        <v/>
      </c>
      <c r="E89" s="10" t="str" cm="1">
        <f t="array" ref="E89">GetCSVIndex(A2,5+539)</f>
        <v/>
      </c>
      <c r="F89" s="10" t="str" cm="1">
        <f t="array" ref="F89" xml:space="preserve"> IF(GetCSVIndex(A2,6+settings!N88)="255","Not Connected",GetCSVIndex(A2,6+settings!N88))</f>
        <v/>
      </c>
    </row>
    <row r="90" spans="1:6" x14ac:dyDescent="0.25">
      <c r="A90" s="14">
        <v>79</v>
      </c>
      <c r="B90" s="10" t="str" cm="1">
        <f t="array" ref="B90">GetCSVIndex(A2,2+546)</f>
        <v/>
      </c>
      <c r="C90" s="10" t="str" cm="1">
        <f t="array" ref="C90">GetCSVIndex(A2,3+546)</f>
        <v/>
      </c>
      <c r="D90" s="10" t="str">
        <f>IFERROR(CHOOSE(GetCSVIndex($A$2,4+546)+1,"Unknown","No","Yes"),"")</f>
        <v/>
      </c>
      <c r="E90" s="10" t="str" cm="1">
        <f t="array" ref="E90">GetCSVIndex(A2,5+546)</f>
        <v/>
      </c>
      <c r="F90" s="10" t="str" cm="1">
        <f t="array" ref="F90" xml:space="preserve"> IF(GetCSVIndex(A2,6+settings!N89)="255","Not Connected",GetCSVIndex(A2,6+settings!N89))</f>
        <v/>
      </c>
    </row>
    <row r="91" spans="1:6" x14ac:dyDescent="0.25">
      <c r="A91" s="14">
        <v>80</v>
      </c>
      <c r="B91" s="10" t="str" cm="1">
        <f t="array" ref="B91">GetCSVIndex(A2,2+553)</f>
        <v/>
      </c>
      <c r="C91" s="10" t="str" cm="1">
        <f t="array" ref="C91">GetCSVIndex(A2,3+553)</f>
        <v/>
      </c>
      <c r="D91" s="10" t="str">
        <f>IFERROR(CHOOSE(GetCSVIndex($A$2,4+553)+1,"Unknown","No","Yes"),"")</f>
        <v/>
      </c>
      <c r="E91" s="10" t="str" cm="1">
        <f t="array" ref="E91">GetCSVIndex(A2,5+553)</f>
        <v/>
      </c>
      <c r="F91" s="10" t="str" cm="1">
        <f t="array" ref="F91" xml:space="preserve"> IF(GetCSVIndex(A2,6+settings!N90)="255","Not Connected",GetCSVIndex(A2,6+settings!N90))</f>
        <v/>
      </c>
    </row>
    <row r="92" spans="1:6" x14ac:dyDescent="0.25">
      <c r="A92" s="14">
        <v>81</v>
      </c>
      <c r="B92" s="10" t="str" cm="1">
        <f t="array" ref="B92">GetCSVIndex(A2,2+560)</f>
        <v/>
      </c>
      <c r="C92" s="10" t="str" cm="1">
        <f t="array" ref="C92">GetCSVIndex(A2,3+560)</f>
        <v/>
      </c>
      <c r="D92" s="10" t="str">
        <f>IFERROR(CHOOSE(GetCSVIndex($A$2,4+560)+1,"Unknown","No","Yes"),"")</f>
        <v/>
      </c>
      <c r="E92" s="10" t="str" cm="1">
        <f t="array" ref="E92">GetCSVIndex(A2,5+560)</f>
        <v/>
      </c>
      <c r="F92" s="10" t="str" cm="1">
        <f t="array" ref="F92" xml:space="preserve"> IF(GetCSVIndex(A2,6+settings!N91)="255","Not Connected",GetCSVIndex(A2,6+settings!N91))</f>
        <v/>
      </c>
    </row>
    <row r="93" spans="1:6" x14ac:dyDescent="0.25">
      <c r="A93" s="14">
        <v>82</v>
      </c>
      <c r="B93" s="10" t="str" cm="1">
        <f t="array" ref="B93">GetCSVIndex(A2,2+567)</f>
        <v/>
      </c>
      <c r="C93" s="10" t="str" cm="1">
        <f t="array" ref="C93">GetCSVIndex(A2,3+567)</f>
        <v/>
      </c>
      <c r="D93" s="10" t="str">
        <f>IFERROR(CHOOSE(GetCSVIndex($A$2,4+567)+1,"Unknown","No","Yes"),"")</f>
        <v/>
      </c>
      <c r="E93" s="10" t="str" cm="1">
        <f t="array" ref="E93">GetCSVIndex(A2,5+567)</f>
        <v/>
      </c>
      <c r="F93" s="10" t="str" cm="1">
        <f t="array" ref="F93" xml:space="preserve"> IF(GetCSVIndex(A2,6+settings!N92)="255","Not Connected",GetCSVIndex(A2,6+settings!N92))</f>
        <v/>
      </c>
    </row>
    <row r="94" spans="1:6" x14ac:dyDescent="0.25">
      <c r="A94" s="14">
        <v>83</v>
      </c>
      <c r="B94" s="10" t="str" cm="1">
        <f t="array" ref="B94">GetCSVIndex(A2,2+574)</f>
        <v/>
      </c>
      <c r="C94" s="10" t="str" cm="1">
        <f t="array" ref="C94">GetCSVIndex(A2,3+574)</f>
        <v/>
      </c>
      <c r="D94" s="10" t="str">
        <f>IFERROR(CHOOSE(GetCSVIndex($A$2,4+574)+1,"Unknown","No","Yes"),"")</f>
        <v/>
      </c>
      <c r="E94" s="10" t="str" cm="1">
        <f t="array" ref="E94">GetCSVIndex(A2,5+574)</f>
        <v/>
      </c>
      <c r="F94" s="10" t="str" cm="1">
        <f t="array" ref="F94" xml:space="preserve"> IF(GetCSVIndex(A2,6+settings!N93)="255","Not Connected",GetCSVIndex(A2,6+settings!N93))</f>
        <v/>
      </c>
    </row>
    <row r="95" spans="1:6" x14ac:dyDescent="0.25">
      <c r="A95" s="14">
        <v>84</v>
      </c>
      <c r="B95" s="10" t="str" cm="1">
        <f t="array" ref="B95">GetCSVIndex(A2,2+581)</f>
        <v/>
      </c>
      <c r="C95" s="10" t="str" cm="1">
        <f t="array" ref="C95">GetCSVIndex(A2,3+581)</f>
        <v/>
      </c>
      <c r="D95" s="10" t="str">
        <f>IFERROR(CHOOSE(GetCSVIndex($A$2,4+581)+1,"Unknown","No","Yes"),"")</f>
        <v/>
      </c>
      <c r="E95" s="10" t="str" cm="1">
        <f t="array" ref="E95">GetCSVIndex(A2,5+581)</f>
        <v/>
      </c>
      <c r="F95" s="10" t="str" cm="1">
        <f t="array" ref="F95" xml:space="preserve"> IF(GetCSVIndex(A2,6+settings!N94)="255","Not Connected",GetCSVIndex(A2,6+settings!N94))</f>
        <v/>
      </c>
    </row>
    <row r="96" spans="1:6" x14ac:dyDescent="0.25">
      <c r="A96" s="14">
        <v>85</v>
      </c>
      <c r="B96" s="10" t="str" cm="1">
        <f t="array" ref="B96">GetCSVIndex(A2,2+588)</f>
        <v/>
      </c>
      <c r="C96" s="10" t="str" cm="1">
        <f t="array" ref="C96">GetCSVIndex(A2,3+588)</f>
        <v/>
      </c>
      <c r="D96" s="10" t="str">
        <f>IFERROR(CHOOSE(GetCSVIndex($A$2,4+588)+1,"Unknown","No","Yes"),"")</f>
        <v/>
      </c>
      <c r="E96" s="10" t="str" cm="1">
        <f t="array" ref="E96">GetCSVIndex(A2,5+588)</f>
        <v/>
      </c>
      <c r="F96" s="10" t="str" cm="1">
        <f t="array" ref="F96" xml:space="preserve"> IF(GetCSVIndex(A2,6+settings!N95)="255","Not Connected",GetCSVIndex(A2,6+settings!N95))</f>
        <v/>
      </c>
    </row>
    <row r="97" spans="1:6" x14ac:dyDescent="0.25">
      <c r="A97" s="14">
        <v>86</v>
      </c>
      <c r="B97" s="10" t="str" cm="1">
        <f t="array" ref="B97">GetCSVIndex(A2,2+595)</f>
        <v/>
      </c>
      <c r="C97" s="10" t="str" cm="1">
        <f t="array" ref="C97">GetCSVIndex(A2,3+595)</f>
        <v/>
      </c>
      <c r="D97" s="10" t="str">
        <f>IFERROR(CHOOSE(GetCSVIndex($A$2,4+595)+1,"Unknown","No","Yes"),"")</f>
        <v/>
      </c>
      <c r="E97" s="10" t="str" cm="1">
        <f t="array" ref="E97">GetCSVIndex(A2,5+595)</f>
        <v/>
      </c>
      <c r="F97" s="10" t="str" cm="1">
        <f t="array" ref="F97" xml:space="preserve"> IF(GetCSVIndex(A2,6+settings!N96)="255","Not Connected",GetCSVIndex(A2,6+settings!N96))</f>
        <v/>
      </c>
    </row>
    <row r="98" spans="1:6" x14ac:dyDescent="0.25">
      <c r="A98" s="14">
        <v>87</v>
      </c>
      <c r="B98" s="10" t="str" cm="1">
        <f t="array" ref="B98">GetCSVIndex(A2,2+602)</f>
        <v/>
      </c>
      <c r="C98" s="10" t="str" cm="1">
        <f t="array" ref="C98">GetCSVIndex(A2,3+602)</f>
        <v/>
      </c>
      <c r="D98" s="10" t="str">
        <f>IFERROR(CHOOSE(GetCSVIndex($A$2,4+602)+1,"Unknown","No","Yes"),"")</f>
        <v/>
      </c>
      <c r="E98" s="10" t="str" cm="1">
        <f t="array" ref="E98">GetCSVIndex(A2,5+602)</f>
        <v/>
      </c>
      <c r="F98" s="10" t="str" cm="1">
        <f t="array" ref="F98" xml:space="preserve"> IF(GetCSVIndex(A2,6+settings!N97)="255","Not Connected",GetCSVIndex(A2,6+settings!N97))</f>
        <v/>
      </c>
    </row>
    <row r="99" spans="1:6" x14ac:dyDescent="0.25">
      <c r="A99" s="14">
        <v>88</v>
      </c>
      <c r="B99" s="10" t="str" cm="1">
        <f t="array" ref="B99">GetCSVIndex(A2,2+609)</f>
        <v/>
      </c>
      <c r="C99" s="10" t="str" cm="1">
        <f t="array" ref="C99">GetCSVIndex(A2,3+609)</f>
        <v/>
      </c>
      <c r="D99" s="10" t="str">
        <f>IFERROR(CHOOSE(GetCSVIndex($A$2,4+609)+1,"Unknown","No","Yes"),"")</f>
        <v/>
      </c>
      <c r="E99" s="10" t="str" cm="1">
        <f t="array" ref="E99">GetCSVIndex(A2,5+609)</f>
        <v/>
      </c>
      <c r="F99" s="10" t="str" cm="1">
        <f t="array" ref="F99" xml:space="preserve"> IF(GetCSVIndex(A2,6+settings!N98)="255","Not Connected",GetCSVIndex(A2,6+settings!N98))</f>
        <v/>
      </c>
    </row>
    <row r="100" spans="1:6" x14ac:dyDescent="0.25">
      <c r="A100" s="14">
        <v>89</v>
      </c>
      <c r="B100" s="10" t="str" cm="1">
        <f t="array" ref="B100">GetCSVIndex(A2,2+616)</f>
        <v/>
      </c>
      <c r="C100" s="10" t="str" cm="1">
        <f t="array" ref="C100">GetCSVIndex(A2,3+616)</f>
        <v/>
      </c>
      <c r="D100" s="10" t="str">
        <f>IFERROR(CHOOSE(GetCSVIndex($A$2,4+616)+1,"Unknown","No","Yes"),"")</f>
        <v/>
      </c>
      <c r="E100" s="10" t="str" cm="1">
        <f t="array" ref="E100">GetCSVIndex(A2,5+616)</f>
        <v/>
      </c>
      <c r="F100" s="10" t="str" cm="1">
        <f t="array" ref="F100" xml:space="preserve"> IF(GetCSVIndex(A2,6+settings!N99)="255","Not Connected",GetCSVIndex(A2,6+settings!N99))</f>
        <v/>
      </c>
    </row>
    <row r="101" spans="1:6" x14ac:dyDescent="0.25">
      <c r="A101" s="14">
        <v>90</v>
      </c>
      <c r="B101" s="10" t="str" cm="1">
        <f t="array" ref="B101">GetCSVIndex(A2,2+623)</f>
        <v/>
      </c>
      <c r="C101" s="10" t="str" cm="1">
        <f t="array" ref="C101">GetCSVIndex(A2,3+623)</f>
        <v/>
      </c>
      <c r="D101" s="10" t="str">
        <f>IFERROR(CHOOSE(GetCSVIndex($A$2,4+623)+1,"Unknown","No","Yes"),"")</f>
        <v/>
      </c>
      <c r="E101" s="10" t="str" cm="1">
        <f t="array" ref="E101">GetCSVIndex(A2,5+623)</f>
        <v/>
      </c>
      <c r="F101" s="10" t="str" cm="1">
        <f t="array" ref="F101" xml:space="preserve"> IF(GetCSVIndex(A2,6+settings!N100)="255","Not Connected",GetCSVIndex(A2,6+settings!N100))</f>
        <v/>
      </c>
    </row>
    <row r="102" spans="1:6" x14ac:dyDescent="0.25">
      <c r="A102" s="14">
        <v>91</v>
      </c>
      <c r="B102" s="10" t="str" cm="1">
        <f t="array" ref="B102">GetCSVIndex(A2,2+630)</f>
        <v/>
      </c>
      <c r="C102" s="10" t="str" cm="1">
        <f t="array" ref="C102">GetCSVIndex(A2,3+630)</f>
        <v/>
      </c>
      <c r="D102" s="10" t="str">
        <f>IFERROR(CHOOSE(GetCSVIndex($A$2,4+630)+1,"Unknown","No","Yes"),"")</f>
        <v/>
      </c>
      <c r="E102" s="10" t="str" cm="1">
        <f t="array" ref="E102">GetCSVIndex(A2,5+630)</f>
        <v/>
      </c>
      <c r="F102" s="10" t="str" cm="1">
        <f t="array" ref="F102" xml:space="preserve"> IF(GetCSVIndex(A2,6+settings!N101)="255","Not Connected",GetCSVIndex(A2,6+settings!N101))</f>
        <v/>
      </c>
    </row>
    <row r="103" spans="1:6" x14ac:dyDescent="0.25">
      <c r="A103" s="14">
        <v>92</v>
      </c>
      <c r="B103" s="10" t="str" cm="1">
        <f t="array" ref="B103">GetCSVIndex(A2,2+637)</f>
        <v/>
      </c>
      <c r="C103" s="10" t="str" cm="1">
        <f t="array" ref="C103">GetCSVIndex(A2,3+637)</f>
        <v/>
      </c>
      <c r="D103" s="10" t="str">
        <f>IFERROR(CHOOSE(GetCSVIndex($A$2,4+637)+1,"Unknown","No","Yes"),"")</f>
        <v/>
      </c>
      <c r="E103" s="10" t="str" cm="1">
        <f t="array" ref="E103">GetCSVIndex(A2,5+637)</f>
        <v/>
      </c>
      <c r="F103" s="10" t="str" cm="1">
        <f t="array" ref="F103" xml:space="preserve"> IF(GetCSVIndex(A2,6+settings!N102)="255","Not Connected",GetCSVIndex(A2,6+settings!N102))</f>
        <v/>
      </c>
    </row>
    <row r="104" spans="1:6" x14ac:dyDescent="0.25">
      <c r="A104" s="14">
        <v>93</v>
      </c>
      <c r="B104" s="10" t="str" cm="1">
        <f t="array" ref="B104">GetCSVIndex(A2,2+644)</f>
        <v/>
      </c>
      <c r="C104" s="10" t="str" cm="1">
        <f t="array" ref="C104">GetCSVIndex(A2,3+644)</f>
        <v/>
      </c>
      <c r="D104" s="10" t="str">
        <f>IFERROR(CHOOSE(GetCSVIndex($A$2,4+644)+1,"Unknown","No","Yes"),"")</f>
        <v/>
      </c>
      <c r="E104" s="10" t="str" cm="1">
        <f t="array" ref="E104">GetCSVIndex(A2,5+644)</f>
        <v/>
      </c>
      <c r="F104" s="10" t="str" cm="1">
        <f t="array" ref="F104" xml:space="preserve"> IF(GetCSVIndex(A2,6+settings!N103)="255","Not Connected",GetCSVIndex(A2,6+settings!N103))</f>
        <v/>
      </c>
    </row>
    <row r="105" spans="1:6" x14ac:dyDescent="0.25">
      <c r="A105" s="14">
        <v>94</v>
      </c>
      <c r="B105" s="10" t="str" cm="1">
        <f t="array" ref="B105">GetCSVIndex(A2,2+651)</f>
        <v/>
      </c>
      <c r="C105" s="10" t="str" cm="1">
        <f t="array" ref="C105">GetCSVIndex(A2,3+651)</f>
        <v/>
      </c>
      <c r="D105" s="10" t="str">
        <f>IFERROR(CHOOSE(GetCSVIndex($A$2,4+651)+1,"Unknown","No","Yes"),"")</f>
        <v/>
      </c>
      <c r="E105" s="10" t="str" cm="1">
        <f t="array" ref="E105">GetCSVIndex(A2,5+651)</f>
        <v/>
      </c>
      <c r="F105" s="10" t="str" cm="1">
        <f t="array" ref="F105" xml:space="preserve"> IF(GetCSVIndex(A2,6+settings!N104)="255","Not Connected",GetCSVIndex(A2,6+settings!N104))</f>
        <v/>
      </c>
    </row>
    <row r="106" spans="1:6" x14ac:dyDescent="0.25">
      <c r="A106" s="14">
        <v>95</v>
      </c>
      <c r="B106" s="10" t="str" cm="1">
        <f t="array" ref="B106">GetCSVIndex(A2,2+658)</f>
        <v/>
      </c>
      <c r="C106" s="10" t="str" cm="1">
        <f t="array" ref="C106">GetCSVIndex(A2,3+658)</f>
        <v/>
      </c>
      <c r="D106" s="10" t="str">
        <f>IFERROR(CHOOSE(GetCSVIndex($A$2,4+658)+1,"Unknown","No","Yes"),"")</f>
        <v/>
      </c>
      <c r="E106" s="10" t="str" cm="1">
        <f t="array" ref="E106">GetCSVIndex(A2,5+658)</f>
        <v/>
      </c>
      <c r="F106" s="10" t="str" cm="1">
        <f t="array" ref="F106" xml:space="preserve"> IF(GetCSVIndex(A2,6+settings!N105)="255","Not Connected",GetCSVIndex(A2,6+settings!N105))</f>
        <v/>
      </c>
    </row>
    <row r="107" spans="1:6" x14ac:dyDescent="0.25">
      <c r="A107" s="14">
        <v>96</v>
      </c>
      <c r="B107" s="10" t="str" cm="1">
        <f t="array" ref="B107">GetCSVIndex(A2,2+665)</f>
        <v/>
      </c>
      <c r="C107" s="10" t="str" cm="1">
        <f t="array" ref="C107">GetCSVIndex(A2,3+665)</f>
        <v/>
      </c>
      <c r="D107" s="10" t="str">
        <f>IFERROR(CHOOSE(GetCSVIndex($A$2,4+665)+1,"Unknown","No","Yes"),"")</f>
        <v/>
      </c>
      <c r="E107" s="10" t="str" cm="1">
        <f t="array" ref="E107">GetCSVIndex(A2,5+665)</f>
        <v/>
      </c>
      <c r="F107" s="10" t="str" cm="1">
        <f t="array" ref="F107" xml:space="preserve"> IF(GetCSVIndex(A2,6+settings!N106)="255","Not Connected",GetCSVIndex(A2,6+settings!N106))</f>
        <v/>
      </c>
    </row>
    <row r="108" spans="1:6" x14ac:dyDescent="0.25">
      <c r="A108" s="14">
        <v>97</v>
      </c>
      <c r="B108" s="10" t="str" cm="1">
        <f t="array" ref="B108">GetCSVIndex(A2,2+672)</f>
        <v/>
      </c>
      <c r="C108" s="10" t="str" cm="1">
        <f t="array" ref="C108">GetCSVIndex(A2,3+672)</f>
        <v/>
      </c>
      <c r="D108" s="10" t="str">
        <f>IFERROR(CHOOSE(GetCSVIndex($A$2,4+672)+1,"Unknown","No","Yes"),"")</f>
        <v/>
      </c>
      <c r="E108" s="10" t="str" cm="1">
        <f t="array" ref="E108">GetCSVIndex(A2,5+672)</f>
        <v/>
      </c>
      <c r="F108" s="10" t="str" cm="1">
        <f t="array" ref="F108" xml:space="preserve"> IF(GetCSVIndex(A2,6+settings!N107)="255","Not Connected",GetCSVIndex(A2,6+settings!N107))</f>
        <v/>
      </c>
    </row>
    <row r="109" spans="1:6" x14ac:dyDescent="0.25">
      <c r="A109" s="14">
        <v>98</v>
      </c>
      <c r="B109" s="10" t="str" cm="1">
        <f t="array" ref="B109">GetCSVIndex(A2,2+679)</f>
        <v/>
      </c>
      <c r="C109" s="10" t="str" cm="1">
        <f t="array" ref="C109">GetCSVIndex(A2,3+679)</f>
        <v/>
      </c>
      <c r="D109" s="10" t="str">
        <f>IFERROR(CHOOSE(GetCSVIndex($A$2,4+679)+1,"Unknown","No","Yes"),"")</f>
        <v/>
      </c>
      <c r="E109" s="10" t="str" cm="1">
        <f t="array" ref="E109">GetCSVIndex(A2,5+679)</f>
        <v/>
      </c>
      <c r="F109" s="10" t="str" cm="1">
        <f t="array" ref="F109" xml:space="preserve"> IF(GetCSVIndex(A2,6+settings!N108)="255","Not Connected",GetCSVIndex(A2,6+settings!N108))</f>
        <v/>
      </c>
    </row>
    <row r="110" spans="1:6" x14ac:dyDescent="0.25">
      <c r="A110" s="14">
        <v>99</v>
      </c>
      <c r="B110" s="10" t="str" cm="1">
        <f t="array" ref="B110">GetCSVIndex(A2,2+686)</f>
        <v/>
      </c>
      <c r="C110" s="10" t="str" cm="1">
        <f t="array" ref="C110">GetCSVIndex(A2,3+686)</f>
        <v/>
      </c>
      <c r="D110" s="10" t="str">
        <f>IFERROR(CHOOSE(GetCSVIndex($A$2,4+686)+1,"Unknown","No","Yes"),"")</f>
        <v/>
      </c>
      <c r="E110" s="10" t="str" cm="1">
        <f t="array" ref="E110">GetCSVIndex(A2,5+686)</f>
        <v/>
      </c>
      <c r="F110" s="10" t="str" cm="1">
        <f t="array" ref="F110" xml:space="preserve"> IF(GetCSVIndex(A2,6+settings!N109)="255","Not Connected",GetCSVIndex(A2,6+settings!N109))</f>
        <v/>
      </c>
    </row>
    <row r="111" spans="1:6" x14ac:dyDescent="0.25">
      <c r="A111" s="14">
        <v>100</v>
      </c>
      <c r="B111" s="10" t="str" cm="1">
        <f t="array" ref="B111">GetCSVIndex(A2,2+693)</f>
        <v/>
      </c>
      <c r="C111" s="10" t="str" cm="1">
        <f t="array" ref="C111">GetCSVIndex(A2,3+693)</f>
        <v/>
      </c>
      <c r="D111" s="10" t="str">
        <f>IFERROR(CHOOSE(GetCSVIndex($A$2,4+693)+1,"Unknown","No","Yes"),"")</f>
        <v/>
      </c>
      <c r="E111" s="10" t="str" cm="1">
        <f t="array" ref="E111">GetCSVIndex(A2,5+693)</f>
        <v/>
      </c>
      <c r="F111" s="10" t="str" cm="1">
        <f t="array" ref="F111" xml:space="preserve"> IF(GetCSVIndex(A2,6+settings!N110)="255","Not Connected",GetCSVIndex(A2,6+settings!N110))</f>
        <v/>
      </c>
    </row>
    <row r="112" spans="1:6" x14ac:dyDescent="0.25">
      <c r="A112" s="14">
        <v>101</v>
      </c>
      <c r="B112" s="10" t="str" cm="1">
        <f t="array" ref="B112">GetCSVIndex(A2,2+700)</f>
        <v/>
      </c>
      <c r="C112" s="10" t="str" cm="1">
        <f t="array" ref="C112">GetCSVIndex(A2,3+700)</f>
        <v/>
      </c>
      <c r="D112" s="10" t="str">
        <f>IFERROR(CHOOSE(GetCSVIndex($A$2,4+700)+1,"Unknown","No","Yes"),"")</f>
        <v/>
      </c>
      <c r="E112" s="10" t="str" cm="1">
        <f t="array" ref="E112">GetCSVIndex(A2,5+700)</f>
        <v/>
      </c>
      <c r="F112" s="10" t="str" cm="1">
        <f t="array" ref="F112" xml:space="preserve"> IF(GetCSVIndex(A2,6+settings!N111)="255","Not Connected",GetCSVIndex(A2,6+settings!N111))</f>
        <v/>
      </c>
    </row>
    <row r="113" spans="1:6" x14ac:dyDescent="0.25">
      <c r="A113" s="14">
        <v>102</v>
      </c>
      <c r="B113" s="10" t="str" cm="1">
        <f t="array" ref="B113">GetCSVIndex(A2,2+707)</f>
        <v/>
      </c>
      <c r="C113" s="10" t="str" cm="1">
        <f t="array" ref="C113">GetCSVIndex(A2,3+707)</f>
        <v/>
      </c>
      <c r="D113" s="10" t="str">
        <f>IFERROR(CHOOSE(GetCSVIndex($A$2,4+707)+1,"Unknown","No","Yes"),"")</f>
        <v/>
      </c>
      <c r="E113" s="10" t="str" cm="1">
        <f t="array" ref="E113">GetCSVIndex(A2,5+707)</f>
        <v/>
      </c>
      <c r="F113" s="10" t="str" cm="1">
        <f t="array" ref="F113" xml:space="preserve"> IF(GetCSVIndex(A2,6+settings!N112)="255","Not Connected",GetCSVIndex(A2,6+settings!N112))</f>
        <v/>
      </c>
    </row>
    <row r="114" spans="1:6" x14ac:dyDescent="0.25">
      <c r="A114" s="14">
        <v>103</v>
      </c>
      <c r="B114" s="10" t="str" cm="1">
        <f t="array" ref="B114">GetCSVIndex(A2,2+714)</f>
        <v/>
      </c>
      <c r="C114" s="10" t="str" cm="1">
        <f t="array" ref="C114">GetCSVIndex(A2,3+714)</f>
        <v/>
      </c>
      <c r="D114" s="10" t="str">
        <f>IFERROR(CHOOSE(GetCSVIndex($A$2,4+714)+1,"Unknown","No","Yes"),"")</f>
        <v/>
      </c>
      <c r="E114" s="10" t="str" cm="1">
        <f t="array" ref="E114">GetCSVIndex(A2,5+714)</f>
        <v/>
      </c>
      <c r="F114" s="10" t="str" cm="1">
        <f t="array" ref="F114" xml:space="preserve"> IF(GetCSVIndex(A2,6+settings!N113)="255","Not Connected",GetCSVIndex(A2,6+settings!N113))</f>
        <v/>
      </c>
    </row>
    <row r="115" spans="1:6" x14ac:dyDescent="0.25">
      <c r="A115" s="14">
        <v>104</v>
      </c>
      <c r="B115" s="10" t="str" cm="1">
        <f t="array" ref="B115">GetCSVIndex(A2,2+721)</f>
        <v/>
      </c>
      <c r="C115" s="10" t="str" cm="1">
        <f t="array" ref="C115">GetCSVIndex(A2,3+721)</f>
        <v/>
      </c>
      <c r="D115" s="10" t="str">
        <f>IFERROR(CHOOSE(GetCSVIndex($A$2,4+721)+1,"Unknown","No","Yes"),"")</f>
        <v/>
      </c>
      <c r="E115" s="10" t="str" cm="1">
        <f t="array" ref="E115">GetCSVIndex(A2,5+721)</f>
        <v/>
      </c>
      <c r="F115" s="10" t="str" cm="1">
        <f t="array" ref="F115" xml:space="preserve"> IF(GetCSVIndex(A2,6+settings!N114)="255","Not Connected",GetCSVIndex(A2,6+settings!N114))</f>
        <v/>
      </c>
    </row>
    <row r="116" spans="1:6" x14ac:dyDescent="0.25">
      <c r="A116" s="14">
        <v>105</v>
      </c>
      <c r="B116" s="10" t="str" cm="1">
        <f t="array" ref="B116">GetCSVIndex(A2,2+728)</f>
        <v/>
      </c>
      <c r="C116" s="10" t="str" cm="1">
        <f t="array" ref="C116">GetCSVIndex(A2,3+728)</f>
        <v/>
      </c>
      <c r="D116" s="10" t="str">
        <f>IFERROR(CHOOSE(GetCSVIndex($A$2,4+728)+1,"Unknown","No","Yes"),"")</f>
        <v/>
      </c>
      <c r="E116" s="10" t="str" cm="1">
        <f t="array" ref="E116">GetCSVIndex(A2,5+728)</f>
        <v/>
      </c>
      <c r="F116" s="10" t="str" cm="1">
        <f t="array" ref="F116" xml:space="preserve"> IF(GetCSVIndex(A2,6+settings!N115)="255","Not Connected",GetCSVIndex(A2,6+settings!N115))</f>
        <v/>
      </c>
    </row>
    <row r="117" spans="1:6" x14ac:dyDescent="0.25">
      <c r="A117" s="14">
        <v>106</v>
      </c>
      <c r="B117" s="10" t="str" cm="1">
        <f t="array" ref="B117">GetCSVIndex(A2,2+735)</f>
        <v/>
      </c>
      <c r="C117" s="10" t="str" cm="1">
        <f t="array" ref="C117">GetCSVIndex(A2,3+735)</f>
        <v/>
      </c>
      <c r="D117" s="10" t="str">
        <f>IFERROR(CHOOSE(GetCSVIndex($A$2,4+735)+1,"Unknown","No","Yes"),"")</f>
        <v/>
      </c>
      <c r="E117" s="10" t="str" cm="1">
        <f t="array" ref="E117">GetCSVIndex(A2,5+735)</f>
        <v/>
      </c>
      <c r="F117" s="10" t="str" cm="1">
        <f t="array" ref="F117" xml:space="preserve"> IF(GetCSVIndex(A2,6+settings!N116)="255","Not Connected",GetCSVIndex(A2,6+settings!N116))</f>
        <v/>
      </c>
    </row>
    <row r="118" spans="1:6" x14ac:dyDescent="0.25">
      <c r="A118" s="14">
        <v>107</v>
      </c>
      <c r="B118" s="10" t="str" cm="1">
        <f t="array" ref="B118">GetCSVIndex(A2,2+742)</f>
        <v/>
      </c>
      <c r="C118" s="10" t="str" cm="1">
        <f t="array" ref="C118">GetCSVIndex(A2,3+742)</f>
        <v/>
      </c>
      <c r="D118" s="10" t="str">
        <f>IFERROR(CHOOSE(GetCSVIndex($A$2,4+742)+1,"Unknown","No","Yes"),"")</f>
        <v/>
      </c>
      <c r="E118" s="10" t="str" cm="1">
        <f t="array" ref="E118">GetCSVIndex(A2,5+742)</f>
        <v/>
      </c>
      <c r="F118" s="10" t="str" cm="1">
        <f t="array" ref="F118" xml:space="preserve"> IF(GetCSVIndex(A2,6+settings!N117)="255","Not Connected",GetCSVIndex(A2,6+settings!N117))</f>
        <v/>
      </c>
    </row>
    <row r="119" spans="1:6" x14ac:dyDescent="0.25">
      <c r="A119" s="14">
        <v>108</v>
      </c>
      <c r="B119" s="10" t="str" cm="1">
        <f t="array" ref="B119">GetCSVIndex(A2,2+749)</f>
        <v/>
      </c>
      <c r="C119" s="10" t="str" cm="1">
        <f t="array" ref="C119">GetCSVIndex(A2,3+749)</f>
        <v/>
      </c>
      <c r="D119" s="10" t="str">
        <f>IFERROR(CHOOSE(GetCSVIndex($A$2,4+749)+1,"Unknown","No","Yes"),"")</f>
        <v/>
      </c>
      <c r="E119" s="10" t="str" cm="1">
        <f t="array" ref="E119">GetCSVIndex(A2,5+749)</f>
        <v/>
      </c>
      <c r="F119" s="10" t="str" cm="1">
        <f t="array" ref="F119" xml:space="preserve"> IF(GetCSVIndex(A2,6+settings!N118)="255","Not Connected",GetCSVIndex(A2,6+settings!N118))</f>
        <v/>
      </c>
    </row>
    <row r="120" spans="1:6" x14ac:dyDescent="0.25">
      <c r="A120" s="14">
        <v>109</v>
      </c>
      <c r="B120" s="10" t="str" cm="1">
        <f t="array" ref="B120">GetCSVIndex(A2,2+756)</f>
        <v/>
      </c>
      <c r="C120" s="10" t="str" cm="1">
        <f t="array" ref="C120">GetCSVIndex(A2,3+756)</f>
        <v/>
      </c>
      <c r="D120" s="10" t="str">
        <f>IFERROR(CHOOSE(GetCSVIndex($A$2,4+756)+1,"Unknown","No","Yes"),"")</f>
        <v/>
      </c>
      <c r="E120" s="10" t="str" cm="1">
        <f t="array" ref="E120">GetCSVIndex(A2,5+756)</f>
        <v/>
      </c>
      <c r="F120" s="10" t="str" cm="1">
        <f t="array" ref="F120" xml:space="preserve"> IF(GetCSVIndex(A2,6+settings!N119)="255","Not Connected",GetCSVIndex(A2,6+settings!N119))</f>
        <v/>
      </c>
    </row>
    <row r="121" spans="1:6" x14ac:dyDescent="0.25">
      <c r="A121" s="14">
        <v>110</v>
      </c>
      <c r="B121" s="10" t="str" cm="1">
        <f t="array" ref="B121">GetCSVIndex(A2,2+763)</f>
        <v/>
      </c>
      <c r="C121" s="10" t="str" cm="1">
        <f t="array" ref="C121">GetCSVIndex(A2,3+763)</f>
        <v/>
      </c>
      <c r="D121" s="10" t="str">
        <f>IFERROR(CHOOSE(GetCSVIndex($A$2,4+763)+1,"Unknown","No","Yes"),"")</f>
        <v/>
      </c>
      <c r="E121" s="10" t="str" cm="1">
        <f t="array" ref="E121">GetCSVIndex(A2,5+763)</f>
        <v/>
      </c>
      <c r="F121" s="10" t="str" cm="1">
        <f t="array" ref="F121" xml:space="preserve"> IF(GetCSVIndex(A2,6+settings!N120)="255","Not Connected",GetCSVIndex(A2,6+settings!N120))</f>
        <v/>
      </c>
    </row>
    <row r="122" spans="1:6" x14ac:dyDescent="0.25">
      <c r="A122" s="14">
        <v>111</v>
      </c>
      <c r="B122" s="10" t="str" cm="1">
        <f t="array" ref="B122">GetCSVIndex(A2,2+770)</f>
        <v/>
      </c>
      <c r="C122" s="10" t="str" cm="1">
        <f t="array" ref="C122">GetCSVIndex(A2,3+770)</f>
        <v/>
      </c>
      <c r="D122" s="10" t="str">
        <f>IFERROR(CHOOSE(GetCSVIndex($A$2,4+770)+1,"Unknown","No","Yes"),"")</f>
        <v/>
      </c>
      <c r="E122" s="10" t="str" cm="1">
        <f t="array" ref="E122">GetCSVIndex(A2,5+770)</f>
        <v/>
      </c>
      <c r="F122" s="10" t="str" cm="1">
        <f t="array" ref="F122" xml:space="preserve"> IF(GetCSVIndex(A2,6+settings!N121)="255","Not Connected",GetCSVIndex(A2,6+settings!N121))</f>
        <v/>
      </c>
    </row>
    <row r="123" spans="1:6" x14ac:dyDescent="0.25">
      <c r="A123" s="14">
        <v>112</v>
      </c>
      <c r="B123" s="10" t="str" cm="1">
        <f t="array" ref="B123">GetCSVIndex(A2,2+777)</f>
        <v/>
      </c>
      <c r="C123" s="10" t="str" cm="1">
        <f t="array" ref="C123">GetCSVIndex(A2,3+777)</f>
        <v/>
      </c>
      <c r="D123" s="10" t="str">
        <f>IFERROR(CHOOSE(GetCSVIndex($A$2,4+777)+1,"Unknown","No","Yes"),"")</f>
        <v/>
      </c>
      <c r="E123" s="10" t="str" cm="1">
        <f t="array" ref="E123">GetCSVIndex(A2,5+777)</f>
        <v/>
      </c>
      <c r="F123" s="10" t="str" cm="1">
        <f t="array" ref="F123" xml:space="preserve"> IF(GetCSVIndex(A2,6+settings!N122)="255","Not Connected",GetCSVIndex(A2,6+settings!N122))</f>
        <v/>
      </c>
    </row>
    <row r="124" spans="1:6" x14ac:dyDescent="0.25">
      <c r="A124" s="14">
        <v>113</v>
      </c>
      <c r="B124" s="10" t="str" cm="1">
        <f t="array" ref="B124">GetCSVIndex(A2,2+784)</f>
        <v/>
      </c>
      <c r="C124" s="10" t="str" cm="1">
        <f t="array" ref="C124">GetCSVIndex(A2,3+784)</f>
        <v/>
      </c>
      <c r="D124" s="10" t="str">
        <f>IFERROR(CHOOSE(GetCSVIndex($A$2,4+784)+1,"Unknown","No","Yes"),"")</f>
        <v/>
      </c>
      <c r="E124" s="10" t="str" cm="1">
        <f t="array" ref="E124">GetCSVIndex(A2,5+784)</f>
        <v/>
      </c>
      <c r="F124" s="10" t="str" cm="1">
        <f t="array" ref="F124" xml:space="preserve"> IF(GetCSVIndex(A2,6+settings!N123)="255","Not Connected",GetCSVIndex(A2,6+settings!N123))</f>
        <v/>
      </c>
    </row>
    <row r="125" spans="1:6" x14ac:dyDescent="0.25">
      <c r="A125" s="14">
        <v>114</v>
      </c>
      <c r="B125" s="10" t="str" cm="1">
        <f t="array" ref="B125">GetCSVIndex(A2,2+791)</f>
        <v/>
      </c>
      <c r="C125" s="10" t="str" cm="1">
        <f t="array" ref="C125">GetCSVIndex(A2,3+791)</f>
        <v/>
      </c>
      <c r="D125" s="10" t="str">
        <f>IFERROR(CHOOSE(GetCSVIndex($A$2,4+791)+1,"Unknown","No","Yes"),"")</f>
        <v/>
      </c>
      <c r="E125" s="10" t="str" cm="1">
        <f t="array" ref="E125">GetCSVIndex(A2,5+791)</f>
        <v/>
      </c>
      <c r="F125" s="10" t="str" cm="1">
        <f t="array" ref="F125" xml:space="preserve"> IF(GetCSVIndex(A2,6+settings!N124)="255","Not Connected",GetCSVIndex(A2,6+settings!N124))</f>
        <v/>
      </c>
    </row>
    <row r="126" spans="1:6" x14ac:dyDescent="0.25">
      <c r="A126" s="14">
        <v>115</v>
      </c>
      <c r="B126" s="10" t="str" cm="1">
        <f t="array" ref="B126">GetCSVIndex(A2,2+798)</f>
        <v/>
      </c>
      <c r="C126" s="10" t="str" cm="1">
        <f t="array" ref="C126">GetCSVIndex(A2,3+798)</f>
        <v/>
      </c>
      <c r="D126" s="10" t="str">
        <f>IFERROR(CHOOSE(GetCSVIndex($A$2,4+798)+1,"Unknown","No","Yes"),"")</f>
        <v/>
      </c>
      <c r="E126" s="10" t="str" cm="1">
        <f t="array" ref="E126">GetCSVIndex(A2,5+798)</f>
        <v/>
      </c>
      <c r="F126" s="10" t="str" cm="1">
        <f t="array" ref="F126" xml:space="preserve"> IF(GetCSVIndex(A2,6+settings!N125)="255","Not Connected",GetCSVIndex(A2,6+settings!N125))</f>
        <v/>
      </c>
    </row>
    <row r="127" spans="1:6" x14ac:dyDescent="0.25">
      <c r="A127" s="14">
        <v>116</v>
      </c>
      <c r="B127" s="10" t="str" cm="1">
        <f t="array" ref="B127">GetCSVIndex(A2,2+805)</f>
        <v/>
      </c>
      <c r="C127" s="10" t="str" cm="1">
        <f t="array" ref="C127">GetCSVIndex(A2,3+805)</f>
        <v/>
      </c>
      <c r="D127" s="10" t="str">
        <f>IFERROR(CHOOSE(GetCSVIndex($A$2,4+805)+1,"Unknown","No","Yes"),"")</f>
        <v/>
      </c>
      <c r="E127" s="10" t="str" cm="1">
        <f t="array" ref="E127">GetCSVIndex(A2,5+805)</f>
        <v/>
      </c>
      <c r="F127" s="10" t="str" cm="1">
        <f t="array" ref="F127" xml:space="preserve"> IF(GetCSVIndex(A2,6+settings!N126)="255","Not Connected",GetCSVIndex(A2,6+settings!N126))</f>
        <v/>
      </c>
    </row>
    <row r="128" spans="1:6" x14ac:dyDescent="0.25">
      <c r="A128" s="14">
        <v>117</v>
      </c>
      <c r="B128" s="10" t="str" cm="1">
        <f t="array" ref="B128">GetCSVIndex(A2,2+812)</f>
        <v/>
      </c>
      <c r="C128" s="10" t="str" cm="1">
        <f t="array" ref="C128">GetCSVIndex(A2,3+812)</f>
        <v/>
      </c>
      <c r="D128" s="10" t="str">
        <f>IFERROR(CHOOSE(GetCSVIndex($A$2,4+812)+1,"Unknown","No","Yes"),"")</f>
        <v/>
      </c>
      <c r="E128" s="10" t="str" cm="1">
        <f t="array" ref="E128">GetCSVIndex(A2,5+812)</f>
        <v/>
      </c>
      <c r="F128" s="10" t="str" cm="1">
        <f t="array" ref="F128" xml:space="preserve"> IF(GetCSVIndex(A2,6+settings!N127)="255","Not Connected",GetCSVIndex(A2,6+settings!N127))</f>
        <v/>
      </c>
    </row>
    <row r="129" spans="1:6" x14ac:dyDescent="0.25">
      <c r="A129" s="14">
        <v>118</v>
      </c>
      <c r="B129" s="10" t="str" cm="1">
        <f t="array" ref="B129">GetCSVIndex(A2,2+819)</f>
        <v/>
      </c>
      <c r="C129" s="10" t="str" cm="1">
        <f t="array" ref="C129">GetCSVIndex(A2,3+819)</f>
        <v/>
      </c>
      <c r="D129" s="10" t="str">
        <f>IFERROR(CHOOSE(GetCSVIndex($A$2,4+819)+1,"Unknown","No","Yes"),"")</f>
        <v/>
      </c>
      <c r="E129" s="10" t="str" cm="1">
        <f t="array" ref="E129">GetCSVIndex(A2,5+819)</f>
        <v/>
      </c>
      <c r="F129" s="10" t="str" cm="1">
        <f t="array" ref="F129" xml:space="preserve"> IF(GetCSVIndex(A2,6+settings!N128)="255","Not Connected",GetCSVIndex(A2,6+settings!N128))</f>
        <v/>
      </c>
    </row>
    <row r="130" spans="1:6" x14ac:dyDescent="0.25">
      <c r="A130" s="14">
        <v>119</v>
      </c>
      <c r="B130" s="10" t="str" cm="1">
        <f t="array" ref="B130">GetCSVIndex(A2,2+826)</f>
        <v/>
      </c>
      <c r="C130" s="10" t="str" cm="1">
        <f t="array" ref="C130">GetCSVIndex(A2,3+826)</f>
        <v/>
      </c>
      <c r="D130" s="10" t="str">
        <f>IFERROR(CHOOSE(GetCSVIndex($A$2,4+826)+1,"Unknown","No","Yes"),"")</f>
        <v/>
      </c>
      <c r="E130" s="10" t="str" cm="1">
        <f t="array" ref="E130">GetCSVIndex(A2,5+826)</f>
        <v/>
      </c>
      <c r="F130" s="10" t="str" cm="1">
        <f t="array" ref="F130" xml:space="preserve"> IF(GetCSVIndex(A2,6+settings!N129)="255","Not Connected",GetCSVIndex(A2,6+settings!N129))</f>
        <v/>
      </c>
    </row>
    <row r="131" spans="1:6" x14ac:dyDescent="0.25">
      <c r="A131" s="14">
        <v>120</v>
      </c>
      <c r="B131" s="10" t="str" cm="1">
        <f t="array" ref="B131">GetCSVIndex(A2,2+833)</f>
        <v/>
      </c>
      <c r="C131" s="10" t="str" cm="1">
        <f t="array" ref="C131">GetCSVIndex(A2,3+833)</f>
        <v/>
      </c>
      <c r="D131" s="10" t="str">
        <f>IFERROR(CHOOSE(GetCSVIndex($A$2,4+833)+1,"Unknown","No","Yes"),"")</f>
        <v/>
      </c>
      <c r="E131" s="10" t="str" cm="1">
        <f t="array" ref="E131">GetCSVIndex(A2,5+833)</f>
        <v/>
      </c>
      <c r="F131" s="10" t="str" cm="1">
        <f t="array" ref="F131" xml:space="preserve"> IF(GetCSVIndex(A2,6+settings!N130)="255","Not Connected",GetCSVIndex(A2,6+settings!N130))</f>
        <v/>
      </c>
    </row>
    <row r="132" spans="1:6" x14ac:dyDescent="0.25">
      <c r="A132" s="14">
        <v>121</v>
      </c>
      <c r="B132" s="10" t="str" cm="1">
        <f t="array" ref="B132">GetCSVIndex(A2,2+840)</f>
        <v/>
      </c>
      <c r="C132" s="10" t="str" cm="1">
        <f t="array" ref="C132">GetCSVIndex(A2,3+840)</f>
        <v/>
      </c>
      <c r="D132" s="10" t="str">
        <f>IFERROR(CHOOSE(GetCSVIndex($A$2,4+840)+1,"Unknown","No","Yes"),"")</f>
        <v/>
      </c>
      <c r="E132" s="10" t="str" cm="1">
        <f t="array" ref="E132">GetCSVIndex(A2,5+840)</f>
        <v/>
      </c>
      <c r="F132" s="10" t="str" cm="1">
        <f t="array" ref="F132" xml:space="preserve"> IF(GetCSVIndex(A2,6+settings!N131)="255","Not Connected",GetCSVIndex(A2,6+settings!N131))</f>
        <v/>
      </c>
    </row>
    <row r="133" spans="1:6" x14ac:dyDescent="0.25">
      <c r="A133" s="14">
        <v>122</v>
      </c>
      <c r="B133" s="10" t="str" cm="1">
        <f t="array" ref="B133">GetCSVIndex(A2,2+847)</f>
        <v/>
      </c>
      <c r="C133" s="10" t="str" cm="1">
        <f t="array" ref="C133">GetCSVIndex(A2,3+847)</f>
        <v/>
      </c>
      <c r="D133" s="10" t="str">
        <f>IFERROR(CHOOSE(GetCSVIndex($A$2,4+847)+1,"Unknown","No","Yes"),"")</f>
        <v/>
      </c>
      <c r="E133" s="10" t="str" cm="1">
        <f t="array" ref="E133">GetCSVIndex(A2,5+847)</f>
        <v/>
      </c>
      <c r="F133" s="10" t="str" cm="1">
        <f t="array" ref="F133" xml:space="preserve"> IF(GetCSVIndex(A2,6+settings!N132)="255","Not Connected",GetCSVIndex(A2,6+settings!N132))</f>
        <v/>
      </c>
    </row>
    <row r="134" spans="1:6" x14ac:dyDescent="0.25">
      <c r="A134" s="14">
        <v>123</v>
      </c>
      <c r="B134" s="10" t="str" cm="1">
        <f t="array" ref="B134">GetCSVIndex(A2,2+854)</f>
        <v/>
      </c>
      <c r="C134" s="10" t="str" cm="1">
        <f t="array" ref="C134">GetCSVIndex(A2,3+854)</f>
        <v/>
      </c>
      <c r="D134" s="10" t="str">
        <f>IFERROR(CHOOSE(GetCSVIndex($A$2,4+854)+1,"Unknown","No","Yes"),"")</f>
        <v/>
      </c>
      <c r="E134" s="10" t="str" cm="1">
        <f t="array" ref="E134">GetCSVIndex(A2,5+854)</f>
        <v/>
      </c>
      <c r="F134" s="10" t="str" cm="1">
        <f t="array" ref="F134" xml:space="preserve"> IF(GetCSVIndex(A2,6+settings!N133)="255","Not Connected",GetCSVIndex(A2,6+settings!N133))</f>
        <v/>
      </c>
    </row>
    <row r="135" spans="1:6" x14ac:dyDescent="0.25">
      <c r="A135" s="14">
        <v>124</v>
      </c>
      <c r="B135" s="10" t="str" cm="1">
        <f t="array" ref="B135">GetCSVIndex(A2,2+861)</f>
        <v/>
      </c>
      <c r="C135" s="10" t="str" cm="1">
        <f t="array" ref="C135">GetCSVIndex(A2,3+861)</f>
        <v/>
      </c>
      <c r="D135" s="10" t="str">
        <f>IFERROR(CHOOSE(GetCSVIndex($A$2,4+861)+1,"Unknown","No","Yes"),"")</f>
        <v/>
      </c>
      <c r="E135" s="10" t="str" cm="1">
        <f t="array" ref="E135">GetCSVIndex(A2,5+861)</f>
        <v/>
      </c>
      <c r="F135" s="10" t="str" cm="1">
        <f t="array" ref="F135" xml:space="preserve"> IF(GetCSVIndex(A2,6+settings!N134)="255","Not Connected",GetCSVIndex(A2,6+settings!N134))</f>
        <v/>
      </c>
    </row>
    <row r="136" spans="1:6" x14ac:dyDescent="0.25">
      <c r="A136" s="14">
        <v>125</v>
      </c>
      <c r="B136" s="10" t="str" cm="1">
        <f t="array" ref="B136">GetCSVIndex(A2,2+868)</f>
        <v/>
      </c>
      <c r="C136" s="10" t="str" cm="1">
        <f t="array" ref="C136">GetCSVIndex(A2,3+868)</f>
        <v/>
      </c>
      <c r="D136" s="10" t="str">
        <f>IFERROR(CHOOSE(GetCSVIndex($A$2,4+868)+1,"Unknown","No","Yes"),"")</f>
        <v/>
      </c>
      <c r="E136" s="10" t="str" cm="1">
        <f t="array" ref="E136">GetCSVIndex(A2,5+868)</f>
        <v/>
      </c>
      <c r="F136" s="10" t="str" cm="1">
        <f t="array" ref="F136" xml:space="preserve"> IF(GetCSVIndex(A2,6+settings!N135)="255","Not Connected",GetCSVIndex(A2,6+settings!N135))</f>
        <v/>
      </c>
    </row>
    <row r="137" spans="1:6" x14ac:dyDescent="0.25">
      <c r="A137" s="14">
        <v>126</v>
      </c>
      <c r="B137" s="10" t="str" cm="1">
        <f t="array" ref="B137">GetCSVIndex(A2,2+875)</f>
        <v/>
      </c>
      <c r="C137" s="10" t="str" cm="1">
        <f t="array" ref="C137">GetCSVIndex(A2,3+875)</f>
        <v/>
      </c>
      <c r="D137" s="10" t="str">
        <f>IFERROR(CHOOSE(GetCSVIndex($A$2,4+875)+1,"Unknown","No","Yes"),"")</f>
        <v/>
      </c>
      <c r="E137" s="10" t="str" cm="1">
        <f t="array" ref="E137">GetCSVIndex(A2,5+875)</f>
        <v/>
      </c>
      <c r="F137" s="10" t="str" cm="1">
        <f t="array" ref="F137" xml:space="preserve"> IF(GetCSVIndex(A2,6+settings!N136)="255","Not Connected",GetCSVIndex(A2,6+settings!N136))</f>
        <v/>
      </c>
    </row>
    <row r="138" spans="1:6" x14ac:dyDescent="0.25">
      <c r="A138" s="14">
        <v>127</v>
      </c>
      <c r="B138" s="10" t="str" cm="1">
        <f t="array" ref="B138">GetCSVIndex(A2,2+882)</f>
        <v/>
      </c>
      <c r="C138" s="10" t="str" cm="1">
        <f t="array" ref="C138">GetCSVIndex(A2,3+882)</f>
        <v/>
      </c>
      <c r="D138" s="10" t="str">
        <f>IFERROR(CHOOSE(GetCSVIndex($A$2,4+882)+1,"Unknown","No","Yes"),"")</f>
        <v/>
      </c>
      <c r="E138" s="10" t="str" cm="1">
        <f t="array" ref="E138">GetCSVIndex(A2,5+882)</f>
        <v/>
      </c>
      <c r="F138" s="10" t="str" cm="1">
        <f t="array" ref="F138" xml:space="preserve"> IF(GetCSVIndex(A2,6+settings!N137)="255","Not Connected",GetCSVIndex(A2,6+settings!N137))</f>
        <v/>
      </c>
    </row>
    <row r="139" spans="1:6" x14ac:dyDescent="0.25">
      <c r="A139" s="14">
        <v>128</v>
      </c>
      <c r="B139" s="10" t="str" cm="1">
        <f t="array" ref="B139">GetCSVIndex(A2,2+889)</f>
        <v/>
      </c>
      <c r="C139" s="10" t="str" cm="1">
        <f t="array" ref="C139">GetCSVIndex(A2,3+889)</f>
        <v/>
      </c>
      <c r="D139" s="10" t="str">
        <f>IFERROR(CHOOSE(GetCSVIndex($A$2,4+889)+1,"Unknown","No","Yes"),"")</f>
        <v/>
      </c>
      <c r="E139" s="10" t="str" cm="1">
        <f t="array" ref="E139">GetCSVIndex(A2,5+889)</f>
        <v/>
      </c>
      <c r="F139" s="10" t="str" cm="1">
        <f t="array" ref="F139" xml:space="preserve"> IF(GetCSVIndex(A2,6+settings!N138)="255","Not Connected",GetCSVIndex(A2,6+settings!N138))</f>
        <v/>
      </c>
    </row>
    <row r="140" spans="1:6" x14ac:dyDescent="0.25">
      <c r="A140" s="14">
        <v>129</v>
      </c>
      <c r="B140" s="10" t="str" cm="1">
        <f t="array" ref="B140">GetCSVIndex(A2,2+896)</f>
        <v/>
      </c>
      <c r="C140" s="10" t="str" cm="1">
        <f t="array" ref="C140">GetCSVIndex(A2,3+896)</f>
        <v/>
      </c>
      <c r="D140" s="10" t="str">
        <f>IFERROR(CHOOSE(GetCSVIndex($A$2,4+896)+1,"Unknown","No","Yes"),"")</f>
        <v/>
      </c>
      <c r="E140" s="10" t="str" cm="1">
        <f t="array" ref="E140">GetCSVIndex(A2,5+896)</f>
        <v/>
      </c>
      <c r="F140" s="10" t="str" cm="1">
        <f t="array" ref="F140" xml:space="preserve"> IF(GetCSVIndex(A2,6+settings!N139)="255","Not Connected",GetCSVIndex(A2,6+settings!N139))</f>
        <v/>
      </c>
    </row>
    <row r="141" spans="1:6" x14ac:dyDescent="0.25">
      <c r="A141" s="14">
        <v>130</v>
      </c>
      <c r="B141" s="10" t="str" cm="1">
        <f t="array" ref="B141">GetCSVIndex(A2,2+903)</f>
        <v/>
      </c>
      <c r="C141" s="10" t="str" cm="1">
        <f t="array" ref="C141">GetCSVIndex(A2,3+903)</f>
        <v/>
      </c>
      <c r="D141" s="10" t="str">
        <f>IFERROR(CHOOSE(GetCSVIndex($A$2,4+903)+1,"Unknown","No","Yes"),"")</f>
        <v/>
      </c>
      <c r="E141" s="10" t="str" cm="1">
        <f t="array" ref="E141">GetCSVIndex(A2,5+903)</f>
        <v/>
      </c>
      <c r="F141" s="10" t="str" cm="1">
        <f t="array" ref="F141" xml:space="preserve"> IF(GetCSVIndex(A2,6+settings!N140)="255","Not Connected",GetCSVIndex(A2,6+settings!N140))</f>
        <v/>
      </c>
    </row>
    <row r="142" spans="1:6" x14ac:dyDescent="0.25">
      <c r="A142" s="14">
        <v>131</v>
      </c>
      <c r="B142" s="10" t="str" cm="1">
        <f t="array" ref="B142">GetCSVIndex(A2,2+910)</f>
        <v/>
      </c>
      <c r="C142" s="10" t="str" cm="1">
        <f t="array" ref="C142">GetCSVIndex(A2,3+910)</f>
        <v/>
      </c>
      <c r="D142" s="10" t="str">
        <f>IFERROR(CHOOSE(GetCSVIndex($A$2,4+910)+1,"Unknown","No","Yes"),"")</f>
        <v/>
      </c>
      <c r="E142" s="10" t="str" cm="1">
        <f t="array" ref="E142">GetCSVIndex(A2,5+910)</f>
        <v/>
      </c>
      <c r="F142" s="10" t="str" cm="1">
        <f t="array" ref="F142" xml:space="preserve"> IF(GetCSVIndex(A2,6+settings!N141)="255","Not Connected",GetCSVIndex(A2,6+settings!N141))</f>
        <v/>
      </c>
    </row>
    <row r="143" spans="1:6" x14ac:dyDescent="0.25">
      <c r="A143" s="14">
        <v>132</v>
      </c>
      <c r="B143" s="10" t="str" cm="1">
        <f t="array" ref="B143">GetCSVIndex(A2,2+917)</f>
        <v/>
      </c>
      <c r="C143" s="10" t="str" cm="1">
        <f t="array" ref="C143">GetCSVIndex(A2,3+917)</f>
        <v/>
      </c>
      <c r="D143" s="10" t="str">
        <f>IFERROR(CHOOSE(GetCSVIndex($A$2,4+917)+1,"Unknown","No","Yes"),"")</f>
        <v/>
      </c>
      <c r="E143" s="10" t="str" cm="1">
        <f t="array" ref="E143">GetCSVIndex(A2,5+917)</f>
        <v/>
      </c>
      <c r="F143" s="10" t="str" cm="1">
        <f t="array" ref="F143" xml:space="preserve"> IF(GetCSVIndex(A2,6+settings!N142)="255","Not Connected",GetCSVIndex(A2,6+settings!N142))</f>
        <v/>
      </c>
    </row>
    <row r="144" spans="1:6" x14ac:dyDescent="0.25">
      <c r="A144" s="14">
        <v>133</v>
      </c>
      <c r="B144" s="10" t="str" cm="1">
        <f t="array" ref="B144">GetCSVIndex(A2,2+924)</f>
        <v/>
      </c>
      <c r="C144" s="10" t="str" cm="1">
        <f t="array" ref="C144">GetCSVIndex(A2,3+924)</f>
        <v/>
      </c>
      <c r="D144" s="10" t="str">
        <f>IFERROR(CHOOSE(GetCSVIndex($A$2,4+924)+1,"Unknown","No","Yes"),"")</f>
        <v/>
      </c>
      <c r="E144" s="10" t="str" cm="1">
        <f t="array" ref="E144">GetCSVIndex(A2,5+924)</f>
        <v/>
      </c>
      <c r="F144" s="10" t="str" cm="1">
        <f t="array" ref="F144" xml:space="preserve"> IF(GetCSVIndex(A2,6+settings!N143)="255","Not Connected",GetCSVIndex(A2,6+settings!N143))</f>
        <v/>
      </c>
    </row>
    <row r="145" spans="1:6" x14ac:dyDescent="0.25">
      <c r="A145" s="14">
        <v>134</v>
      </c>
      <c r="B145" s="10" t="str" cm="1">
        <f t="array" ref="B145">GetCSVIndex(A2,2+931)</f>
        <v/>
      </c>
      <c r="C145" s="10" t="str" cm="1">
        <f t="array" ref="C145">GetCSVIndex(A2,3+931)</f>
        <v/>
      </c>
      <c r="D145" s="10" t="str">
        <f>IFERROR(CHOOSE(GetCSVIndex($A$2,4+931)+1,"Unknown","No","Yes"),"")</f>
        <v/>
      </c>
      <c r="E145" s="10" t="str" cm="1">
        <f t="array" ref="E145">GetCSVIndex(A2,5+931)</f>
        <v/>
      </c>
      <c r="F145" s="10" t="str" cm="1">
        <f t="array" ref="F145" xml:space="preserve"> IF(GetCSVIndex(A2,6+settings!N144)="255","Not Connected",GetCSVIndex(A2,6+settings!N144))</f>
        <v/>
      </c>
    </row>
    <row r="146" spans="1:6" x14ac:dyDescent="0.25">
      <c r="A146" s="14">
        <v>135</v>
      </c>
      <c r="B146" s="10" t="str" cm="1">
        <f t="array" ref="B146">GetCSVIndex(A2,2+938)</f>
        <v/>
      </c>
      <c r="C146" s="10" t="str" cm="1">
        <f t="array" ref="C146">GetCSVIndex(A2,3+938)</f>
        <v/>
      </c>
      <c r="D146" s="10" t="str">
        <f>IFERROR(CHOOSE(GetCSVIndex($A$2,4+938)+1,"Unknown","No","Yes"),"")</f>
        <v/>
      </c>
      <c r="E146" s="10" t="str" cm="1">
        <f t="array" ref="E146">GetCSVIndex(A2,5+938)</f>
        <v/>
      </c>
      <c r="F146" s="10" t="str" cm="1">
        <f t="array" ref="F146" xml:space="preserve"> IF(GetCSVIndex(A2,6+settings!N145)="255","Not Connected",GetCSVIndex(A2,6+settings!N145))</f>
        <v/>
      </c>
    </row>
    <row r="147" spans="1:6" x14ac:dyDescent="0.25">
      <c r="A147" s="14">
        <v>136</v>
      </c>
      <c r="B147" s="10" t="str" cm="1">
        <f t="array" ref="B147">GetCSVIndex(A2,2+945)</f>
        <v/>
      </c>
      <c r="C147" s="10" t="str" cm="1">
        <f t="array" ref="C147">GetCSVIndex(A2,3+945)</f>
        <v/>
      </c>
      <c r="D147" s="10" t="str">
        <f>IFERROR(CHOOSE(GetCSVIndex($A$2,4+945)+1,"Unknown","No","Yes"),"")</f>
        <v/>
      </c>
      <c r="E147" s="10" t="str" cm="1">
        <f t="array" ref="E147">GetCSVIndex(A2,5+945)</f>
        <v/>
      </c>
      <c r="F147" s="10" t="str" cm="1">
        <f t="array" ref="F147" xml:space="preserve"> IF(GetCSVIndex(A2,6+settings!N146)="255","Not Connected",GetCSVIndex(A2,6+settings!N146))</f>
        <v/>
      </c>
    </row>
    <row r="148" spans="1:6" x14ac:dyDescent="0.25">
      <c r="A148" s="14">
        <v>137</v>
      </c>
      <c r="B148" s="10" t="str" cm="1">
        <f t="array" ref="B148">GetCSVIndex(A2,2+952)</f>
        <v/>
      </c>
      <c r="C148" s="10" t="str" cm="1">
        <f t="array" ref="C148">GetCSVIndex(A2,3+952)</f>
        <v/>
      </c>
      <c r="D148" s="10" t="str">
        <f>IFERROR(CHOOSE(GetCSVIndex($A$2,4+952)+1,"Unknown","No","Yes"),"")</f>
        <v/>
      </c>
      <c r="E148" s="10" t="str" cm="1">
        <f t="array" ref="E148">GetCSVIndex(A2,5+952)</f>
        <v/>
      </c>
      <c r="F148" s="10" t="str" cm="1">
        <f t="array" ref="F148" xml:space="preserve"> IF(GetCSVIndex(A2,6+settings!N147)="255","Not Connected",GetCSVIndex(A2,6+settings!N147))</f>
        <v/>
      </c>
    </row>
    <row r="149" spans="1:6" x14ac:dyDescent="0.25">
      <c r="A149" s="14">
        <v>138</v>
      </c>
      <c r="B149" s="10" t="str" cm="1">
        <f t="array" ref="B149">GetCSVIndex(A2,2+959)</f>
        <v/>
      </c>
      <c r="C149" s="10" t="str" cm="1">
        <f t="array" ref="C149">GetCSVIndex(A2,3+959)</f>
        <v/>
      </c>
      <c r="D149" s="10" t="str">
        <f>IFERROR(CHOOSE(GetCSVIndex($A$2,4+959)+1,"Unknown","No","Yes"),"")</f>
        <v/>
      </c>
      <c r="E149" s="10" t="str" cm="1">
        <f t="array" ref="E149">GetCSVIndex(A2,5+959)</f>
        <v/>
      </c>
      <c r="F149" s="10" t="str" cm="1">
        <f t="array" ref="F149" xml:space="preserve"> IF(GetCSVIndex(A2,6+settings!N148)="255","Not Connected",GetCSVIndex(A2,6+settings!N148))</f>
        <v/>
      </c>
    </row>
    <row r="150" spans="1:6" x14ac:dyDescent="0.25">
      <c r="A150" s="14">
        <v>139</v>
      </c>
      <c r="B150" s="10" t="str" cm="1">
        <f t="array" ref="B150">GetCSVIndex(A2,2+966)</f>
        <v/>
      </c>
      <c r="C150" s="10" t="str" cm="1">
        <f t="array" ref="C150">GetCSVIndex(A2,3+966)</f>
        <v/>
      </c>
      <c r="D150" s="10" t="str">
        <f>IFERROR(CHOOSE(GetCSVIndex($A$2,4+966)+1,"Unknown","No","Yes"),"")</f>
        <v/>
      </c>
      <c r="E150" s="10" t="str" cm="1">
        <f t="array" ref="E150">GetCSVIndex(A2,5+966)</f>
        <v/>
      </c>
      <c r="F150" s="10" t="str" cm="1">
        <f t="array" ref="F150" xml:space="preserve"> IF(GetCSVIndex(A2,6+settings!N149)="255","Not Connected",GetCSVIndex(A2,6+settings!N149))</f>
        <v/>
      </c>
    </row>
    <row r="151" spans="1:6" x14ac:dyDescent="0.25">
      <c r="A151" s="14">
        <v>140</v>
      </c>
      <c r="B151" s="10" t="str" cm="1">
        <f t="array" ref="B151">GetCSVIndex(A2,2+973)</f>
        <v/>
      </c>
      <c r="C151" s="10" t="str" cm="1">
        <f t="array" ref="C151">GetCSVIndex(A2,3+973)</f>
        <v/>
      </c>
      <c r="D151" s="10" t="str">
        <f>IFERROR(CHOOSE(GetCSVIndex($A$2,4+973)+1,"Unknown","No","Yes"),"")</f>
        <v/>
      </c>
      <c r="E151" s="10" t="str" cm="1">
        <f t="array" ref="E151">GetCSVIndex(A2,5+973)</f>
        <v/>
      </c>
      <c r="F151" s="10" t="str" cm="1">
        <f t="array" ref="F151" xml:space="preserve"> IF(GetCSVIndex(A2,6+settings!N150)="255","Not Connected",GetCSVIndex(A2,6+settings!N150))</f>
        <v/>
      </c>
    </row>
    <row r="152" spans="1:6" x14ac:dyDescent="0.25">
      <c r="A152" s="14">
        <v>141</v>
      </c>
      <c r="B152" s="10" t="str" cm="1">
        <f t="array" ref="B152">GetCSVIndex(A2,2+980)</f>
        <v/>
      </c>
      <c r="C152" s="10" t="str" cm="1">
        <f t="array" ref="C152">GetCSVIndex(A2,3+980)</f>
        <v/>
      </c>
      <c r="D152" s="10" t="str">
        <f>IFERROR(CHOOSE(GetCSVIndex($A$2,4+980)+1,"Unknown","No","Yes"),"")</f>
        <v/>
      </c>
      <c r="E152" s="10" t="str" cm="1">
        <f t="array" ref="E152">GetCSVIndex(A2,5+980)</f>
        <v/>
      </c>
      <c r="F152" s="10" t="str" cm="1">
        <f t="array" ref="F152" xml:space="preserve"> IF(GetCSVIndex(A2,6+settings!N151)="255","Not Connected",GetCSVIndex(A2,6+settings!N151))</f>
        <v/>
      </c>
    </row>
    <row r="153" spans="1:6" x14ac:dyDescent="0.25">
      <c r="A153" s="14">
        <v>142</v>
      </c>
      <c r="B153" s="10" t="str" cm="1">
        <f t="array" ref="B153">GetCSVIndex(A2,2+987)</f>
        <v/>
      </c>
      <c r="C153" s="10" t="str" cm="1">
        <f t="array" ref="C153">GetCSVIndex(A2,3+987)</f>
        <v/>
      </c>
      <c r="D153" s="10" t="str">
        <f>IFERROR(CHOOSE(GetCSVIndex($A$2,4+987)+1,"Unknown","No","Yes"),"")</f>
        <v/>
      </c>
      <c r="E153" s="10" t="str" cm="1">
        <f t="array" ref="E153">GetCSVIndex(A2,5+987)</f>
        <v/>
      </c>
      <c r="F153" s="10" t="str" cm="1">
        <f t="array" ref="F153" xml:space="preserve"> IF(GetCSVIndex(A2,6+settings!N152)="255","Not Connected",GetCSVIndex(A2,6+settings!N152))</f>
        <v/>
      </c>
    </row>
    <row r="154" spans="1:6" x14ac:dyDescent="0.25">
      <c r="A154" s="14">
        <v>143</v>
      </c>
      <c r="B154" s="10" t="str" cm="1">
        <f t="array" ref="B154">GetCSVIndex(A2,2+994)</f>
        <v/>
      </c>
      <c r="C154" s="10" t="str" cm="1">
        <f t="array" ref="C154">GetCSVIndex(A2,3+994)</f>
        <v/>
      </c>
      <c r="D154" s="10" t="str">
        <f>IFERROR(CHOOSE(GetCSVIndex($A$2,4+994)+1,"Unknown","No","Yes"),"")</f>
        <v/>
      </c>
      <c r="E154" s="10" t="str" cm="1">
        <f t="array" ref="E154">GetCSVIndex(A2,5+994)</f>
        <v/>
      </c>
      <c r="F154" s="10" t="str" cm="1">
        <f t="array" ref="F154" xml:space="preserve"> IF(GetCSVIndex(A2,6+settings!N153)="255","Not Connected",GetCSVIndex(A2,6+settings!N153))</f>
        <v/>
      </c>
    </row>
    <row r="155" spans="1:6" x14ac:dyDescent="0.25">
      <c r="A155" s="14">
        <v>144</v>
      </c>
      <c r="B155" s="10" t="str" cm="1">
        <f t="array" ref="B155">GetCSVIndex(A2,2+1001)</f>
        <v/>
      </c>
      <c r="C155" s="10" t="str" cm="1">
        <f t="array" ref="C155">GetCSVIndex(A2,3+1001)</f>
        <v/>
      </c>
      <c r="D155" s="10" t="str">
        <f>IFERROR(CHOOSE(GetCSVIndex($A$2,4+1001)+1,"Unknown","No","Yes"),"")</f>
        <v/>
      </c>
      <c r="E155" s="10" t="str" cm="1">
        <f t="array" ref="E155">GetCSVIndex(A2,5+1001)</f>
        <v/>
      </c>
      <c r="F155" s="10" t="str" cm="1">
        <f t="array" ref="F155" xml:space="preserve"> IF(GetCSVIndex(A2,6+settings!N154)="255","Not Connected",GetCSVIndex(A2,6+settings!N154))</f>
        <v/>
      </c>
    </row>
    <row r="156" spans="1:6" x14ac:dyDescent="0.25">
      <c r="A156" s="14">
        <v>145</v>
      </c>
      <c r="B156" s="10" t="str" cm="1">
        <f t="array" ref="B156">GetCSVIndex(A2,2+1008)</f>
        <v/>
      </c>
      <c r="C156" s="10" t="str" cm="1">
        <f t="array" ref="C156">GetCSVIndex(A2,3+1008)</f>
        <v/>
      </c>
      <c r="D156" s="10" t="str">
        <f>IFERROR(CHOOSE(GetCSVIndex($A$2,4+1008)+1,"Unknown","No","Yes"),"")</f>
        <v/>
      </c>
      <c r="E156" s="10" t="str" cm="1">
        <f t="array" ref="E156">GetCSVIndex(A2,5+1008)</f>
        <v/>
      </c>
      <c r="F156" s="10" t="str" cm="1">
        <f t="array" ref="F156" xml:space="preserve"> IF(GetCSVIndex(A2,6+settings!N155)="255","Not Connected",GetCSVIndex(A2,6+settings!N155))</f>
        <v/>
      </c>
    </row>
    <row r="157" spans="1:6" x14ac:dyDescent="0.25">
      <c r="A157" s="14">
        <v>146</v>
      </c>
      <c r="B157" s="10" t="str" cm="1">
        <f t="array" ref="B157">GetCSVIndex(A2,2+1015)</f>
        <v/>
      </c>
      <c r="C157" s="10" t="str" cm="1">
        <f t="array" ref="C157">GetCSVIndex(A2,3+1015)</f>
        <v/>
      </c>
      <c r="D157" s="10" t="str">
        <f>IFERROR(CHOOSE(GetCSVIndex($A$2,4+1015)+1,"Unknown","No","Yes"),"")</f>
        <v/>
      </c>
      <c r="E157" s="10" t="str" cm="1">
        <f t="array" ref="E157">GetCSVIndex(A2,5+1015)</f>
        <v/>
      </c>
      <c r="F157" s="10" t="str" cm="1">
        <f t="array" ref="F157" xml:space="preserve"> IF(GetCSVIndex(A2,6+settings!N156)="255","Not Connected",GetCSVIndex(A2,6+settings!N156))</f>
        <v/>
      </c>
    </row>
    <row r="158" spans="1:6" x14ac:dyDescent="0.25">
      <c r="A158" s="14">
        <v>147</v>
      </c>
      <c r="B158" s="10" t="str" cm="1">
        <f t="array" ref="B158">GetCSVIndex(A2,2+1022)</f>
        <v/>
      </c>
      <c r="C158" s="10" t="str" cm="1">
        <f t="array" ref="C158">GetCSVIndex(A2,3+1022)</f>
        <v/>
      </c>
      <c r="D158" s="10" t="str">
        <f>IFERROR(CHOOSE(GetCSVIndex($A$2,4+1022)+1,"Unknown","No","Yes"),"")</f>
        <v/>
      </c>
      <c r="E158" s="10" t="str" cm="1">
        <f t="array" ref="E158">GetCSVIndex(A2,5+1022)</f>
        <v/>
      </c>
      <c r="F158" s="10" t="str" cm="1">
        <f t="array" ref="F158" xml:space="preserve"> IF(GetCSVIndex(A2,6+settings!N157)="255","Not Connected",GetCSVIndex(A2,6+settings!N157))</f>
        <v/>
      </c>
    </row>
    <row r="159" spans="1:6" x14ac:dyDescent="0.25">
      <c r="A159" s="14">
        <v>148</v>
      </c>
      <c r="B159" s="10" t="str" cm="1">
        <f t="array" ref="B159">GetCSVIndex(A2,2+1029)</f>
        <v/>
      </c>
      <c r="C159" s="10" t="str" cm="1">
        <f t="array" ref="C159">GetCSVIndex(A2,3+1029)</f>
        <v/>
      </c>
      <c r="D159" s="10" t="str">
        <f>IFERROR(CHOOSE(GetCSVIndex($A$2,4+1029)+1,"Unknown","No","Yes"),"")</f>
        <v/>
      </c>
      <c r="E159" s="10" t="str" cm="1">
        <f t="array" ref="E159">GetCSVIndex(A2,5+1029)</f>
        <v/>
      </c>
      <c r="F159" s="10" t="str" cm="1">
        <f t="array" ref="F159" xml:space="preserve"> IF(GetCSVIndex(A2,6+settings!N158)="255","Not Connected",GetCSVIndex(A2,6+settings!N158))</f>
        <v/>
      </c>
    </row>
    <row r="160" spans="1:6" x14ac:dyDescent="0.25">
      <c r="A160" s="14">
        <v>149</v>
      </c>
      <c r="B160" s="10" t="str" cm="1">
        <f t="array" ref="B160">GetCSVIndex(A2,2+1036)</f>
        <v/>
      </c>
      <c r="C160" s="10" t="str" cm="1">
        <f t="array" ref="C160">GetCSVIndex(A2,3+1036)</f>
        <v/>
      </c>
      <c r="D160" s="10" t="str">
        <f>IFERROR(CHOOSE(GetCSVIndex($A$2,4+1036)+1,"Unknown","No","Yes"),"")</f>
        <v/>
      </c>
      <c r="E160" s="10" t="str" cm="1">
        <f t="array" ref="E160">GetCSVIndex(A2,5+1036)</f>
        <v/>
      </c>
      <c r="F160" s="10" t="str" cm="1">
        <f t="array" ref="F160" xml:space="preserve"> IF(GetCSVIndex(A2,6+settings!N159)="255","Not Connected",GetCSVIndex(A2,6+settings!N159))</f>
        <v/>
      </c>
    </row>
    <row r="161" spans="1:6" x14ac:dyDescent="0.25">
      <c r="A161" s="14">
        <v>150</v>
      </c>
      <c r="B161" s="10" t="str" cm="1">
        <f t="array" ref="B161">GetCSVIndex(A2,2+1043)</f>
        <v/>
      </c>
      <c r="C161" s="10" t="str" cm="1">
        <f t="array" ref="C161">GetCSVIndex(A2,3+1043)</f>
        <v/>
      </c>
      <c r="D161" s="10" t="str">
        <f>IFERROR(CHOOSE(GetCSVIndex($A$2,4+1043)+1,"Unknown","No","Yes"),"")</f>
        <v/>
      </c>
      <c r="E161" s="10" t="str" cm="1">
        <f t="array" ref="E161">GetCSVIndex(A2,5+1043)</f>
        <v/>
      </c>
      <c r="F161" s="10" t="str" cm="1">
        <f t="array" ref="F161" xml:space="preserve"> IF(GetCSVIndex(A2,6+settings!N160)="255","Not Connected",GetCSVIndex(A2,6+settings!N160))</f>
        <v/>
      </c>
    </row>
    <row r="162" spans="1:6" x14ac:dyDescent="0.25">
      <c r="A162" s="14">
        <v>151</v>
      </c>
      <c r="B162" s="10" t="str" cm="1">
        <f t="array" ref="B162">GetCSVIndex(A2,2+1050)</f>
        <v/>
      </c>
      <c r="C162" s="10" t="str" cm="1">
        <f t="array" ref="C162">GetCSVIndex(A2,3+1050)</f>
        <v/>
      </c>
      <c r="D162" s="10" t="str">
        <f>IFERROR(CHOOSE(GetCSVIndex($A$2,4+1050)+1,"Unknown","No","Yes"),"")</f>
        <v/>
      </c>
      <c r="E162" s="10" t="str" cm="1">
        <f t="array" ref="E162">GetCSVIndex(A2,5+1050)</f>
        <v/>
      </c>
      <c r="F162" s="10" t="str" cm="1">
        <f t="array" ref="F162" xml:space="preserve"> IF(GetCSVIndex(A2,6+settings!N161)="255","Not Connected",GetCSVIndex(A2,6+settings!N161))</f>
        <v/>
      </c>
    </row>
    <row r="163" spans="1:6" x14ac:dyDescent="0.25">
      <c r="A163" s="14">
        <v>152</v>
      </c>
      <c r="B163" s="10" t="str" cm="1">
        <f t="array" ref="B163">GetCSVIndex(A2,2+1057)</f>
        <v/>
      </c>
      <c r="C163" s="10" t="str" cm="1">
        <f t="array" ref="C163">GetCSVIndex(A2,3+1057)</f>
        <v/>
      </c>
      <c r="D163" s="10" t="str">
        <f>IFERROR(CHOOSE(GetCSVIndex($A$2,4+1057)+1,"Unknown","No","Yes"),"")</f>
        <v/>
      </c>
      <c r="E163" s="10" t="str" cm="1">
        <f t="array" ref="E163">GetCSVIndex(A2,5+1057)</f>
        <v/>
      </c>
      <c r="F163" s="10" t="str" cm="1">
        <f t="array" ref="F163" xml:space="preserve"> IF(GetCSVIndex(A2,6+settings!N162)="255","Not Connected",GetCSVIndex(A2,6+settings!N162))</f>
        <v/>
      </c>
    </row>
    <row r="164" spans="1:6" x14ac:dyDescent="0.25">
      <c r="A164" s="14">
        <v>153</v>
      </c>
      <c r="B164" s="10" t="str" cm="1">
        <f t="array" ref="B164">GetCSVIndex(A2,2+1064)</f>
        <v/>
      </c>
      <c r="C164" s="10" t="str" cm="1">
        <f t="array" ref="C164">GetCSVIndex(A2,3+1064)</f>
        <v/>
      </c>
      <c r="D164" s="10" t="str">
        <f>IFERROR(CHOOSE(GetCSVIndex($A$2,4+1064)+1,"Unknown","No","Yes"),"")</f>
        <v/>
      </c>
      <c r="E164" s="10" t="str" cm="1">
        <f t="array" ref="E164">GetCSVIndex(A2,5+1064)</f>
        <v/>
      </c>
      <c r="F164" s="10" t="str" cm="1">
        <f t="array" ref="F164" xml:space="preserve"> IF(GetCSVIndex(A2,6+settings!N163)="255","Not Connected",GetCSVIndex(A2,6+settings!N163))</f>
        <v/>
      </c>
    </row>
    <row r="165" spans="1:6" x14ac:dyDescent="0.25">
      <c r="A165" s="14">
        <v>154</v>
      </c>
      <c r="B165" s="10" t="str" cm="1">
        <f t="array" ref="B165">GetCSVIndex(A2,2+1071)</f>
        <v/>
      </c>
      <c r="C165" s="10" t="str" cm="1">
        <f t="array" ref="C165">GetCSVIndex(A2,3+1071)</f>
        <v/>
      </c>
      <c r="D165" s="10" t="str">
        <f>IFERROR(CHOOSE(GetCSVIndex($A$2,4+1071)+1,"Unknown","No","Yes"),"")</f>
        <v/>
      </c>
      <c r="E165" s="10" t="str" cm="1">
        <f t="array" ref="E165">GetCSVIndex(A2,5+1071)</f>
        <v/>
      </c>
      <c r="F165" s="10" t="str" cm="1">
        <f t="array" ref="F165" xml:space="preserve"> IF(GetCSVIndex(A2,6+settings!N164)="255","Not Connected",GetCSVIndex(A2,6+settings!N164))</f>
        <v/>
      </c>
    </row>
    <row r="166" spans="1:6" x14ac:dyDescent="0.25">
      <c r="A166" s="14">
        <v>155</v>
      </c>
      <c r="B166" s="10" t="str" cm="1">
        <f t="array" ref="B166">GetCSVIndex(A2,2+1078)</f>
        <v/>
      </c>
      <c r="C166" s="10" t="str" cm="1">
        <f t="array" ref="C166">GetCSVIndex(A2,3+1078)</f>
        <v/>
      </c>
      <c r="D166" s="10" t="str">
        <f>IFERROR(CHOOSE(GetCSVIndex($A$2,4+1078)+1,"Unknown","No","Yes"),"")</f>
        <v/>
      </c>
      <c r="E166" s="10" t="str" cm="1">
        <f t="array" ref="E166">GetCSVIndex(A2,5+1078)</f>
        <v/>
      </c>
      <c r="F166" s="10" t="str" cm="1">
        <f t="array" ref="F166" xml:space="preserve"> IF(GetCSVIndex(A2,6+settings!N165)="255","Not Connected",GetCSVIndex(A2,6+settings!N165))</f>
        <v/>
      </c>
    </row>
    <row r="167" spans="1:6" x14ac:dyDescent="0.25">
      <c r="A167" s="14">
        <v>156</v>
      </c>
      <c r="B167" s="10" t="str" cm="1">
        <f t="array" ref="B167">GetCSVIndex(A2,2+1085)</f>
        <v/>
      </c>
      <c r="C167" s="10" t="str" cm="1">
        <f t="array" ref="C167">GetCSVIndex(A2,3+1085)</f>
        <v/>
      </c>
      <c r="D167" s="10" t="str">
        <f>IFERROR(CHOOSE(GetCSVIndex($A$2,4+1085)+1,"Unknown","No","Yes"),"")</f>
        <v/>
      </c>
      <c r="E167" s="10" t="str" cm="1">
        <f t="array" ref="E167">GetCSVIndex(A2,5+1085)</f>
        <v/>
      </c>
      <c r="F167" s="10" t="str" cm="1">
        <f t="array" ref="F167" xml:space="preserve"> IF(GetCSVIndex(A2,6+settings!N166)="255","Not Connected",GetCSVIndex(A2,6+settings!N166))</f>
        <v/>
      </c>
    </row>
    <row r="168" spans="1:6" x14ac:dyDescent="0.25">
      <c r="A168" s="14">
        <v>157</v>
      </c>
      <c r="B168" s="10" t="str" cm="1">
        <f t="array" ref="B168">GetCSVIndex(A2,2+1092)</f>
        <v/>
      </c>
      <c r="C168" s="10" t="str" cm="1">
        <f t="array" ref="C168">GetCSVIndex(A2,3+1092)</f>
        <v/>
      </c>
      <c r="D168" s="10" t="str">
        <f>IFERROR(CHOOSE(GetCSVIndex($A$2,4+1092)+1,"Unknown","No","Yes"),"")</f>
        <v/>
      </c>
      <c r="E168" s="10" t="str" cm="1">
        <f t="array" ref="E168">GetCSVIndex(A2,5+1092)</f>
        <v/>
      </c>
      <c r="F168" s="10" t="str" cm="1">
        <f t="array" ref="F168" xml:space="preserve"> IF(GetCSVIndex(A2,6+settings!N167)="255","Not Connected",GetCSVIndex(A2,6+settings!N167))</f>
        <v/>
      </c>
    </row>
    <row r="169" spans="1:6" x14ac:dyDescent="0.25">
      <c r="A169" s="14">
        <v>158</v>
      </c>
      <c r="B169" s="10" t="str" cm="1">
        <f t="array" ref="B169">GetCSVIndex(A2,2+1099)</f>
        <v/>
      </c>
      <c r="C169" s="10" t="str" cm="1">
        <f t="array" ref="C169">GetCSVIndex(A2,3+1099)</f>
        <v/>
      </c>
      <c r="D169" s="10" t="str">
        <f>IFERROR(CHOOSE(GetCSVIndex($A$2,4+1099)+1,"Unknown","No","Yes"),"")</f>
        <v/>
      </c>
      <c r="E169" s="10" t="str" cm="1">
        <f t="array" ref="E169">GetCSVIndex(A2,5+1099)</f>
        <v/>
      </c>
      <c r="F169" s="10" t="str" cm="1">
        <f t="array" ref="F169" xml:space="preserve"> IF(GetCSVIndex(A2,6+settings!N168)="255","Not Connected",GetCSVIndex(A2,6+settings!N168))</f>
        <v/>
      </c>
    </row>
    <row r="170" spans="1:6" x14ac:dyDescent="0.25">
      <c r="A170" s="14">
        <v>159</v>
      </c>
      <c r="B170" s="10" t="str" cm="1">
        <f t="array" ref="B170">GetCSVIndex(A2,2+1106)</f>
        <v/>
      </c>
      <c r="C170" s="10" t="str" cm="1">
        <f t="array" ref="C170">GetCSVIndex(A2,3+1106)</f>
        <v/>
      </c>
      <c r="D170" s="10" t="str">
        <f>IFERROR(CHOOSE(GetCSVIndex($A$2,4+1106)+1,"Unknown","No","Yes"),"")</f>
        <v/>
      </c>
      <c r="E170" s="10" t="str" cm="1">
        <f t="array" ref="E170">GetCSVIndex(A2,5+1106)</f>
        <v/>
      </c>
      <c r="F170" s="10" t="str" cm="1">
        <f t="array" ref="F170" xml:space="preserve"> IF(GetCSVIndex(A2,6+settings!N169)="255","Not Connected",GetCSVIndex(A2,6+settings!N169))</f>
        <v/>
      </c>
    </row>
    <row r="171" spans="1:6" x14ac:dyDescent="0.25">
      <c r="A171" s="14">
        <v>160</v>
      </c>
      <c r="B171" s="10" t="str" cm="1">
        <f t="array" ref="B171">GetCSVIndex(A2,2+1113)</f>
        <v/>
      </c>
      <c r="C171" s="10" t="str" cm="1">
        <f t="array" ref="C171">GetCSVIndex(A2,3+1113)</f>
        <v/>
      </c>
      <c r="D171" s="10" t="str">
        <f>IFERROR(CHOOSE(GetCSVIndex($A$2,4+1113)+1,"Unknown","No","Yes"),"")</f>
        <v/>
      </c>
      <c r="E171" s="10" t="str" cm="1">
        <f t="array" ref="E171">GetCSVIndex(A2,5+1113)</f>
        <v/>
      </c>
      <c r="F171" s="10" t="str" cm="1">
        <f t="array" ref="F171" xml:space="preserve"> IF(GetCSVIndex(A2,6+settings!N170)="255","Not Connected",GetCSVIndex(A2,6+settings!N170))</f>
        <v/>
      </c>
    </row>
    <row r="172" spans="1:6" x14ac:dyDescent="0.25">
      <c r="A172" s="14">
        <v>161</v>
      </c>
      <c r="B172" s="10" t="str" cm="1">
        <f t="array" ref="B172">GetCSVIndex(A2,2+1120)</f>
        <v/>
      </c>
      <c r="C172" s="10" t="str" cm="1">
        <f t="array" ref="C172">GetCSVIndex(A2,3+1120)</f>
        <v/>
      </c>
      <c r="D172" s="10" t="str">
        <f>IFERROR(CHOOSE(GetCSVIndex($A$2,4+1120)+1,"Unknown","No","Yes"),"")</f>
        <v/>
      </c>
      <c r="E172" s="10" t="str" cm="1">
        <f t="array" ref="E172">GetCSVIndex(A2,5+1120)</f>
        <v/>
      </c>
      <c r="F172" s="10" t="str" cm="1">
        <f t="array" ref="F172" xml:space="preserve"> IF(GetCSVIndex(A2,6+settings!N171)="255","Not Connected",GetCSVIndex(A2,6+settings!N171))</f>
        <v/>
      </c>
    </row>
    <row r="173" spans="1:6" x14ac:dyDescent="0.25">
      <c r="A173" s="14">
        <v>162</v>
      </c>
      <c r="B173" s="10" t="str" cm="1">
        <f t="array" ref="B173">GetCSVIndex(A2,2+1127)</f>
        <v/>
      </c>
      <c r="C173" s="10" t="str" cm="1">
        <f t="array" ref="C173">GetCSVIndex(A2,3+1127)</f>
        <v/>
      </c>
      <c r="D173" s="10" t="str">
        <f>IFERROR(CHOOSE(GetCSVIndex($A$2,4+1127)+1,"Unknown","No","Yes"),"")</f>
        <v/>
      </c>
      <c r="E173" s="10" t="str" cm="1">
        <f t="array" ref="E173">GetCSVIndex(A2,5+1127)</f>
        <v/>
      </c>
      <c r="F173" s="10" t="str" cm="1">
        <f t="array" ref="F173" xml:space="preserve"> IF(GetCSVIndex(A2,6+settings!N172)="255","Not Connected",GetCSVIndex(A2,6+settings!N172))</f>
        <v/>
      </c>
    </row>
    <row r="174" spans="1:6" x14ac:dyDescent="0.25">
      <c r="A174" s="14">
        <v>163</v>
      </c>
      <c r="B174" s="10" t="str" cm="1">
        <f t="array" ref="B174">GetCSVIndex(A2,2+1134)</f>
        <v/>
      </c>
      <c r="C174" s="10" t="str" cm="1">
        <f t="array" ref="C174">GetCSVIndex(A2,3+1134)</f>
        <v/>
      </c>
      <c r="D174" s="10" t="str">
        <f>IFERROR(CHOOSE(GetCSVIndex($A$2,4+1134)+1,"Unknown","No","Yes"),"")</f>
        <v/>
      </c>
      <c r="E174" s="10" t="str" cm="1">
        <f t="array" ref="E174">GetCSVIndex(A2,5+1134)</f>
        <v/>
      </c>
      <c r="F174" s="10" t="str" cm="1">
        <f t="array" ref="F174" xml:space="preserve"> IF(GetCSVIndex(A2,6+settings!N173)="255","Not Connected",GetCSVIndex(A2,6+settings!N173))</f>
        <v/>
      </c>
    </row>
    <row r="175" spans="1:6" x14ac:dyDescent="0.25">
      <c r="A175" s="14">
        <v>164</v>
      </c>
      <c r="B175" s="10" t="str" cm="1">
        <f t="array" ref="B175">GetCSVIndex(A2,2+1141)</f>
        <v/>
      </c>
      <c r="C175" s="10" t="str" cm="1">
        <f t="array" ref="C175">GetCSVIndex(A2,3+1141)</f>
        <v/>
      </c>
      <c r="D175" s="10" t="str">
        <f>IFERROR(CHOOSE(GetCSVIndex($A$2,4+1141)+1,"Unknown","No","Yes"),"")</f>
        <v/>
      </c>
      <c r="E175" s="10" t="str" cm="1">
        <f t="array" ref="E175">GetCSVIndex(A2,5+1141)</f>
        <v/>
      </c>
      <c r="F175" s="10" t="str" cm="1">
        <f t="array" ref="F175" xml:space="preserve"> IF(GetCSVIndex(A2,6+settings!N174)="255","Not Connected",GetCSVIndex(A2,6+settings!N174))</f>
        <v/>
      </c>
    </row>
    <row r="176" spans="1:6" x14ac:dyDescent="0.25">
      <c r="A176" s="14">
        <v>165</v>
      </c>
      <c r="B176" s="10" t="str" cm="1">
        <f t="array" ref="B176">GetCSVIndex(A2,2+1148)</f>
        <v/>
      </c>
      <c r="C176" s="10" t="str" cm="1">
        <f t="array" ref="C176">GetCSVIndex(A2,3+1148)</f>
        <v/>
      </c>
      <c r="D176" s="10" t="str">
        <f>IFERROR(CHOOSE(GetCSVIndex($A$2,4+1148)+1,"Unknown","No","Yes"),"")</f>
        <v/>
      </c>
      <c r="E176" s="10" t="str" cm="1">
        <f t="array" ref="E176">GetCSVIndex(A2,5+1148)</f>
        <v/>
      </c>
      <c r="F176" s="10" t="str" cm="1">
        <f t="array" ref="F176" xml:space="preserve"> IF(GetCSVIndex(A2,6+settings!N175)="255","Not Connected",GetCSVIndex(A2,6+settings!N175))</f>
        <v/>
      </c>
    </row>
    <row r="177" spans="1:6" x14ac:dyDescent="0.25">
      <c r="A177" s="14">
        <v>166</v>
      </c>
      <c r="B177" s="10" t="str" cm="1">
        <f t="array" ref="B177">GetCSVIndex(A2,2+1155)</f>
        <v/>
      </c>
      <c r="C177" s="10" t="str" cm="1">
        <f t="array" ref="C177">GetCSVIndex(A2,3+1155)</f>
        <v/>
      </c>
      <c r="D177" s="10" t="str">
        <f>IFERROR(CHOOSE(GetCSVIndex($A$2,4+1155)+1,"Unknown","No","Yes"),"")</f>
        <v/>
      </c>
      <c r="E177" s="10" t="str" cm="1">
        <f t="array" ref="E177">GetCSVIndex(A2,5+1155)</f>
        <v/>
      </c>
      <c r="F177" s="10" t="str" cm="1">
        <f t="array" ref="F177" xml:space="preserve"> IF(GetCSVIndex(A2,6+settings!N176)="255","Not Connected",GetCSVIndex(A2,6+settings!N176))</f>
        <v/>
      </c>
    </row>
    <row r="178" spans="1:6" x14ac:dyDescent="0.25">
      <c r="A178" s="14">
        <v>167</v>
      </c>
      <c r="B178" s="10" t="str" cm="1">
        <f t="array" ref="B178">GetCSVIndex(A2,2+1162)</f>
        <v/>
      </c>
      <c r="C178" s="10" t="str" cm="1">
        <f t="array" ref="C178">GetCSVIndex(A2,3+1162)</f>
        <v/>
      </c>
      <c r="D178" s="10" t="str">
        <f>IFERROR(CHOOSE(GetCSVIndex($A$2,4+1162)+1,"Unknown","No","Yes"),"")</f>
        <v/>
      </c>
      <c r="E178" s="10" t="str" cm="1">
        <f t="array" ref="E178">GetCSVIndex(A2,5+1162)</f>
        <v/>
      </c>
      <c r="F178" s="10" t="str" cm="1">
        <f t="array" ref="F178" xml:space="preserve"> IF(GetCSVIndex(A2,6+settings!N177)="255","Not Connected",GetCSVIndex(A2,6+settings!N177))</f>
        <v/>
      </c>
    </row>
    <row r="179" spans="1:6" x14ac:dyDescent="0.25">
      <c r="A179" s="14">
        <v>168</v>
      </c>
      <c r="B179" s="10" t="str" cm="1">
        <f t="array" ref="B179">GetCSVIndex(A2,2+1169)</f>
        <v/>
      </c>
      <c r="C179" s="10" t="str" cm="1">
        <f t="array" ref="C179">GetCSVIndex(A2,3+1169)</f>
        <v/>
      </c>
      <c r="D179" s="10" t="str">
        <f>IFERROR(CHOOSE(GetCSVIndex($A$2,4+1169)+1,"Unknown","No","Yes"),"")</f>
        <v/>
      </c>
      <c r="E179" s="10" t="str" cm="1">
        <f t="array" ref="E179">GetCSVIndex(A2,5+1169)</f>
        <v/>
      </c>
      <c r="F179" s="10" t="str" cm="1">
        <f t="array" ref="F179" xml:space="preserve"> IF(GetCSVIndex(A2,6+settings!N178)="255","Not Connected",GetCSVIndex(A2,6+settings!N178))</f>
        <v/>
      </c>
    </row>
    <row r="180" spans="1:6" x14ac:dyDescent="0.25">
      <c r="A180" s="14">
        <v>169</v>
      </c>
      <c r="B180" s="10" t="str" cm="1">
        <f t="array" ref="B180">GetCSVIndex(A2,2+1176)</f>
        <v/>
      </c>
      <c r="C180" s="10" t="str" cm="1">
        <f t="array" ref="C180">GetCSVIndex(A2,3+1176)</f>
        <v/>
      </c>
      <c r="D180" s="10" t="str">
        <f>IFERROR(CHOOSE(GetCSVIndex($A$2,4+1176)+1,"Unknown","No","Yes"),"")</f>
        <v/>
      </c>
      <c r="E180" s="10" t="str" cm="1">
        <f t="array" ref="E180">GetCSVIndex(A2,5+1176)</f>
        <v/>
      </c>
      <c r="F180" s="10" t="str" cm="1">
        <f t="array" ref="F180" xml:space="preserve"> IF(GetCSVIndex(A2,6+settings!N179)="255","Not Connected",GetCSVIndex(A2,6+settings!N179))</f>
        <v/>
      </c>
    </row>
    <row r="181" spans="1:6" x14ac:dyDescent="0.25">
      <c r="A181" s="14">
        <v>170</v>
      </c>
      <c r="B181" s="10" t="str" cm="1">
        <f t="array" ref="B181">GetCSVIndex(A2,2+1183)</f>
        <v/>
      </c>
      <c r="C181" s="10" t="str" cm="1">
        <f t="array" ref="C181">GetCSVIndex(A2,3+1183)</f>
        <v/>
      </c>
      <c r="D181" s="10" t="str">
        <f>IFERROR(CHOOSE(GetCSVIndex($A$2,4+1183)+1,"Unknown","No","Yes"),"")</f>
        <v/>
      </c>
      <c r="E181" s="10" t="str" cm="1">
        <f t="array" ref="E181">GetCSVIndex(A2,5+1183)</f>
        <v/>
      </c>
      <c r="F181" s="10" t="str" cm="1">
        <f t="array" ref="F181" xml:space="preserve"> IF(GetCSVIndex(A2,6+settings!N180)="255","Not Connected",GetCSVIndex(A2,6+settings!N180))</f>
        <v/>
      </c>
    </row>
    <row r="182" spans="1:6" x14ac:dyDescent="0.25">
      <c r="A182" s="14">
        <v>171</v>
      </c>
      <c r="B182" s="10" t="str" cm="1">
        <f t="array" ref="B182">GetCSVIndex(A2,2+1190)</f>
        <v/>
      </c>
      <c r="C182" s="10" t="str" cm="1">
        <f t="array" ref="C182">GetCSVIndex(A2,3+1190)</f>
        <v/>
      </c>
      <c r="D182" s="10" t="str">
        <f>IFERROR(CHOOSE(GetCSVIndex($A$2,4+1190)+1,"Unknown","No","Yes"),"")</f>
        <v/>
      </c>
      <c r="E182" s="10" t="str" cm="1">
        <f t="array" ref="E182">GetCSVIndex(A2,5+1190)</f>
        <v/>
      </c>
      <c r="F182" s="10" t="str" cm="1">
        <f t="array" ref="F182" xml:space="preserve"> IF(GetCSVIndex(A2,6+settings!N181)="255","Not Connected",GetCSVIndex(A2,6+settings!N181))</f>
        <v/>
      </c>
    </row>
    <row r="183" spans="1:6" x14ac:dyDescent="0.25">
      <c r="A183" s="14">
        <v>172</v>
      </c>
      <c r="B183" s="10" t="str" cm="1">
        <f t="array" ref="B183">GetCSVIndex(A2,2+1197)</f>
        <v/>
      </c>
      <c r="C183" s="10" t="str" cm="1">
        <f t="array" ref="C183">GetCSVIndex(A2,3+1197)</f>
        <v/>
      </c>
      <c r="D183" s="10" t="str">
        <f>IFERROR(CHOOSE(GetCSVIndex($A$2,4+1197)+1,"Unknown","No","Yes"),"")</f>
        <v/>
      </c>
      <c r="E183" s="10" t="str" cm="1">
        <f t="array" ref="E183">GetCSVIndex(A2,5+1197)</f>
        <v/>
      </c>
      <c r="F183" s="10" t="str" cm="1">
        <f t="array" ref="F183" xml:space="preserve"> IF(GetCSVIndex(A2,6+settings!N182)="255","Not Connected",GetCSVIndex(A2,6+settings!N182))</f>
        <v/>
      </c>
    </row>
    <row r="184" spans="1:6" x14ac:dyDescent="0.25">
      <c r="A184" s="14">
        <v>173</v>
      </c>
      <c r="B184" s="10" t="str" cm="1">
        <f t="array" ref="B184">GetCSVIndex(A2,2+1204)</f>
        <v/>
      </c>
      <c r="C184" s="10" t="str" cm="1">
        <f t="array" ref="C184">GetCSVIndex(A2,3+1204)</f>
        <v/>
      </c>
      <c r="D184" s="10" t="str">
        <f>IFERROR(CHOOSE(GetCSVIndex($A$2,4+1204)+1,"Unknown","No","Yes"),"")</f>
        <v/>
      </c>
      <c r="E184" s="10" t="str" cm="1">
        <f t="array" ref="E184">GetCSVIndex(A2,5+1204)</f>
        <v/>
      </c>
      <c r="F184" s="10" t="str" cm="1">
        <f t="array" ref="F184" xml:space="preserve"> IF(GetCSVIndex(A2,6+settings!N183)="255","Not Connected",GetCSVIndex(A2,6+settings!N183))</f>
        <v/>
      </c>
    </row>
    <row r="185" spans="1:6" x14ac:dyDescent="0.25">
      <c r="A185" s="14">
        <v>174</v>
      </c>
      <c r="B185" s="10" t="str" cm="1">
        <f t="array" ref="B185">GetCSVIndex(A2,2+1211)</f>
        <v/>
      </c>
      <c r="C185" s="10" t="str" cm="1">
        <f t="array" ref="C185">GetCSVIndex(A2,3+1211)</f>
        <v/>
      </c>
      <c r="D185" s="10" t="str">
        <f>IFERROR(CHOOSE(GetCSVIndex($A$2,4+1211)+1,"Unknown","No","Yes"),"")</f>
        <v/>
      </c>
      <c r="E185" s="10" t="str" cm="1">
        <f t="array" ref="E185">GetCSVIndex(A2,5+1211)</f>
        <v/>
      </c>
      <c r="F185" s="10" t="str" cm="1">
        <f t="array" ref="F185" xml:space="preserve"> IF(GetCSVIndex(A2,6+settings!N184)="255","Not Connected",GetCSVIndex(A2,6+settings!N184))</f>
        <v/>
      </c>
    </row>
    <row r="186" spans="1:6" x14ac:dyDescent="0.25">
      <c r="A186" s="14">
        <v>175</v>
      </c>
      <c r="B186" s="10" t="str" cm="1">
        <f t="array" ref="B186">GetCSVIndex(A2,2+1218)</f>
        <v/>
      </c>
      <c r="C186" s="10" t="str" cm="1">
        <f t="array" ref="C186">GetCSVIndex(A2,3+1218)</f>
        <v/>
      </c>
      <c r="D186" s="10" t="str">
        <f>IFERROR(CHOOSE(GetCSVIndex($A$2,4+1218)+1,"Unknown","No","Yes"),"")</f>
        <v/>
      </c>
      <c r="E186" s="10" t="str" cm="1">
        <f t="array" ref="E186">GetCSVIndex(A2,5+1218)</f>
        <v/>
      </c>
      <c r="F186" s="10" t="str" cm="1">
        <f t="array" ref="F186" xml:space="preserve"> IF(GetCSVIndex(A2,6+settings!N185)="255","Not Connected",GetCSVIndex(A2,6+settings!N185))</f>
        <v/>
      </c>
    </row>
    <row r="187" spans="1:6" x14ac:dyDescent="0.25">
      <c r="A187" s="14">
        <v>176</v>
      </c>
      <c r="B187" s="10" t="str" cm="1">
        <f t="array" ref="B187">GetCSVIndex(A2,2+1225)</f>
        <v/>
      </c>
      <c r="C187" s="10" t="str" cm="1">
        <f t="array" ref="C187">GetCSVIndex(A2,3+1225)</f>
        <v/>
      </c>
      <c r="D187" s="10" t="str">
        <f>IFERROR(CHOOSE(GetCSVIndex($A$2,4+1225)+1,"Unknown","No","Yes"),"")</f>
        <v/>
      </c>
      <c r="E187" s="10" t="str" cm="1">
        <f t="array" ref="E187">GetCSVIndex(A2,5+1225)</f>
        <v/>
      </c>
      <c r="F187" s="10" t="str" cm="1">
        <f t="array" ref="F187" xml:space="preserve"> IF(GetCSVIndex(A2,6+settings!N186)="255","Not Connected",GetCSVIndex(A2,6+settings!N186))</f>
        <v/>
      </c>
    </row>
    <row r="188" spans="1:6" x14ac:dyDescent="0.25">
      <c r="A188" s="14">
        <v>177</v>
      </c>
      <c r="B188" s="10" t="str" cm="1">
        <f t="array" ref="B188">GetCSVIndex(A2,2+1232)</f>
        <v/>
      </c>
      <c r="C188" s="10" t="str" cm="1">
        <f t="array" ref="C188">GetCSVIndex(A2,3+1232)</f>
        <v/>
      </c>
      <c r="D188" s="10" t="str">
        <f>IFERROR(CHOOSE(GetCSVIndex($A$2,4+1232)+1,"Unknown","No","Yes"),"")</f>
        <v/>
      </c>
      <c r="E188" s="10" t="str" cm="1">
        <f t="array" ref="E188">GetCSVIndex(A2,5+1232)</f>
        <v/>
      </c>
      <c r="F188" s="10" t="str" cm="1">
        <f t="array" ref="F188" xml:space="preserve"> IF(GetCSVIndex(A2,6+settings!N187)="255","Not Connected",GetCSVIndex(A2,6+settings!N187))</f>
        <v/>
      </c>
    </row>
    <row r="189" spans="1:6" x14ac:dyDescent="0.25">
      <c r="A189" s="14">
        <v>178</v>
      </c>
      <c r="B189" s="10" t="str" cm="1">
        <f t="array" ref="B189">GetCSVIndex(A2,2+1239)</f>
        <v/>
      </c>
      <c r="C189" s="10" t="str" cm="1">
        <f t="array" ref="C189">GetCSVIndex(A2,3+1239)</f>
        <v/>
      </c>
      <c r="D189" s="10" t="str">
        <f>IFERROR(CHOOSE(GetCSVIndex($A$2,4+1239)+1,"Unknown","No","Yes"),"")</f>
        <v/>
      </c>
      <c r="E189" s="10" t="str" cm="1">
        <f t="array" ref="E189">GetCSVIndex(A2,5+1239)</f>
        <v/>
      </c>
      <c r="F189" s="10" t="str" cm="1">
        <f t="array" ref="F189" xml:space="preserve"> IF(GetCSVIndex(A2,6+settings!N188)="255","Not Connected",GetCSVIndex(A2,6+settings!N188))</f>
        <v/>
      </c>
    </row>
    <row r="190" spans="1:6" x14ac:dyDescent="0.25">
      <c r="A190" s="14">
        <v>179</v>
      </c>
      <c r="B190" s="10" t="str" cm="1">
        <f t="array" ref="B190">GetCSVIndex(A2,2+1246)</f>
        <v/>
      </c>
      <c r="C190" s="10" t="str" cm="1">
        <f t="array" ref="C190">GetCSVIndex(A2,3+1246)</f>
        <v/>
      </c>
      <c r="D190" s="10" t="str">
        <f>IFERROR(CHOOSE(GetCSVIndex($A$2,4+1246)+1,"Unknown","No","Yes"),"")</f>
        <v/>
      </c>
      <c r="E190" s="10" t="str" cm="1">
        <f t="array" ref="E190">GetCSVIndex(A2,5+1246)</f>
        <v/>
      </c>
      <c r="F190" s="10" t="str" cm="1">
        <f t="array" ref="F190" xml:space="preserve"> IF(GetCSVIndex(A2,6+settings!N189)="255","Not Connected",GetCSVIndex(A2,6+settings!N189))</f>
        <v/>
      </c>
    </row>
    <row r="191" spans="1:6" x14ac:dyDescent="0.25">
      <c r="A191" s="14">
        <v>180</v>
      </c>
      <c r="B191" s="10" t="str" cm="1">
        <f t="array" ref="B191">GetCSVIndex(A2,2+1253)</f>
        <v/>
      </c>
      <c r="C191" s="10" t="str" cm="1">
        <f t="array" ref="C191">GetCSVIndex(A2,3+1253)</f>
        <v/>
      </c>
      <c r="D191" s="10" t="str">
        <f>IFERROR(CHOOSE(GetCSVIndex($A$2,4+1253)+1,"Unknown","No","Yes"),"")</f>
        <v/>
      </c>
      <c r="E191" s="10" t="str" cm="1">
        <f t="array" ref="E191">GetCSVIndex(A2,5+1253)</f>
        <v/>
      </c>
      <c r="F191" s="10" t="str" cm="1">
        <f t="array" ref="F191" xml:space="preserve"> IF(GetCSVIndex(A2,6+settings!N190)="255","Not Connected",GetCSVIndex(A2,6+settings!N190))</f>
        <v/>
      </c>
    </row>
    <row r="192" spans="1:6" x14ac:dyDescent="0.25">
      <c r="A192" s="14">
        <v>181</v>
      </c>
      <c r="B192" s="10" t="str" cm="1">
        <f t="array" ref="B192">GetCSVIndex(A2,2+1260)</f>
        <v/>
      </c>
      <c r="C192" s="10" t="str" cm="1">
        <f t="array" ref="C192">GetCSVIndex(A2,3+1260)</f>
        <v/>
      </c>
      <c r="D192" s="10" t="str">
        <f>IFERROR(CHOOSE(GetCSVIndex($A$2,4+1260)+1,"Unknown","No","Yes"),"")</f>
        <v/>
      </c>
      <c r="E192" s="10" t="str" cm="1">
        <f t="array" ref="E192">GetCSVIndex(A2,5+1260)</f>
        <v/>
      </c>
      <c r="F192" s="10" t="str" cm="1">
        <f t="array" ref="F192" xml:space="preserve"> IF(GetCSVIndex(A2,6+settings!N191)="255","Not Connected",GetCSVIndex(A2,6+settings!N191))</f>
        <v/>
      </c>
    </row>
    <row r="193" spans="1:6" x14ac:dyDescent="0.25">
      <c r="A193" s="14">
        <v>182</v>
      </c>
      <c r="B193" s="10" t="str" cm="1">
        <f t="array" ref="B193">GetCSVIndex(A2,2+1267)</f>
        <v/>
      </c>
      <c r="C193" s="10" t="str" cm="1">
        <f t="array" ref="C193">GetCSVIndex(A2,3+1267)</f>
        <v/>
      </c>
      <c r="D193" s="10" t="str">
        <f>IFERROR(CHOOSE(GetCSVIndex($A$2,4+1267)+1,"Unknown","No","Yes"),"")</f>
        <v/>
      </c>
      <c r="E193" s="10" t="str" cm="1">
        <f t="array" ref="E193">GetCSVIndex(A2,5+1267)</f>
        <v/>
      </c>
      <c r="F193" s="10" t="str" cm="1">
        <f t="array" ref="F193" xml:space="preserve"> IF(GetCSVIndex(A2,6+settings!N192)="255","Not Connected",GetCSVIndex(A2,6+settings!N192))</f>
        <v/>
      </c>
    </row>
    <row r="194" spans="1:6" x14ac:dyDescent="0.25">
      <c r="A194" s="14">
        <v>183</v>
      </c>
      <c r="B194" s="10" t="str" cm="1">
        <f t="array" ref="B194">GetCSVIndex(A2,2+1274)</f>
        <v/>
      </c>
      <c r="C194" s="10" t="str" cm="1">
        <f t="array" ref="C194">GetCSVIndex(A2,3+1274)</f>
        <v/>
      </c>
      <c r="D194" s="10" t="str">
        <f>IFERROR(CHOOSE(GetCSVIndex($A$2,4+1274)+1,"Unknown","No","Yes"),"")</f>
        <v/>
      </c>
      <c r="E194" s="10" t="str" cm="1">
        <f t="array" ref="E194">GetCSVIndex(A2,5+1274)</f>
        <v/>
      </c>
      <c r="F194" s="10" t="str" cm="1">
        <f t="array" ref="F194" xml:space="preserve"> IF(GetCSVIndex(A2,6+settings!N193)="255","Not Connected",GetCSVIndex(A2,6+settings!N193))</f>
        <v/>
      </c>
    </row>
    <row r="195" spans="1:6" x14ac:dyDescent="0.25">
      <c r="A195" s="14">
        <v>184</v>
      </c>
      <c r="B195" s="10" t="str" cm="1">
        <f t="array" ref="B195">GetCSVIndex(A2,2+1281)</f>
        <v/>
      </c>
      <c r="C195" s="10" t="str" cm="1">
        <f t="array" ref="C195">GetCSVIndex(A2,3+1281)</f>
        <v/>
      </c>
      <c r="D195" s="10" t="str">
        <f>IFERROR(CHOOSE(GetCSVIndex($A$2,4+1281)+1,"Unknown","No","Yes"),"")</f>
        <v/>
      </c>
      <c r="E195" s="10" t="str" cm="1">
        <f t="array" ref="E195">GetCSVIndex(A2,5+1281)</f>
        <v/>
      </c>
      <c r="F195" s="10" t="str" cm="1">
        <f t="array" ref="F195" xml:space="preserve"> IF(GetCSVIndex(A2,6+settings!N194)="255","Not Connected",GetCSVIndex(A2,6+settings!N194))</f>
        <v/>
      </c>
    </row>
    <row r="196" spans="1:6" x14ac:dyDescent="0.25">
      <c r="A196" s="14">
        <v>185</v>
      </c>
      <c r="B196" s="10" t="str" cm="1">
        <f t="array" ref="B196">GetCSVIndex(A2,2+1288)</f>
        <v/>
      </c>
      <c r="C196" s="10" t="str" cm="1">
        <f t="array" ref="C196">GetCSVIndex(A2,3+1288)</f>
        <v/>
      </c>
      <c r="D196" s="10" t="str">
        <f>IFERROR(CHOOSE(GetCSVIndex($A$2,4+1288)+1,"Unknown","No","Yes"),"")</f>
        <v/>
      </c>
      <c r="E196" s="10" t="str" cm="1">
        <f t="array" ref="E196">GetCSVIndex(A2,5+1288)</f>
        <v/>
      </c>
      <c r="F196" s="10" t="str" cm="1">
        <f t="array" ref="F196" xml:space="preserve"> IF(GetCSVIndex(A2,6+settings!N195)="255","Not Connected",GetCSVIndex(A2,6+settings!N195))</f>
        <v/>
      </c>
    </row>
    <row r="197" spans="1:6" x14ac:dyDescent="0.25">
      <c r="A197" s="14">
        <v>186</v>
      </c>
      <c r="B197" s="10" t="str" cm="1">
        <f t="array" ref="B197">GetCSVIndex(A2,2+1295)</f>
        <v/>
      </c>
      <c r="C197" s="10" t="str" cm="1">
        <f t="array" ref="C197">GetCSVIndex(A2,3+1295)</f>
        <v/>
      </c>
      <c r="D197" s="10" t="str">
        <f>IFERROR(CHOOSE(GetCSVIndex($A$2,4+1295)+1,"Unknown","No","Yes"),"")</f>
        <v/>
      </c>
      <c r="E197" s="10" t="str" cm="1">
        <f t="array" ref="E197">GetCSVIndex(A2,5+1295)</f>
        <v/>
      </c>
      <c r="F197" s="10" t="str" cm="1">
        <f t="array" ref="F197" xml:space="preserve"> IF(GetCSVIndex(A2,6+settings!N196)="255","Not Connected",GetCSVIndex(A2,6+settings!N196))</f>
        <v/>
      </c>
    </row>
    <row r="198" spans="1:6" x14ac:dyDescent="0.25">
      <c r="A198" s="14">
        <v>187</v>
      </c>
      <c r="B198" s="10" t="str" cm="1">
        <f t="array" ref="B198">GetCSVIndex(A2,2+1302)</f>
        <v/>
      </c>
      <c r="C198" s="10" t="str" cm="1">
        <f t="array" ref="C198">GetCSVIndex(A2,3+1302)</f>
        <v/>
      </c>
      <c r="D198" s="10" t="str">
        <f>IFERROR(CHOOSE(GetCSVIndex($A$2,4+1302)+1,"Unknown","No","Yes"),"")</f>
        <v/>
      </c>
      <c r="E198" s="10" t="str" cm="1">
        <f t="array" ref="E198">GetCSVIndex(A2,5+1302)</f>
        <v/>
      </c>
      <c r="F198" s="10" t="str" cm="1">
        <f t="array" ref="F198" xml:space="preserve"> IF(GetCSVIndex(A2,6+settings!N197)="255","Not Connected",GetCSVIndex(A2,6+settings!N197))</f>
        <v/>
      </c>
    </row>
    <row r="199" spans="1:6" x14ac:dyDescent="0.25">
      <c r="A199" s="14">
        <v>188</v>
      </c>
      <c r="B199" s="10" t="str" cm="1">
        <f t="array" ref="B199">GetCSVIndex(A2,2+1309)</f>
        <v/>
      </c>
      <c r="C199" s="10" t="str" cm="1">
        <f t="array" ref="C199">GetCSVIndex(A2,3+1309)</f>
        <v/>
      </c>
      <c r="D199" s="10" t="str">
        <f>IFERROR(CHOOSE(GetCSVIndex($A$2,4+1309)+1,"Unknown","No","Yes"),"")</f>
        <v/>
      </c>
      <c r="E199" s="10" t="str" cm="1">
        <f t="array" ref="E199">GetCSVIndex(A2,5+1309)</f>
        <v/>
      </c>
      <c r="F199" s="10" t="str" cm="1">
        <f t="array" ref="F199" xml:space="preserve"> IF(GetCSVIndex(A2,6+settings!N198)="255","Not Connected",GetCSVIndex(A2,6+settings!N198))</f>
        <v/>
      </c>
    </row>
    <row r="200" spans="1:6" x14ac:dyDescent="0.25">
      <c r="A200" s="14">
        <v>189</v>
      </c>
      <c r="B200" s="10" t="str" cm="1">
        <f t="array" ref="B200">GetCSVIndex(A2,2+1316)</f>
        <v/>
      </c>
      <c r="C200" s="10" t="str" cm="1">
        <f t="array" ref="C200">GetCSVIndex(A2,3+1316)</f>
        <v/>
      </c>
      <c r="D200" s="10" t="str">
        <f>IFERROR(CHOOSE(GetCSVIndex($A$2,4+1316)+1,"Unknown","No","Yes"),"")</f>
        <v/>
      </c>
      <c r="E200" s="10" t="str" cm="1">
        <f t="array" ref="E200">GetCSVIndex(A2,5+1316)</f>
        <v/>
      </c>
      <c r="F200" s="10" t="str" cm="1">
        <f t="array" ref="F200" xml:space="preserve"> IF(GetCSVIndex(A2,6+settings!N199)="255","Not Connected",GetCSVIndex(A2,6+settings!N199))</f>
        <v/>
      </c>
    </row>
    <row r="201" spans="1:6" x14ac:dyDescent="0.25">
      <c r="A201" s="14">
        <v>190</v>
      </c>
      <c r="B201" s="10" t="str" cm="1">
        <f t="array" ref="B201">GetCSVIndex(A2,2+1323)</f>
        <v/>
      </c>
      <c r="C201" s="10" t="str" cm="1">
        <f t="array" ref="C201">GetCSVIndex(A2,3+1323)</f>
        <v/>
      </c>
      <c r="D201" s="10" t="str">
        <f>IFERROR(CHOOSE(GetCSVIndex($A$2,4+1323)+1,"Unknown","No","Yes"),"")</f>
        <v/>
      </c>
      <c r="E201" s="10" t="str" cm="1">
        <f t="array" ref="E201">GetCSVIndex(A2,5+1323)</f>
        <v/>
      </c>
      <c r="F201" s="10" t="str" cm="1">
        <f t="array" ref="F201" xml:space="preserve"> IF(GetCSVIndex(A2,6+settings!N200)="255","Not Connected",GetCSVIndex(A2,6+settings!N200))</f>
        <v/>
      </c>
    </row>
    <row r="202" spans="1:6" x14ac:dyDescent="0.25">
      <c r="A202" s="14">
        <v>191</v>
      </c>
      <c r="B202" s="10" t="str" cm="1">
        <f t="array" ref="B202">GetCSVIndex(A2,2+1330)</f>
        <v/>
      </c>
      <c r="C202" s="10" t="str" cm="1">
        <f t="array" ref="C202">GetCSVIndex(A2,3+1330)</f>
        <v/>
      </c>
      <c r="D202" s="10" t="str">
        <f>IFERROR(CHOOSE(GetCSVIndex($A$2,4+1330)+1,"Unknown","No","Yes"),"")</f>
        <v/>
      </c>
      <c r="E202" s="10" t="str" cm="1">
        <f t="array" ref="E202">GetCSVIndex(A2,5+1330)</f>
        <v/>
      </c>
      <c r="F202" s="10" t="str" cm="1">
        <f t="array" ref="F202" xml:space="preserve"> IF(GetCSVIndex(A2,6+settings!N201)="255","Not Connected",GetCSVIndex(A2,6+settings!N201))</f>
        <v/>
      </c>
    </row>
    <row r="203" spans="1:6" x14ac:dyDescent="0.25">
      <c r="A203" s="14">
        <v>192</v>
      </c>
      <c r="B203" s="10" t="str" cm="1">
        <f t="array" ref="B203">GetCSVIndex(A2,2+1337)</f>
        <v/>
      </c>
      <c r="C203" s="10" t="str" cm="1">
        <f t="array" ref="C203">GetCSVIndex(A2,3+1337)</f>
        <v/>
      </c>
      <c r="D203" s="10" t="str">
        <f>IFERROR(CHOOSE(GetCSVIndex($A$2,4+1337)+1,"Unknown","No","Yes"),"")</f>
        <v/>
      </c>
      <c r="E203" s="10" t="str" cm="1">
        <f t="array" ref="E203">GetCSVIndex(A2,5+1337)</f>
        <v/>
      </c>
      <c r="F203" s="10" t="str" cm="1">
        <f t="array" ref="F203" xml:space="preserve"> IF(GetCSVIndex(A2,6+settings!N202)="255","Not Connected",GetCSVIndex(A2,6+settings!N202))</f>
        <v/>
      </c>
    </row>
    <row r="204" spans="1:6" x14ac:dyDescent="0.25">
      <c r="A204" s="14">
        <v>193</v>
      </c>
      <c r="B204" s="10" t="str" cm="1">
        <f t="array" ref="B204">GetCSVIndex(A2,2+1344)</f>
        <v/>
      </c>
      <c r="C204" s="10" t="str" cm="1">
        <f t="array" ref="C204">GetCSVIndex(A2,3+1344)</f>
        <v/>
      </c>
      <c r="D204" s="10" t="str">
        <f>IFERROR(CHOOSE(GetCSVIndex($A$2,4+1344)+1,"Unknown","No","Yes"),"")</f>
        <v/>
      </c>
      <c r="E204" s="10" t="str" cm="1">
        <f t="array" ref="E204">GetCSVIndex(A2,5+1344)</f>
        <v/>
      </c>
      <c r="F204" s="10" t="str" cm="1">
        <f t="array" ref="F204" xml:space="preserve"> IF(GetCSVIndex(A2,6+settings!N203)="255","Not Connected",GetCSVIndex(A2,6+settings!N203))</f>
        <v/>
      </c>
    </row>
    <row r="205" spans="1:6" x14ac:dyDescent="0.25">
      <c r="A205" s="14">
        <v>194</v>
      </c>
      <c r="B205" s="10" t="str" cm="1">
        <f t="array" ref="B205">GetCSVIndex(A2,2+1351)</f>
        <v/>
      </c>
      <c r="C205" s="10" t="str" cm="1">
        <f t="array" ref="C205">GetCSVIndex(A2,3+1351)</f>
        <v/>
      </c>
      <c r="D205" s="10" t="str">
        <f>IFERROR(CHOOSE(GetCSVIndex($A$2,4+1351)+1,"Unknown","No","Yes"),"")</f>
        <v/>
      </c>
      <c r="E205" s="10" t="str" cm="1">
        <f t="array" ref="E205">GetCSVIndex(A2,5+1351)</f>
        <v/>
      </c>
      <c r="F205" s="10" t="str" cm="1">
        <f t="array" ref="F205" xml:space="preserve"> IF(GetCSVIndex(A2,6+settings!N204)="255","Not Connected",GetCSVIndex(A2,6+settings!N204))</f>
        <v/>
      </c>
    </row>
    <row r="206" spans="1:6" x14ac:dyDescent="0.25">
      <c r="A206" s="14">
        <v>195</v>
      </c>
      <c r="B206" s="10" t="str" cm="1">
        <f t="array" ref="B206">GetCSVIndex(A2,2+1358)</f>
        <v/>
      </c>
      <c r="C206" s="10" t="str" cm="1">
        <f t="array" ref="C206">GetCSVIndex(A2,3+1358)</f>
        <v/>
      </c>
      <c r="D206" s="10" t="str">
        <f>IFERROR(CHOOSE(GetCSVIndex($A$2,4+1358)+1,"Unknown","No","Yes"),"")</f>
        <v/>
      </c>
      <c r="E206" s="10" t="str" cm="1">
        <f t="array" ref="E206">GetCSVIndex(A2,5+1358)</f>
        <v/>
      </c>
      <c r="F206" s="10" t="str" cm="1">
        <f t="array" ref="F206" xml:space="preserve"> IF(GetCSVIndex(A2,6+settings!N205)="255","Not Connected",GetCSVIndex(A2,6+settings!N205))</f>
        <v/>
      </c>
    </row>
    <row r="207" spans="1:6" x14ac:dyDescent="0.25">
      <c r="A207" s="14">
        <v>196</v>
      </c>
      <c r="B207" s="10" t="str" cm="1">
        <f t="array" ref="B207">GetCSVIndex(A2,2+1365)</f>
        <v/>
      </c>
      <c r="C207" s="10" t="str" cm="1">
        <f t="array" ref="C207">GetCSVIndex(A2,3+1365)</f>
        <v/>
      </c>
      <c r="D207" s="10" t="str">
        <f>IFERROR(CHOOSE(GetCSVIndex($A$2,4+1365)+1,"Unknown","No","Yes"),"")</f>
        <v/>
      </c>
      <c r="E207" s="10" t="str" cm="1">
        <f t="array" ref="E207">GetCSVIndex(A2,5+1365)</f>
        <v/>
      </c>
      <c r="F207" s="10" t="str" cm="1">
        <f t="array" ref="F207" xml:space="preserve"> IF(GetCSVIndex(A2,6+settings!N206)="255","Not Connected",GetCSVIndex(A2,6+settings!N206))</f>
        <v/>
      </c>
    </row>
    <row r="208" spans="1:6" x14ac:dyDescent="0.25">
      <c r="A208" s="14">
        <v>197</v>
      </c>
      <c r="B208" s="10" t="str" cm="1">
        <f t="array" ref="B208">GetCSVIndex(A2,2+1372)</f>
        <v/>
      </c>
      <c r="C208" s="10" t="str" cm="1">
        <f t="array" ref="C208">GetCSVIndex(A2,3+1372)</f>
        <v/>
      </c>
      <c r="D208" s="10" t="str">
        <f>IFERROR(CHOOSE(GetCSVIndex($A$2,4+1372)+1,"Unknown","No","Yes"),"")</f>
        <v/>
      </c>
      <c r="E208" s="10" t="str" cm="1">
        <f t="array" ref="E208">GetCSVIndex(A2,5+1372)</f>
        <v/>
      </c>
      <c r="F208" s="10" t="str" cm="1">
        <f t="array" ref="F208" xml:space="preserve"> IF(GetCSVIndex(A2,6+settings!N207)="255","Not Connected",GetCSVIndex(A2,6+settings!N207))</f>
        <v/>
      </c>
    </row>
    <row r="209" spans="1:6" x14ac:dyDescent="0.25">
      <c r="A209" s="14">
        <v>198</v>
      </c>
      <c r="B209" s="10" t="str" cm="1">
        <f t="array" ref="B209">GetCSVIndex(A2,2+1379)</f>
        <v/>
      </c>
      <c r="C209" s="10" t="str" cm="1">
        <f t="array" ref="C209">GetCSVIndex(A2,3+1379)</f>
        <v/>
      </c>
      <c r="D209" s="10" t="str">
        <f>IFERROR(CHOOSE(GetCSVIndex($A$2,4+1379)+1,"Unknown","No","Yes"),"")</f>
        <v/>
      </c>
      <c r="E209" s="10" t="str" cm="1">
        <f t="array" ref="E209">GetCSVIndex(A2,5+1379)</f>
        <v/>
      </c>
      <c r="F209" s="10" t="str" cm="1">
        <f t="array" ref="F209" xml:space="preserve"> IF(GetCSVIndex(A2,6+settings!N208)="255","Not Connected",GetCSVIndex(A2,6+settings!N208))</f>
        <v/>
      </c>
    </row>
    <row r="210" spans="1:6" x14ac:dyDescent="0.25">
      <c r="A210" s="14">
        <v>199</v>
      </c>
      <c r="B210" s="10" t="str" cm="1">
        <f t="array" ref="B210">GetCSVIndex(A2,2+1386)</f>
        <v/>
      </c>
      <c r="C210" s="10" t="str" cm="1">
        <f t="array" ref="C210">GetCSVIndex(A2,3+1386)</f>
        <v/>
      </c>
      <c r="D210" s="10" t="str">
        <f>IFERROR(CHOOSE(GetCSVIndex($A$2,4+1386)+1,"Unknown","No","Yes"),"")</f>
        <v/>
      </c>
      <c r="E210" s="10" t="str" cm="1">
        <f t="array" ref="E210">GetCSVIndex(A2,5+1386)</f>
        <v/>
      </c>
      <c r="F210" s="10" t="str" cm="1">
        <f t="array" ref="F210" xml:space="preserve"> IF(GetCSVIndex(A2,6+settings!N209)="255","Not Connected",GetCSVIndex(A2,6+settings!N209))</f>
        <v/>
      </c>
    </row>
    <row r="211" spans="1:6" x14ac:dyDescent="0.25">
      <c r="A211" s="14">
        <v>200</v>
      </c>
      <c r="B211" s="10" t="str" cm="1">
        <f t="array" ref="B211">GetCSVIndex(A2,2+1393)</f>
        <v/>
      </c>
      <c r="C211" s="10" t="str" cm="1">
        <f t="array" ref="C211">GetCSVIndex(A2,3+1393)</f>
        <v/>
      </c>
      <c r="D211" s="10" t="str">
        <f>IFERROR(CHOOSE(GetCSVIndex($A$2,4+1393)+1,"Unknown","No","Yes"),"")</f>
        <v/>
      </c>
      <c r="E211" s="10" t="str" cm="1">
        <f t="array" ref="E211">GetCSVIndex(A2,5+1393)</f>
        <v/>
      </c>
      <c r="F211" s="10" t="str" cm="1">
        <f t="array" ref="F211" xml:space="preserve"> IF(GetCSVIndex(A2,6+settings!N210)="255","Not Connected",GetCSVIndex(A2,6+settings!N210))</f>
        <v/>
      </c>
    </row>
    <row r="212" spans="1:6" x14ac:dyDescent="0.25">
      <c r="A212" s="14">
        <v>201</v>
      </c>
      <c r="B212" s="10" t="str" cm="1">
        <f t="array" ref="B212">GetCSVIndex(A2,2+1400)</f>
        <v/>
      </c>
      <c r="C212" s="10" t="str" cm="1">
        <f t="array" ref="C212">GetCSVIndex(A2,3+1400)</f>
        <v/>
      </c>
      <c r="D212" s="10" t="str">
        <f>IFERROR(CHOOSE(GetCSVIndex($A$2,4+1400)+1,"Unknown","No","Yes"),"")</f>
        <v/>
      </c>
      <c r="E212" s="10" t="str" cm="1">
        <f t="array" ref="E212">GetCSVIndex(A2,5+1400)</f>
        <v/>
      </c>
      <c r="F212" s="10" t="str" cm="1">
        <f t="array" ref="F212" xml:space="preserve"> IF(GetCSVIndex(A2,6+settings!N211)="255","Not Connected",GetCSVIndex(A2,6+settings!N211))</f>
        <v/>
      </c>
    </row>
    <row r="213" spans="1:6" x14ac:dyDescent="0.25">
      <c r="A213" s="14">
        <v>202</v>
      </c>
      <c r="B213" s="10" t="str" cm="1">
        <f t="array" ref="B213">GetCSVIndex(A2,2+1407)</f>
        <v/>
      </c>
      <c r="C213" s="10" t="str" cm="1">
        <f t="array" ref="C213">GetCSVIndex(A2,3+1407)</f>
        <v/>
      </c>
      <c r="D213" s="10" t="str">
        <f>IFERROR(CHOOSE(GetCSVIndex($A$2,4+1407)+1,"Unknown","No","Yes"),"")</f>
        <v/>
      </c>
      <c r="E213" s="10" t="str" cm="1">
        <f t="array" ref="E213">GetCSVIndex(A2,5+1407)</f>
        <v/>
      </c>
      <c r="F213" s="10" t="str" cm="1">
        <f t="array" ref="F213" xml:space="preserve"> IF(GetCSVIndex(A2,6+settings!N212)="255","Not Connected",GetCSVIndex(A2,6+settings!N212))</f>
        <v/>
      </c>
    </row>
    <row r="214" spans="1:6" x14ac:dyDescent="0.25">
      <c r="A214" s="14">
        <v>203</v>
      </c>
      <c r="B214" s="10" t="str" cm="1">
        <f t="array" ref="B214">GetCSVIndex(A2,2+1414)</f>
        <v/>
      </c>
      <c r="C214" s="10" t="str" cm="1">
        <f t="array" ref="C214">GetCSVIndex(A2,3+1414)</f>
        <v/>
      </c>
      <c r="D214" s="10" t="str">
        <f>IFERROR(CHOOSE(GetCSVIndex($A$2,4+1414)+1,"Unknown","No","Yes"),"")</f>
        <v/>
      </c>
      <c r="E214" s="10" t="str" cm="1">
        <f t="array" ref="E214">GetCSVIndex(A2,5+1414)</f>
        <v/>
      </c>
      <c r="F214" s="10" t="str" cm="1">
        <f t="array" ref="F214" xml:space="preserve"> IF(GetCSVIndex(A2,6+settings!N213)="255","Not Connected",GetCSVIndex(A2,6+settings!N213))</f>
        <v/>
      </c>
    </row>
    <row r="215" spans="1:6" x14ac:dyDescent="0.25">
      <c r="A215" s="14">
        <v>204</v>
      </c>
      <c r="B215" s="10" t="str" cm="1">
        <f t="array" ref="B215">GetCSVIndex(A2,2+1421)</f>
        <v/>
      </c>
      <c r="C215" s="10" t="str" cm="1">
        <f t="array" ref="C215">GetCSVIndex(A2,3+1421)</f>
        <v/>
      </c>
      <c r="D215" s="10" t="str">
        <f>IFERROR(CHOOSE(GetCSVIndex($A$2,4+1421)+1,"Unknown","No","Yes"),"")</f>
        <v/>
      </c>
      <c r="E215" s="10" t="str" cm="1">
        <f t="array" ref="E215">GetCSVIndex(A2,5+1421)</f>
        <v/>
      </c>
      <c r="F215" s="10" t="str" cm="1">
        <f t="array" ref="F215" xml:space="preserve"> IF(GetCSVIndex(A2,6+settings!N214)="255","Not Connected",GetCSVIndex(A2,6+settings!N214))</f>
        <v/>
      </c>
    </row>
    <row r="216" spans="1:6" x14ac:dyDescent="0.25">
      <c r="A216" s="14">
        <v>205</v>
      </c>
      <c r="B216" s="10" t="str" cm="1">
        <f t="array" ref="B216">GetCSVIndex(A2,2+1428)</f>
        <v/>
      </c>
      <c r="C216" s="10" t="str" cm="1">
        <f t="array" ref="C216">GetCSVIndex(A2,3+1428)</f>
        <v/>
      </c>
      <c r="D216" s="10" t="str">
        <f>IFERROR(CHOOSE(GetCSVIndex($A$2,4+1428)+1,"Unknown","No","Yes"),"")</f>
        <v/>
      </c>
      <c r="E216" s="10" t="str" cm="1">
        <f t="array" ref="E216">GetCSVIndex(A2,5+1428)</f>
        <v/>
      </c>
      <c r="F216" s="10" t="str" cm="1">
        <f t="array" ref="F216" xml:space="preserve"> IF(GetCSVIndex(A2,6+settings!N215)="255","Not Connected",GetCSVIndex(A2,6+settings!N215))</f>
        <v/>
      </c>
    </row>
    <row r="217" spans="1:6" x14ac:dyDescent="0.25">
      <c r="A217" s="14">
        <v>206</v>
      </c>
      <c r="B217" s="10" t="str" cm="1">
        <f t="array" ref="B217">GetCSVIndex(A2,2+1435)</f>
        <v/>
      </c>
      <c r="C217" s="10" t="str" cm="1">
        <f t="array" ref="C217">GetCSVIndex(A2,3+1435)</f>
        <v/>
      </c>
      <c r="D217" s="10" t="str">
        <f>IFERROR(CHOOSE(GetCSVIndex($A$2,4+1435)+1,"Unknown","No","Yes"),"")</f>
        <v/>
      </c>
      <c r="E217" s="10" t="str" cm="1">
        <f t="array" ref="E217">GetCSVIndex(A2,5+1435)</f>
        <v/>
      </c>
      <c r="F217" s="10" t="str" cm="1">
        <f t="array" ref="F217" xml:space="preserve"> IF(GetCSVIndex(A2,6+settings!N216)="255","Not Connected",GetCSVIndex(A2,6+settings!N216))</f>
        <v/>
      </c>
    </row>
    <row r="218" spans="1:6" x14ac:dyDescent="0.25">
      <c r="A218" s="14">
        <v>207</v>
      </c>
      <c r="B218" s="10" t="str" cm="1">
        <f t="array" ref="B218">GetCSVIndex(A2,2+1442)</f>
        <v/>
      </c>
      <c r="C218" s="10" t="str" cm="1">
        <f t="array" ref="C218">GetCSVIndex(A2,3+1442)</f>
        <v/>
      </c>
      <c r="D218" s="10" t="str">
        <f>IFERROR(CHOOSE(GetCSVIndex($A$2,4+1442)+1,"Unknown","No","Yes"),"")</f>
        <v/>
      </c>
      <c r="E218" s="10" t="str" cm="1">
        <f t="array" ref="E218">GetCSVIndex(A2,5+1442)</f>
        <v/>
      </c>
      <c r="F218" s="10" t="str" cm="1">
        <f t="array" ref="F218" xml:space="preserve"> IF(GetCSVIndex(A2,6+settings!N217)="255","Not Connected",GetCSVIndex(A2,6+settings!N217))</f>
        <v/>
      </c>
    </row>
    <row r="219" spans="1:6" x14ac:dyDescent="0.25">
      <c r="A219" s="14">
        <v>208</v>
      </c>
      <c r="B219" s="10" t="str" cm="1">
        <f t="array" ref="B219">GetCSVIndex(A2,2+1449)</f>
        <v/>
      </c>
      <c r="C219" s="10" t="str" cm="1">
        <f t="array" ref="C219">GetCSVIndex(A2,3+1449)</f>
        <v/>
      </c>
      <c r="D219" s="10" t="str">
        <f>IFERROR(CHOOSE(GetCSVIndex($A$2,4+1449)+1,"Unknown","No","Yes"),"")</f>
        <v/>
      </c>
      <c r="E219" s="10" t="str" cm="1">
        <f t="array" ref="E219">GetCSVIndex(A2,5+1449)</f>
        <v/>
      </c>
      <c r="F219" s="10" t="str" cm="1">
        <f t="array" ref="F219" xml:space="preserve"> IF(GetCSVIndex(A2,6+settings!N218)="255","Not Connected",GetCSVIndex(A2,6+settings!N218))</f>
        <v/>
      </c>
    </row>
    <row r="220" spans="1:6" x14ac:dyDescent="0.25">
      <c r="A220" s="14">
        <v>209</v>
      </c>
      <c r="B220" s="10" t="str" cm="1">
        <f t="array" ref="B220">GetCSVIndex(A2,2+1456)</f>
        <v/>
      </c>
      <c r="C220" s="10" t="str" cm="1">
        <f t="array" ref="C220">GetCSVIndex(A2,3+1456)</f>
        <v/>
      </c>
      <c r="D220" s="10" t="str">
        <f>IFERROR(CHOOSE(GetCSVIndex($A$2,4+1456)+1,"Unknown","No","Yes"),"")</f>
        <v/>
      </c>
      <c r="E220" s="10" t="str" cm="1">
        <f t="array" ref="E220">GetCSVIndex(A2,5+1456)</f>
        <v/>
      </c>
      <c r="F220" s="10" t="str" cm="1">
        <f t="array" ref="F220" xml:space="preserve"> IF(GetCSVIndex(A2,6+settings!N219)="255","Not Connected",GetCSVIndex(A2,6+settings!N219))</f>
        <v/>
      </c>
    </row>
    <row r="221" spans="1:6" x14ac:dyDescent="0.25">
      <c r="A221" s="14">
        <v>210</v>
      </c>
      <c r="B221" s="10" t="str" cm="1">
        <f t="array" ref="B221">GetCSVIndex(A2,2+1463)</f>
        <v/>
      </c>
      <c r="C221" s="10" t="str" cm="1">
        <f t="array" ref="C221">GetCSVIndex(A2,3+1463)</f>
        <v/>
      </c>
      <c r="D221" s="10" t="str">
        <f>IFERROR(CHOOSE(GetCSVIndex($A$2,4+1463)+1,"Unknown","No","Yes"),"")</f>
        <v/>
      </c>
      <c r="E221" s="10" t="str" cm="1">
        <f t="array" ref="E221">GetCSVIndex(A2,5+1463)</f>
        <v/>
      </c>
      <c r="F221" s="10" t="str" cm="1">
        <f t="array" ref="F221" xml:space="preserve"> IF(GetCSVIndex(A2,6+settings!N220)="255","Not Connected",GetCSVIndex(A2,6+settings!N220))</f>
        <v/>
      </c>
    </row>
    <row r="222" spans="1:6" x14ac:dyDescent="0.25">
      <c r="A222" s="14">
        <v>211</v>
      </c>
      <c r="B222" s="10" t="str" cm="1">
        <f t="array" ref="B222">GetCSVIndex(A2,2+1470)</f>
        <v/>
      </c>
      <c r="C222" s="10" t="str" cm="1">
        <f t="array" ref="C222">GetCSVIndex(A2,3+1470)</f>
        <v/>
      </c>
      <c r="D222" s="10" t="str">
        <f>IFERROR(CHOOSE(GetCSVIndex($A$2,4+1470)+1,"Unknown","No","Yes"),"")</f>
        <v/>
      </c>
      <c r="E222" s="10" t="str" cm="1">
        <f t="array" ref="E222">GetCSVIndex(A2,5+1470)</f>
        <v/>
      </c>
      <c r="F222" s="10" t="str" cm="1">
        <f t="array" ref="F222" xml:space="preserve"> IF(GetCSVIndex(A2,6+settings!N221)="255","Not Connected",GetCSVIndex(A2,6+settings!N221))</f>
        <v/>
      </c>
    </row>
    <row r="223" spans="1:6" x14ac:dyDescent="0.25">
      <c r="A223" s="14">
        <v>212</v>
      </c>
      <c r="B223" s="10" t="str" cm="1">
        <f t="array" ref="B223">GetCSVIndex(A2,2+1477)</f>
        <v/>
      </c>
      <c r="C223" s="10" t="str" cm="1">
        <f t="array" ref="C223">GetCSVIndex(A2,3+1477)</f>
        <v/>
      </c>
      <c r="D223" s="10" t="str">
        <f>IFERROR(CHOOSE(GetCSVIndex($A$2,4+1477)+1,"Unknown","No","Yes"),"")</f>
        <v/>
      </c>
      <c r="E223" s="10" t="str" cm="1">
        <f t="array" ref="E223">GetCSVIndex(A2,5+1477)</f>
        <v/>
      </c>
      <c r="F223" s="10" t="str" cm="1">
        <f t="array" ref="F223" xml:space="preserve"> IF(GetCSVIndex(A2,6+settings!N222)="255","Not Connected",GetCSVIndex(A2,6+settings!N222))</f>
        <v/>
      </c>
    </row>
    <row r="224" spans="1:6" x14ac:dyDescent="0.25">
      <c r="A224" s="14">
        <v>213</v>
      </c>
      <c r="B224" s="10" t="str" cm="1">
        <f t="array" ref="B224">GetCSVIndex(A2,2+1484)</f>
        <v/>
      </c>
      <c r="C224" s="10" t="str" cm="1">
        <f t="array" ref="C224">GetCSVIndex(A2,3+1484)</f>
        <v/>
      </c>
      <c r="D224" s="10" t="str">
        <f>IFERROR(CHOOSE(GetCSVIndex($A$2,4+1484)+1,"Unknown","No","Yes"),"")</f>
        <v/>
      </c>
      <c r="E224" s="10" t="str" cm="1">
        <f t="array" ref="E224">GetCSVIndex(A2,5+1484)</f>
        <v/>
      </c>
      <c r="F224" s="10" t="str" cm="1">
        <f t="array" ref="F224" xml:space="preserve"> IF(GetCSVIndex(A2,6+settings!N223)="255","Not Connected",GetCSVIndex(A2,6+settings!N223))</f>
        <v/>
      </c>
    </row>
    <row r="225" spans="1:6" x14ac:dyDescent="0.25">
      <c r="A225" s="14">
        <v>214</v>
      </c>
      <c r="B225" s="10" t="str" cm="1">
        <f t="array" ref="B225">GetCSVIndex(A2,2+1491)</f>
        <v/>
      </c>
      <c r="C225" s="10" t="str" cm="1">
        <f t="array" ref="C225">GetCSVIndex(A2,3+1491)</f>
        <v/>
      </c>
      <c r="D225" s="10" t="str">
        <f>IFERROR(CHOOSE(GetCSVIndex($A$2,4+1491)+1,"Unknown","No","Yes"),"")</f>
        <v/>
      </c>
      <c r="E225" s="10" t="str" cm="1">
        <f t="array" ref="E225">GetCSVIndex(A2,5+1491)</f>
        <v/>
      </c>
      <c r="F225" s="10" t="str" cm="1">
        <f t="array" ref="F225" xml:space="preserve"> IF(GetCSVIndex(A2,6+settings!N224)="255","Not Connected",GetCSVIndex(A2,6+settings!N224))</f>
        <v/>
      </c>
    </row>
    <row r="226" spans="1:6" x14ac:dyDescent="0.25">
      <c r="A226" s="14">
        <v>215</v>
      </c>
      <c r="B226" s="10" t="str" cm="1">
        <f t="array" ref="B226">GetCSVIndex(A2,2+1498)</f>
        <v/>
      </c>
      <c r="C226" s="10" t="str" cm="1">
        <f t="array" ref="C226">GetCSVIndex(A2,3+1498)</f>
        <v/>
      </c>
      <c r="D226" s="10" t="str">
        <f>IFERROR(CHOOSE(GetCSVIndex($A$2,4+1498)+1,"Unknown","No","Yes"),"")</f>
        <v/>
      </c>
      <c r="E226" s="10" t="str" cm="1">
        <f t="array" ref="E226">GetCSVIndex(A2,5+1498)</f>
        <v/>
      </c>
      <c r="F226" s="10" t="str" cm="1">
        <f t="array" ref="F226" xml:space="preserve"> IF(GetCSVIndex(A2,6+settings!N225)="255","Not Connected",GetCSVIndex(A2,6+settings!N225))</f>
        <v/>
      </c>
    </row>
    <row r="227" spans="1:6" x14ac:dyDescent="0.25">
      <c r="A227" s="14">
        <v>216</v>
      </c>
      <c r="B227" s="10" t="str" cm="1">
        <f t="array" ref="B227">GetCSVIndex(A2,2+1505)</f>
        <v/>
      </c>
      <c r="C227" s="10" t="str" cm="1">
        <f t="array" ref="C227">GetCSVIndex(A2,3+1505)</f>
        <v/>
      </c>
      <c r="D227" s="10" t="str">
        <f>IFERROR(CHOOSE(GetCSVIndex($A$2,4+1505)+1,"Unknown","No","Yes"),"")</f>
        <v/>
      </c>
      <c r="E227" s="10" t="str" cm="1">
        <f t="array" ref="E227">GetCSVIndex(A2,5+1505)</f>
        <v/>
      </c>
      <c r="F227" s="10" t="str" cm="1">
        <f t="array" ref="F227" xml:space="preserve"> IF(GetCSVIndex(A2,6+settings!N226)="255","Not Connected",GetCSVIndex(A2,6+settings!N226))</f>
        <v/>
      </c>
    </row>
    <row r="228" spans="1:6" x14ac:dyDescent="0.25">
      <c r="A228" s="14">
        <v>217</v>
      </c>
      <c r="B228" s="10" t="str" cm="1">
        <f t="array" ref="B228">GetCSVIndex(A2,2+1512)</f>
        <v/>
      </c>
      <c r="C228" s="10" t="str" cm="1">
        <f t="array" ref="C228">GetCSVIndex(A2,3+1512)</f>
        <v/>
      </c>
      <c r="D228" s="10" t="str">
        <f>IFERROR(CHOOSE(GetCSVIndex($A$2,4+1512)+1,"Unknown","No","Yes"),"")</f>
        <v/>
      </c>
      <c r="E228" s="10" t="str" cm="1">
        <f t="array" ref="E228">GetCSVIndex(A2,5+1512)</f>
        <v/>
      </c>
      <c r="F228" s="10" t="str" cm="1">
        <f t="array" ref="F228" xml:space="preserve"> IF(GetCSVIndex(A2,6+settings!N227)="255","Not Connected",GetCSVIndex(A2,6+settings!N227))</f>
        <v/>
      </c>
    </row>
    <row r="229" spans="1:6" x14ac:dyDescent="0.25">
      <c r="A229" s="14">
        <v>218</v>
      </c>
      <c r="B229" s="10" t="str" cm="1">
        <f t="array" ref="B229">GetCSVIndex(A2,2+1519)</f>
        <v/>
      </c>
      <c r="C229" s="10" t="str" cm="1">
        <f t="array" ref="C229">GetCSVIndex(A2,3+1519)</f>
        <v/>
      </c>
      <c r="D229" s="10" t="str">
        <f>IFERROR(CHOOSE(GetCSVIndex($A$2,4+1519)+1,"Unknown","No","Yes"),"")</f>
        <v/>
      </c>
      <c r="E229" s="10" t="str" cm="1">
        <f t="array" ref="E229">GetCSVIndex(A2,5+1519)</f>
        <v/>
      </c>
      <c r="F229" s="10" t="str" cm="1">
        <f t="array" ref="F229" xml:space="preserve"> IF(GetCSVIndex(A2,6+settings!N228)="255","Not Connected",GetCSVIndex(A2,6+settings!N228))</f>
        <v/>
      </c>
    </row>
    <row r="230" spans="1:6" x14ac:dyDescent="0.25">
      <c r="A230" s="14">
        <v>219</v>
      </c>
      <c r="B230" s="10" t="str" cm="1">
        <f t="array" ref="B230">GetCSVIndex(A2,2+1526)</f>
        <v/>
      </c>
      <c r="C230" s="10" t="str" cm="1">
        <f t="array" ref="C230">GetCSVIndex(A2,3+1526)</f>
        <v/>
      </c>
      <c r="D230" s="10" t="str">
        <f>IFERROR(CHOOSE(GetCSVIndex($A$2,4+1526)+1,"Unknown","No","Yes"),"")</f>
        <v/>
      </c>
      <c r="E230" s="10" t="str" cm="1">
        <f t="array" ref="E230">GetCSVIndex(A2,5+1526)</f>
        <v/>
      </c>
      <c r="F230" s="10" t="str" cm="1">
        <f t="array" ref="F230" xml:space="preserve"> IF(GetCSVIndex(A2,6+settings!N229)="255","Not Connected",GetCSVIndex(A2,6+settings!N229))</f>
        <v/>
      </c>
    </row>
    <row r="231" spans="1:6" x14ac:dyDescent="0.25">
      <c r="A231" s="14">
        <v>220</v>
      </c>
      <c r="B231" s="10" t="str" cm="1">
        <f t="array" ref="B231">GetCSVIndex(A2,2+1533)</f>
        <v/>
      </c>
      <c r="C231" s="10" t="str" cm="1">
        <f t="array" ref="C231">GetCSVIndex(A2,3+1533)</f>
        <v/>
      </c>
      <c r="D231" s="10" t="str">
        <f>IFERROR(CHOOSE(GetCSVIndex($A$2,4+1533)+1,"Unknown","No","Yes"),"")</f>
        <v/>
      </c>
      <c r="E231" s="10" t="str" cm="1">
        <f t="array" ref="E231">GetCSVIndex(A2,5+1533)</f>
        <v/>
      </c>
      <c r="F231" s="10" t="str" cm="1">
        <f t="array" ref="F231" xml:space="preserve"> IF(GetCSVIndex(A2,6+settings!N230)="255","Not Connected",GetCSVIndex(A2,6+settings!N230))</f>
        <v/>
      </c>
    </row>
    <row r="232" spans="1:6" x14ac:dyDescent="0.25">
      <c r="A232" s="14">
        <v>221</v>
      </c>
      <c r="B232" s="10" t="str" cm="1">
        <f t="array" ref="B232">GetCSVIndex(A2,2+1540)</f>
        <v/>
      </c>
      <c r="C232" s="10" t="str" cm="1">
        <f t="array" ref="C232">GetCSVIndex(A2,3+1540)</f>
        <v/>
      </c>
      <c r="D232" s="10" t="str">
        <f>IFERROR(CHOOSE(GetCSVIndex($A$2,4+1540)+1,"Unknown","No","Yes"),"")</f>
        <v/>
      </c>
      <c r="E232" s="10" t="str" cm="1">
        <f t="array" ref="E232">GetCSVIndex(A2,5+1540)</f>
        <v/>
      </c>
      <c r="F232" s="10" t="str" cm="1">
        <f t="array" ref="F232" xml:space="preserve"> IF(GetCSVIndex(A2,6+settings!N231)="255","Not Connected",GetCSVIndex(A2,6+settings!N231))</f>
        <v/>
      </c>
    </row>
    <row r="233" spans="1:6" x14ac:dyDescent="0.25">
      <c r="A233" s="14">
        <v>222</v>
      </c>
      <c r="B233" s="10" t="str" cm="1">
        <f t="array" ref="B233">GetCSVIndex(A2,2+1547)</f>
        <v/>
      </c>
      <c r="C233" s="10" t="str" cm="1">
        <f t="array" ref="C233">GetCSVIndex(A2,3+1547)</f>
        <v/>
      </c>
      <c r="D233" s="10" t="str">
        <f>IFERROR(CHOOSE(GetCSVIndex($A$2,4+1547)+1,"Unknown","No","Yes"),"")</f>
        <v/>
      </c>
      <c r="E233" s="10" t="str" cm="1">
        <f t="array" ref="E233">GetCSVIndex(A2,5+1547)</f>
        <v/>
      </c>
      <c r="F233" s="10" t="str" cm="1">
        <f t="array" ref="F233" xml:space="preserve"> IF(GetCSVIndex(A2,6+settings!N232)="255","Not Connected",GetCSVIndex(A2,6+settings!N232))</f>
        <v/>
      </c>
    </row>
    <row r="234" spans="1:6" x14ac:dyDescent="0.25">
      <c r="A234" s="14">
        <v>223</v>
      </c>
      <c r="B234" s="10" t="str" cm="1">
        <f t="array" ref="B234">GetCSVIndex(A2,2+1554)</f>
        <v/>
      </c>
      <c r="C234" s="10" t="str" cm="1">
        <f t="array" ref="C234">GetCSVIndex(A2,3+1554)</f>
        <v/>
      </c>
      <c r="D234" s="10" t="str">
        <f>IFERROR(CHOOSE(GetCSVIndex($A$2,4+1554)+1,"Unknown","No","Yes"),"")</f>
        <v/>
      </c>
      <c r="E234" s="10" t="str" cm="1">
        <f t="array" ref="E234">GetCSVIndex(A2,5+1554)</f>
        <v/>
      </c>
      <c r="F234" s="10" t="str" cm="1">
        <f t="array" ref="F234" xml:space="preserve"> IF(GetCSVIndex(A2,6+settings!N233)="255","Not Connected",GetCSVIndex(A2,6+settings!N233))</f>
        <v/>
      </c>
    </row>
    <row r="235" spans="1:6" x14ac:dyDescent="0.25">
      <c r="A235" s="14">
        <v>224</v>
      </c>
      <c r="B235" s="10" t="str" cm="1">
        <f t="array" ref="B235">GetCSVIndex(A2,2+1561)</f>
        <v/>
      </c>
      <c r="C235" s="10" t="str" cm="1">
        <f t="array" ref="C235">GetCSVIndex(A2,3+1561)</f>
        <v/>
      </c>
      <c r="D235" s="10" t="str">
        <f>IFERROR(CHOOSE(GetCSVIndex($A$2,4+1561)+1,"Unknown","No","Yes"),"")</f>
        <v/>
      </c>
      <c r="E235" s="10" t="str" cm="1">
        <f t="array" ref="E235">GetCSVIndex(A2,5+1561)</f>
        <v/>
      </c>
      <c r="F235" s="10" t="str" cm="1">
        <f t="array" ref="F235" xml:space="preserve"> IF(GetCSVIndex(A2,6+settings!N234)="255","Not Connected",GetCSVIndex(A2,6+settings!N234))</f>
        <v/>
      </c>
    </row>
    <row r="236" spans="1:6" x14ac:dyDescent="0.25">
      <c r="A236" s="14">
        <v>225</v>
      </c>
      <c r="B236" s="10" t="str" cm="1">
        <f t="array" ref="B236">GetCSVIndex(A2,2+1568)</f>
        <v/>
      </c>
      <c r="C236" s="10" t="str" cm="1">
        <f t="array" ref="C236">GetCSVIndex(A2,3+1568)</f>
        <v/>
      </c>
      <c r="D236" s="10" t="str">
        <f>IFERROR(CHOOSE(GetCSVIndex($A$2,4+1568)+1,"Unknown","No","Yes"),"")</f>
        <v/>
      </c>
      <c r="E236" s="10" t="str" cm="1">
        <f t="array" ref="E236">GetCSVIndex(A2,5+1568)</f>
        <v/>
      </c>
      <c r="F236" s="10" t="str" cm="1">
        <f t="array" ref="F236" xml:space="preserve"> IF(GetCSVIndex(A2,6+settings!N235)="255","Not Connected",GetCSVIndex(A2,6+settings!N235))</f>
        <v/>
      </c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GetDataFromTxt.GetDataFromTxt">
                <anchor moveWithCells="1" sizeWithCells="1">
                  <from>
                    <xdr:col>3</xdr:col>
                    <xdr:colOff>200025</xdr:colOff>
                    <xdr:row>5</xdr:row>
                    <xdr:rowOff>114300</xdr:rowOff>
                  </from>
                  <to>
                    <xdr:col>3</xdr:col>
                    <xdr:colOff>1171575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J40"/>
  <sheetViews>
    <sheetView workbookViewId="0">
      <selection activeCell="V7" sqref="V7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18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2</v>
      </c>
      <c r="C9" s="5" t="s">
        <v>7</v>
      </c>
      <c r="D9" s="5" t="s">
        <v>7</v>
      </c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>
        <v>47.041297935103202</v>
      </c>
      <c r="D15" s="6">
        <v>47.041297935103202</v>
      </c>
    </row>
    <row r="16" spans="2:10" x14ac:dyDescent="0.25">
      <c r="B16" s="4">
        <v>7</v>
      </c>
      <c r="C16" s="6">
        <v>47.206741573033703</v>
      </c>
      <c r="D16" s="6">
        <v>47.206741573033703</v>
      </c>
    </row>
    <row r="17" spans="2:4" x14ac:dyDescent="0.25">
      <c r="B17" s="4">
        <v>8</v>
      </c>
      <c r="C17" s="6"/>
      <c r="D17" s="6"/>
    </row>
    <row r="18" spans="2:4" x14ac:dyDescent="0.25">
      <c r="B18" s="4">
        <v>9</v>
      </c>
      <c r="C18" s="6">
        <v>48.5475309984772</v>
      </c>
      <c r="D18" s="6">
        <v>48.5475309984772</v>
      </c>
    </row>
    <row r="19" spans="2:4" x14ac:dyDescent="0.25">
      <c r="B19" s="4">
        <v>10</v>
      </c>
      <c r="C19" s="6">
        <v>45.635949943117097</v>
      </c>
      <c r="D19" s="6">
        <v>45.635949943117097</v>
      </c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  <row r="22" spans="2:4" x14ac:dyDescent="0.25">
      <c r="B22" s="4">
        <v>13</v>
      </c>
      <c r="C22" s="6"/>
      <c r="D22" s="6"/>
    </row>
    <row r="23" spans="2:4" x14ac:dyDescent="0.25">
      <c r="B23" s="4">
        <v>14</v>
      </c>
      <c r="C23" s="6"/>
      <c r="D23" s="6"/>
    </row>
    <row r="24" spans="2:4" x14ac:dyDescent="0.25">
      <c r="B24" s="4">
        <v>15</v>
      </c>
      <c r="C24" s="6"/>
      <c r="D24" s="6"/>
    </row>
    <row r="25" spans="2:4" x14ac:dyDescent="0.25">
      <c r="B25" s="4">
        <v>16</v>
      </c>
      <c r="C25" s="6"/>
      <c r="D25" s="6"/>
    </row>
    <row r="26" spans="2:4" x14ac:dyDescent="0.25">
      <c r="B26" s="4">
        <v>17</v>
      </c>
      <c r="C26" s="6"/>
      <c r="D26" s="6"/>
    </row>
    <row r="27" spans="2:4" x14ac:dyDescent="0.25">
      <c r="B27" s="4">
        <v>18</v>
      </c>
      <c r="C27" s="6"/>
      <c r="D27" s="6"/>
    </row>
    <row r="28" spans="2:4" x14ac:dyDescent="0.25">
      <c r="B28" s="4">
        <v>19</v>
      </c>
      <c r="C28" s="6"/>
      <c r="D28" s="6"/>
    </row>
    <row r="29" spans="2:4" x14ac:dyDescent="0.25">
      <c r="B29" s="4">
        <v>20</v>
      </c>
      <c r="C29" s="6"/>
      <c r="D29" s="6"/>
    </row>
    <row r="30" spans="2:4" x14ac:dyDescent="0.25">
      <c r="B30" s="4">
        <v>21</v>
      </c>
      <c r="C30" s="6"/>
      <c r="D30" s="6"/>
    </row>
    <row r="31" spans="2:4" x14ac:dyDescent="0.25">
      <c r="B31" s="4">
        <v>22</v>
      </c>
      <c r="C31" s="6"/>
      <c r="D31" s="6"/>
    </row>
    <row r="32" spans="2:4" x14ac:dyDescent="0.25">
      <c r="B32" s="4">
        <v>23</v>
      </c>
      <c r="C32" s="6"/>
      <c r="D32" s="6"/>
    </row>
    <row r="33" spans="2:4" x14ac:dyDescent="0.25">
      <c r="B33" s="4">
        <v>24</v>
      </c>
      <c r="C33" s="6"/>
      <c r="D33" s="6"/>
    </row>
    <row r="34" spans="2:4" x14ac:dyDescent="0.25">
      <c r="B34" s="4">
        <v>25</v>
      </c>
      <c r="C34" s="6"/>
      <c r="D34" s="6"/>
    </row>
    <row r="35" spans="2:4" x14ac:dyDescent="0.25">
      <c r="B35" s="4">
        <v>26</v>
      </c>
      <c r="C35" s="6"/>
      <c r="D35" s="6"/>
    </row>
    <row r="36" spans="2:4" x14ac:dyDescent="0.25">
      <c r="B36" s="4">
        <v>27</v>
      </c>
      <c r="C36" s="6"/>
      <c r="D36" s="6"/>
    </row>
    <row r="37" spans="2:4" x14ac:dyDescent="0.25">
      <c r="B37" s="4">
        <v>28</v>
      </c>
      <c r="C37" s="6"/>
      <c r="D37" s="6"/>
    </row>
    <row r="38" spans="2:4" x14ac:dyDescent="0.25">
      <c r="B38" s="4">
        <v>29</v>
      </c>
      <c r="C38" s="6"/>
      <c r="D38" s="6"/>
    </row>
    <row r="39" spans="2:4" x14ac:dyDescent="0.25">
      <c r="B39" s="4">
        <v>30</v>
      </c>
      <c r="C39" s="6"/>
      <c r="D39" s="6"/>
    </row>
    <row r="40" spans="2:4" x14ac:dyDescent="0.25">
      <c r="B40" s="4">
        <v>31</v>
      </c>
      <c r="C40" s="6"/>
      <c r="D40" s="6"/>
    </row>
  </sheetData>
  <dataValidations disablePrompts="1" count="3">
    <dataValidation type="list" allowBlank="1" showInputMessage="1" showErrorMessage="1" sqref="C4" xr:uid="{00000000-0002-0000-0100-000000000000}">
      <formula1>"2018,2019,2020,2021,2022,2023,2024,2025,2026,2027,2028"</formula1>
    </dataValidation>
    <dataValidation type="list" allowBlank="1" showInputMessage="1" showErrorMessage="1" sqref="C5" xr:uid="{00000000-0002-0000-0100-000001000000}">
      <formula1>"1,2,3,4,5,6,7,8,9,10,11,12"</formula1>
    </dataValidation>
    <dataValidation type="whole" allowBlank="1" showInputMessage="1" showErrorMessage="1" sqref="C6" xr:uid="{00000000-0002-0000-0100-000002000000}">
      <formula1>1</formula1>
      <formula2>31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AllColumns_AllDay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J21"/>
  <sheetViews>
    <sheetView workbookViewId="0">
      <selection activeCell="B3" sqref="B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12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hidden="1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1</v>
      </c>
      <c r="C9" s="5" t="s">
        <v>7</v>
      </c>
      <c r="D9" s="5"/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/>
      <c r="D15" s="6"/>
    </row>
    <row r="16" spans="2:10" x14ac:dyDescent="0.25">
      <c r="B16" s="4">
        <v>7</v>
      </c>
      <c r="C16" s="6"/>
      <c r="D16" s="6"/>
    </row>
    <row r="17" spans="2:4" x14ac:dyDescent="0.25">
      <c r="B17" s="4">
        <v>8</v>
      </c>
      <c r="C17" s="6">
        <v>47.781663275686597</v>
      </c>
      <c r="D17" s="6"/>
    </row>
    <row r="18" spans="2:4" x14ac:dyDescent="0.25">
      <c r="B18" s="4">
        <v>9</v>
      </c>
      <c r="C18" s="6"/>
      <c r="D18" s="6"/>
    </row>
    <row r="19" spans="2:4" x14ac:dyDescent="0.25">
      <c r="B19" s="4">
        <v>10</v>
      </c>
      <c r="C19" s="6"/>
      <c r="D19" s="6"/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</sheetData>
  <dataValidations disablePrompts="1" count="3">
    <dataValidation type="whole" allowBlank="1" showInputMessage="1" showErrorMessage="1" sqref="C6" xr:uid="{00000000-0002-0000-0200-000000000000}">
      <formula1>1</formula1>
      <formula2>31</formula2>
    </dataValidation>
    <dataValidation type="list" allowBlank="1" showInputMessage="1" showErrorMessage="1" sqref="C5" xr:uid="{00000000-0002-0000-0200-000001000000}">
      <formula1>"1,2,3,4,5,6,7,8,9,10,11,12"</formula1>
    </dataValidation>
    <dataValidation type="list" allowBlank="1" showInputMessage="1" showErrorMessage="1" sqref="C4" xr:uid="{00000000-0002-0000-0200-000002000000}">
      <formula1>"2018,2019,2020,2021,2022,2023,2024,2025,2026,2027,2028"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AllColumns_AllMonth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2:P40"/>
  <sheetViews>
    <sheetView zoomScale="85" zoomScaleNormal="85" workbookViewId="0">
      <selection activeCell="C3" sqref="C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7.85546875" style="3" customWidth="1"/>
    <col min="5" max="16" width="12.28515625" bestFit="1" customWidth="1"/>
  </cols>
  <sheetData>
    <row r="2" spans="2:16" x14ac:dyDescent="0.25">
      <c r="B2" s="1" t="s">
        <v>3</v>
      </c>
      <c r="C2" s="2" t="s">
        <v>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2018</v>
      </c>
    </row>
    <row r="5" spans="2:16" x14ac:dyDescent="0.25">
      <c r="B5" s="1" t="s">
        <v>1</v>
      </c>
      <c r="C5" s="2">
        <v>1</v>
      </c>
    </row>
    <row r="6" spans="2:16" x14ac:dyDescent="0.25">
      <c r="B6" s="1" t="s">
        <v>2</v>
      </c>
      <c r="C6" s="2">
        <v>1</v>
      </c>
    </row>
    <row r="7" spans="2:16" x14ac:dyDescent="0.25">
      <c r="B7" s="7"/>
    </row>
    <row r="8" spans="2:16" x14ac:dyDescent="0.25">
      <c r="C8" s="8"/>
      <c r="D8" s="8"/>
    </row>
    <row r="9" spans="2:16" ht="24.75" customHeight="1" x14ac:dyDescent="0.25">
      <c r="B9" s="5" t="str">
        <f>C3</f>
        <v>Hourly</v>
      </c>
      <c r="C9" s="9"/>
      <c r="D9" s="9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count="5">
    <dataValidation type="list" allowBlank="1" showInputMessage="1" showErrorMessage="1" sqref="C4" xr:uid="{00000000-0002-0000-0300-000000000000}">
      <formula1>"2018,2019,2020,2021,2022,2023,2024,2025,2026,2027,2028"</formula1>
    </dataValidation>
    <dataValidation type="list" allowBlank="1" showInputMessage="1" showErrorMessage="1" sqref="C5" xr:uid="{00000000-0002-0000-0300-000001000000}">
      <formula1>"1,2,3,4,5,6,7,8,9,10,11,12"</formula1>
    </dataValidation>
    <dataValidation type="whole" allowBlank="1" showInputMessage="1" showErrorMessage="1" sqref="C6" xr:uid="{00000000-0002-0000-0300-000002000000}">
      <formula1>1</formula1>
      <formula2>31</formula2>
    </dataValidation>
    <dataValidation type="list" allowBlank="1" showInputMessage="1" showErrorMessage="1" sqref="C8:D8" xr:uid="{00000000-0002-0000-0300-000003000000}">
      <formula1>"RT,AVG,MAX,MIN,SUM,COUNT"</formula1>
    </dataValidation>
    <dataValidation type="list" allowBlank="1" showInputMessage="1" showErrorMessage="1" sqref="C3" xr:uid="{00000000-0002-0000-0300-000004000000}">
      <formula1>"Hourly,Daily,Monthly"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P33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9" width="17.42578125" customWidth="1"/>
    <col min="10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2021</v>
      </c>
    </row>
    <row r="5" spans="2:16" x14ac:dyDescent="0.25">
      <c r="B5" s="1" t="s">
        <v>1</v>
      </c>
      <c r="C5" s="2">
        <v>12</v>
      </c>
    </row>
    <row r="6" spans="2:16" x14ac:dyDescent="0.25">
      <c r="B6" s="1" t="s">
        <v>2</v>
      </c>
      <c r="C6" s="2">
        <v>9</v>
      </c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Hourly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3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4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1">
        <v>5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6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7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8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1">
        <v>9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10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11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12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1">
        <v>13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14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15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1">
        <v>16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17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18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19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1">
        <v>20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22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23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</sheetData>
  <dataValidations disablePrompts="1" count="5">
    <dataValidation type="list" allowBlank="1" showInputMessage="1" showErrorMessage="1" sqref="C3" xr:uid="{00000000-0002-0000-0400-000000000000}">
      <formula1>"Hourly,Daily,Monthly"</formula1>
    </dataValidation>
    <dataValidation type="list" allowBlank="1" showInputMessage="1" showErrorMessage="1" sqref="C8:F8" xr:uid="{00000000-0002-0000-0400-000001000000}">
      <formula1>"RT,AVG,MAX,MIN,SUM,COUNT"</formula1>
    </dataValidation>
    <dataValidation type="whole" allowBlank="1" showInputMessage="1" showErrorMessage="1" sqref="C6" xr:uid="{00000000-0002-0000-0400-000002000000}">
      <formula1>1</formula1>
      <formula2>31</formula2>
    </dataValidation>
    <dataValidation type="list" allowBlank="1" showInputMessage="1" showErrorMessage="1" sqref="C5" xr:uid="{00000000-0002-0000-0400-000003000000}">
      <formula1>"1,2,3,4,5,6,7,8,9,10,11,12"</formula1>
    </dataValidation>
    <dataValidation type="list" allowBlank="1" showInputMessage="1" showErrorMessage="1" sqref="C4" xr:uid="{00000000-0002-0000-0400-000004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2:P40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8" width="17.42578125" customWidth="1"/>
    <col min="9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10</v>
      </c>
    </row>
    <row r="4" spans="2:16" x14ac:dyDescent="0.25">
      <c r="B4" s="1" t="s">
        <v>0</v>
      </c>
      <c r="C4" s="2">
        <v>2021</v>
      </c>
    </row>
    <row r="5" spans="2:16" x14ac:dyDescent="0.25">
      <c r="B5" s="1" t="s">
        <v>1</v>
      </c>
      <c r="C5" s="2">
        <v>12</v>
      </c>
    </row>
    <row r="6" spans="2:16" x14ac:dyDescent="0.25">
      <c r="C6"/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Daily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disablePrompts="1" count="4">
    <dataValidation type="list" allowBlank="1" showInputMessage="1" showErrorMessage="1" sqref="C3" xr:uid="{00000000-0002-0000-0500-000000000000}">
      <formula1>"Hourly,Daily,Monthly"</formula1>
    </dataValidation>
    <dataValidation type="list" allowBlank="1" showInputMessage="1" showErrorMessage="1" sqref="C8:F8" xr:uid="{00000000-0002-0000-0500-000001000000}">
      <formula1>"RT,AVG,MAX,MIN,SUM,COUNT"</formula1>
    </dataValidation>
    <dataValidation type="list" allowBlank="1" showInputMessage="1" showErrorMessage="1" sqref="C5" xr:uid="{00000000-0002-0000-0500-000002000000}">
      <formula1>"1,2,3,4,5,6,7,8,9,10,11,12"</formula1>
    </dataValidation>
    <dataValidation type="list" allowBlank="1" showInputMessage="1" showErrorMessage="1" sqref="C4" xr:uid="{00000000-0002-0000-0500-000003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2:P21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9" width="17.42578125" customWidth="1"/>
    <col min="10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11</v>
      </c>
    </row>
    <row r="4" spans="2:16" x14ac:dyDescent="0.25">
      <c r="B4" s="1" t="s">
        <v>0</v>
      </c>
      <c r="C4" s="2">
        <v>2021</v>
      </c>
    </row>
    <row r="5" spans="2:16" x14ac:dyDescent="0.25">
      <c r="C5"/>
    </row>
    <row r="6" spans="2:16" x14ac:dyDescent="0.25">
      <c r="C6"/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Monthly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</sheetData>
  <dataValidations count="3">
    <dataValidation type="list" allowBlank="1" showInputMessage="1" showErrorMessage="1" sqref="C3" xr:uid="{00000000-0002-0000-0600-000000000000}">
      <formula1>"Hourly,Daily,Monthly"</formula1>
    </dataValidation>
    <dataValidation type="list" allowBlank="1" showInputMessage="1" showErrorMessage="1" sqref="C8:F8" xr:uid="{00000000-0002-0000-0600-000001000000}">
      <formula1>"RT,AVG,MAX,MIN,SUM,COUNT"</formula1>
    </dataValidation>
    <dataValidation type="list" allowBlank="1" showInputMessage="1" showErrorMessage="1" sqref="C4" xr:uid="{00000000-0002-0000-0600-000002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settings</vt:lpstr>
      <vt:lpstr>Device info</vt:lpstr>
      <vt:lpstr>DailyReport</vt:lpstr>
      <vt:lpstr>MonthlyReport</vt:lpstr>
      <vt:lpstr>AdvancedReport</vt:lpstr>
      <vt:lpstr>24 Hours</vt:lpstr>
      <vt:lpstr>31 Days</vt:lpstr>
      <vt:lpstr>12 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Ahmed saadawy</cp:lastModifiedBy>
  <cp:lastPrinted>2018-07-08T14:23:53Z</cp:lastPrinted>
  <dcterms:created xsi:type="dcterms:W3CDTF">2011-08-25T14:29:57Z</dcterms:created>
  <dcterms:modified xsi:type="dcterms:W3CDTF">2024-07-10T21:13:06Z</dcterms:modified>
</cp:coreProperties>
</file>