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22B1432F-9C9B-4294-8847-4760CA34EC4E}" xr6:coauthVersionLast="47" xr6:coauthVersionMax="47" xr10:uidLastSave="{00000000-0000-0000-0000-000000000000}"/>
  <bookViews>
    <workbookView minimized="1" xWindow="2940" yWindow="2940" windowWidth="21600" windowHeight="11295" firstSheet="4" activeTab="4" xr2:uid="{00000000-000D-0000-FFFF-FFFF00000000}"/>
  </bookViews>
  <sheets>
    <sheet name="settings" sheetId="11" state="hidden" r:id="rId1"/>
    <sheet name="DailyReport" sheetId="12" state="hidden" r:id="rId2"/>
    <sheet name="MonthlyReport" sheetId="13" state="hidden" r:id="rId3"/>
    <sheet name="AdvancedReport" sheetId="14" state="hidden" r:id="rId4"/>
    <sheet name="24 Hours" sheetId="16" r:id="rId5"/>
    <sheet name="31 Days" sheetId="17" r:id="rId6"/>
    <sheet name="12 Months" sheetId="18" r:id="rId7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3" i="18" l="1"/>
  <c r="Z3" i="17"/>
  <c r="Z3" i="16"/>
  <c r="B11" i="17"/>
  <c r="J11" i="18" a="1"/>
  <c r="J11" i="17" a="1"/>
  <c r="I11" i="18" a="1"/>
  <c r="E11" i="17" a="1"/>
  <c r="L11" i="18" a="1"/>
  <c r="H11" i="17" a="1"/>
  <c r="L11" i="17" a="1"/>
  <c r="F11" i="18" a="1"/>
  <c r="D11" i="17" a="1"/>
  <c r="E11" i="18" a="1"/>
  <c r="H11" i="18" a="1"/>
  <c r="D11" i="18" a="1"/>
  <c r="G11" i="18" a="1"/>
  <c r="C11" i="17" a="1"/>
  <c r="K11" i="18" a="1"/>
  <c r="C11" i="18" a="1"/>
  <c r="K11" i="17" a="1"/>
  <c r="I11" i="17" a="1"/>
  <c r="G11" i="17" a="1"/>
  <c r="F11" i="17" a="1"/>
  <c r="G11" i="18" l="1"/>
  <c r="E11" i="18"/>
  <c r="F11" i="18"/>
  <c r="L11" i="18"/>
  <c r="I11" i="18"/>
  <c r="J11" i="18"/>
  <c r="C11" i="18"/>
  <c r="K11" i="18"/>
  <c r="D11" i="18"/>
  <c r="H11" i="18"/>
  <c r="I11" i="17"/>
  <c r="F11" i="17"/>
  <c r="C11" i="17"/>
  <c r="G11" i="17"/>
  <c r="D11" i="17"/>
  <c r="H11" i="17"/>
  <c r="E11" i="17"/>
  <c r="J11" i="17"/>
  <c r="K11" i="17"/>
  <c r="L11" i="17"/>
  <c r="I11" i="16" a="1"/>
  <c r="C11" i="16" a="1"/>
  <c r="L11" i="16" a="1"/>
  <c r="H11" i="16" a="1"/>
  <c r="F11" i="16" a="1"/>
  <c r="J11" i="16" a="1"/>
  <c r="E11" i="16" a="1"/>
  <c r="K11" i="16" a="1"/>
  <c r="G11" i="16" a="1"/>
  <c r="D11" i="16" a="1"/>
  <c r="F11" i="16" l="1"/>
  <c r="E11" i="16"/>
  <c r="D11" i="16"/>
  <c r="J11" i="16"/>
  <c r="H11" i="16"/>
  <c r="K11" i="16"/>
  <c r="L11" i="16"/>
  <c r="I11" i="16"/>
  <c r="G11" i="16"/>
  <c r="C11" i="16"/>
  <c r="O5" i="11"/>
  <c r="O4" i="11"/>
  <c r="B11" i="18" l="1"/>
  <c r="B11" i="16"/>
  <c r="B9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<sst xmlns="http://schemas.openxmlformats.org/spreadsheetml/2006/main" count="113" uniqueCount="31">
  <si>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</si>
  <si>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</si>
  <si>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</si>
  <si>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</si>
  <si>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</si>
  <si>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</si>
  <si>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</si>
  <si>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</si>
  <si>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</si>
  <si>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</si>
  <si>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</si>
  <si>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</si>
  <si>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/Historical/AllDaysData/DEFAULT?TagName=TEST.SIM1&amp;MonthDate=2018-08-01</t>
  </si>
  <si>
    <t>/Historical/AllMonthsData/DEFAULT?TagName=TEST.SIM1&amp;YearDate=2018-08-01</t>
  </si>
  <si>
    <t>RT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</si>
  <si>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</si>
  <si>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</si>
  <si>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C:\Users\ahmed\OneDrive - streamcontrols.com\Desktop\Work\Hunter\HunterApp\Reports\</t>
  </si>
  <si>
    <t>WEATHER ET</t>
  </si>
  <si>
    <t>Weather Station</t>
  </si>
  <si>
    <t>AirTemp</t>
  </si>
  <si>
    <t>Humidity</t>
  </si>
  <si>
    <t>RainFall</t>
  </si>
  <si>
    <t>AccumETO</t>
  </si>
  <si>
    <t>Hours</t>
  </si>
  <si>
    <t>Atmospheric Pressure</t>
  </si>
  <si>
    <t>Solar Radiation</t>
  </si>
  <si>
    <t>Wind Direction</t>
  </si>
  <si>
    <t>Wind Speed</t>
  </si>
  <si>
    <t>Previous Day ETO</t>
  </si>
  <si>
    <t>Seasonal Adjustment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</si>
</sst>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E4E1D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6" fillId="5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0" fillId="6" borderId="1" xfId="0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47ABD1"/>
      <color rgb="FFE4E1D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123825</xdr:rowOff>
        </xdr:from>
        <xdr:to>
          <xdr:col>3</xdr:col>
          <xdr:colOff>1000125</xdr:colOff>
          <xdr:row>6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104775</xdr:rowOff>
        </xdr:from>
        <xdr:to>
          <xdr:col>3</xdr:col>
          <xdr:colOff>1000125</xdr:colOff>
          <xdr:row>5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104775</xdr:rowOff>
        </xdr:from>
        <xdr:to>
          <xdr:col>3</xdr:col>
          <xdr:colOff>1000125</xdr:colOff>
          <xdr:row>4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5"/>
  <sheetViews>
    <sheetView workbookViewId="0">
      <selection activeCell="H16" sqref="H16"/>
    </sheetView>
  </sheetViews>
  <sheetFormatPr defaultRowHeight="15" x14ac:dyDescent="0.25"/>
  <cols>
    <col min="1" max="1" width="19.42578125" customWidth="1"/>
    <col min="2" max="2" width="21.85546875" bestFit="1" customWidth="1"/>
    <col min="10" max="11" width="9.140625" hidden="1" customWidth="1"/>
    <col min="15" max="15" width="0" hidden="1" customWidth="1"/>
  </cols>
  <sheetData>
    <row r="1" spans="1:15" x14ac:dyDescent="0.25">
      <c r="A1" t="s">
        <v>5</v>
      </c>
      <c r="B1" s="13" t="s">
        <v>16</v>
      </c>
    </row>
    <row r="2" spans="1:15" x14ac:dyDescent="0.25">
      <c r="A2" t="s">
        <v>6</v>
      </c>
      <c r="B2" s="12">
        <v>12</v>
      </c>
      <c r="O2" t="s">
        <v>17</v>
      </c>
    </row>
    <row r="4" spans="1:15" x14ac:dyDescent="0.25">
      <c r="A4" t="s">
        <v>15</v>
      </c>
      <c r="O4" t="str">
        <f>CONCATENATE(O2,"ReportText\Wlable.txt")</f>
        <v>C:\Users\ahmed\OneDrive - streamcontrols.com\Desktop\Work\Hunter\HunterApp\Reports\ReportText\Wlable.txt</v>
      </c>
    </row>
    <row r="5" spans="1:15" x14ac:dyDescent="0.25">
      <c r="O5" t="str">
        <f>CONCATENATE(O2,"ReportText\WName.txt")</f>
        <v>C:\Users\ahmed\OneDrive - streamcontrols.com\Desktop\Work\Hunter\HunterApp\Reports\ReportText\WName.txt</v>
      </c>
    </row>
  </sheetData>
  <hyperlinks>
    <hyperlink ref="B1" r:id="rId1" xr:uid="{161E075D-C8B4-4029-B928-920504FD4A81}"/>
  </hyperlinks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13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Z35"/>
  <sheetViews>
    <sheetView tabSelected="1" zoomScale="85" zoomScaleNormal="85" workbookViewId="0">
      <selection activeCell="D30" sqref="D30"/>
    </sheetView>
  </sheetViews>
  <sheetFormatPr defaultRowHeight="15" x14ac:dyDescent="0.25"/>
  <cols>
    <col min="1" max="1" width="3.42578125" customWidth="1"/>
    <col min="2" max="2" width="15.85546875" customWidth="1"/>
    <col min="3" max="3" width="23.42578125" style="3" customWidth="1"/>
    <col min="4" max="4" width="25.85546875" style="3" customWidth="1"/>
    <col min="5" max="5" width="26.140625" customWidth="1"/>
    <col min="6" max="6" width="27.140625" customWidth="1"/>
    <col min="7" max="7" width="27.42578125" customWidth="1"/>
    <col min="8" max="9" width="27.140625" customWidth="1"/>
    <col min="10" max="10" width="26.42578125" customWidth="1"/>
    <col min="11" max="11" width="25.5703125" customWidth="1"/>
    <col min="12" max="12" width="26.7109375" customWidth="1"/>
    <col min="13" max="16" width="12.28515625" bestFit="1" customWidth="1"/>
    <col min="25" max="25" width="13.28515625" customWidth="1"/>
    <col min="26" max="26" width="6.42578125" hidden="1" customWidth="1"/>
  </cols>
  <sheetData>
    <row r="2" spans="2:26" x14ac:dyDescent="0.25">
      <c r="B2" s="17" t="s">
        <v>3</v>
      </c>
      <c r="C2" s="16" t="s">
        <v>18</v>
      </c>
    </row>
    <row r="3" spans="2:26" x14ac:dyDescent="0.25">
      <c r="B3" s="17" t="s">
        <v>8</v>
      </c>
      <c r="C3" s="16" t="s">
        <v>9</v>
      </c>
      <c r="Z3" t="e">
        <f>(MATCH(C7, settings!K1:K100, 0))</f>
        <v>#N/A</v>
      </c>
    </row>
    <row r="4" spans="2:26" x14ac:dyDescent="0.25">
      <c r="B4" s="17" t="s">
        <v>0</v>
      </c>
      <c r="C4" s="16">
        <v>2024</v>
      </c>
    </row>
    <row r="5" spans="2:26" x14ac:dyDescent="0.25">
      <c r="B5" s="17" t="s">
        <v>1</v>
      </c>
      <c r="C5" s="16">
        <v>7</v>
      </c>
    </row>
    <row r="6" spans="2:26" x14ac:dyDescent="0.25">
      <c r="B6" s="17" t="s">
        <v>2</v>
      </c>
      <c r="C6" s="16">
        <v>13</v>
      </c>
    </row>
    <row r="7" spans="2:26" x14ac:dyDescent="0.25">
      <c r="B7" s="17" t="s">
        <v>19</v>
      </c>
      <c r="C7" s="16"/>
    </row>
    <row r="8" spans="2:26" x14ac:dyDescent="0.25">
      <c r="B8" s="3"/>
    </row>
    <row r="9" spans="2:26" ht="26.25" customHeight="1" x14ac:dyDescent="0.25">
      <c r="B9" s="14" t="s">
        <v>24</v>
      </c>
      <c r="C9" s="14" t="s">
        <v>20</v>
      </c>
      <c r="D9" s="14" t="s">
        <v>25</v>
      </c>
      <c r="E9" s="14" t="s">
        <v>21</v>
      </c>
      <c r="F9" s="14" t="s">
        <v>22</v>
      </c>
      <c r="G9" s="14" t="s">
        <v>26</v>
      </c>
      <c r="H9" s="14" t="s">
        <v>27</v>
      </c>
      <c r="I9" s="14" t="s">
        <v>28</v>
      </c>
      <c r="J9" s="14" t="s">
        <v>23</v>
      </c>
      <c r="K9" s="14" t="s">
        <v>29</v>
      </c>
      <c r="L9" s="14" t="s">
        <v>30</v>
      </c>
    </row>
    <row r="10" spans="2:26" ht="15.75" customHeight="1" x14ac:dyDescent="0.25">
      <c r="B10" s="15"/>
      <c r="C10" s="16" t="s">
        <v>14</v>
      </c>
      <c r="D10" s="16" t="s">
        <v>14</v>
      </c>
      <c r="E10" s="16" t="s">
        <v>14</v>
      </c>
      <c r="F10" s="16" t="s">
        <v>14</v>
      </c>
      <c r="G10" s="16" t="s">
        <v>14</v>
      </c>
      <c r="H10" s="16" t="s">
        <v>14</v>
      </c>
      <c r="I10" s="16" t="s">
        <v>14</v>
      </c>
      <c r="J10" s="16" t="s">
        <v>14</v>
      </c>
      <c r="K10" s="16" t="s">
        <v>14</v>
      </c>
      <c r="L10" s="16" t="s">
        <v>14</v>
      </c>
    </row>
    <row r="11" spans="2:26" ht="24.75" hidden="1" customHeight="1" x14ac:dyDescent="0.25">
      <c r="B11" s="5" t="str">
        <f>C3</f>
        <v>Hourly</v>
      </c>
      <c r="C11" s="9" t="e" cm="1">
        <f t="array" aca="1" ref="C11" ca="1">CONCATENATE(INDIRECT("settings!J" &amp; Z3), ".Weather_AirTemp")</f>
        <v>#N/A</v>
      </c>
      <c r="D11" s="9" t="e" cm="1">
        <f t="array" aca="1" ref="D11" ca="1">CONCATENATE(INDIRECT("settings!J" &amp; Z3), ".Weather_AtmosphericPressure")</f>
        <v>#N/A</v>
      </c>
      <c r="E11" s="9" t="e" cm="1">
        <f t="array" aca="1" ref="E11" ca="1">CONCATENATE(INDIRECT("settings!J" &amp; Z3), ".Weather_Humidity")</f>
        <v>#N/A</v>
      </c>
      <c r="F11" s="9" t="e" cm="1">
        <f t="array" aca="1" ref="F11" ca="1">CONCATENATE(INDIRECT("settings!J" &amp; Z3), ".Weather_RainFall")</f>
        <v>#N/A</v>
      </c>
      <c r="G11" s="9" t="e" cm="1">
        <f t="array" aca="1" ref="G11" ca="1">CONCATENATE(INDIRECT("settings!J" &amp; Z3), ".Weather_SolarRadiation")</f>
        <v>#N/A</v>
      </c>
      <c r="H11" s="9" t="e" cm="1">
        <f t="array" aca="1" ref="H11" ca="1">CONCATENATE(INDIRECT("settings!J" &amp; Z3), ".Weather_WindDirection")</f>
        <v>#N/A</v>
      </c>
      <c r="I11" s="9" t="e" cm="1">
        <f t="array" aca="1" ref="I11" ca="1">CONCATENATE(INDIRECT("settings!J" &amp; Z3), ".Weather_WindSpeed")</f>
        <v>#N/A</v>
      </c>
      <c r="J11" s="9" t="e" cm="1">
        <f t="array" aca="1" ref="J11" ca="1">CONCATENATE(INDIRECT("settings!J" &amp; Z3), ".Weather_AccumETO")</f>
        <v>#N/A</v>
      </c>
      <c r="K11" s="9" t="e" cm="1">
        <f t="array" aca="1" ref="K11" ca="1">CONCATENATE(INDIRECT("settings!J" &amp; Z3), ".Weather_PreviosDayETO")</f>
        <v>#N/A</v>
      </c>
      <c r="L11" s="9" t="e" cm="1">
        <f t="array" aca="1" ref="L11" ca="1">CONCATENATE(INDIRECT("settings!J" &amp; Z3), ".ETO_Equation")</f>
        <v>#N/A</v>
      </c>
    </row>
    <row r="12" spans="2:26" x14ac:dyDescent="0.25">
      <c r="B12" s="4">
        <v>0</v>
      </c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2:26" x14ac:dyDescent="0.25">
      <c r="B13" s="1">
        <v>1</v>
      </c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2:26" x14ac:dyDescent="0.25">
      <c r="B14" s="4">
        <v>2</v>
      </c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2:26" x14ac:dyDescent="0.25">
      <c r="B15" s="4">
        <v>3</v>
      </c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2:26" x14ac:dyDescent="0.25">
      <c r="B16" s="4">
        <v>4</v>
      </c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2:12" x14ac:dyDescent="0.25">
      <c r="B17" s="1">
        <v>5</v>
      </c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2:12" x14ac:dyDescent="0.25">
      <c r="B18" s="4">
        <v>6</v>
      </c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2:12" x14ac:dyDescent="0.25">
      <c r="B19" s="4">
        <v>7</v>
      </c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2:12" x14ac:dyDescent="0.25">
      <c r="B20" s="4">
        <v>8</v>
      </c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2:12" x14ac:dyDescent="0.25">
      <c r="B21" s="1">
        <v>9</v>
      </c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2:12" x14ac:dyDescent="0.25">
      <c r="B22" s="4">
        <v>10</v>
      </c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2:12" x14ac:dyDescent="0.25">
      <c r="B23" s="4">
        <v>11</v>
      </c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2:12" x14ac:dyDescent="0.25">
      <c r="B24" s="4">
        <v>12</v>
      </c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2:12" x14ac:dyDescent="0.25">
      <c r="B25" s="1">
        <v>13</v>
      </c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2:12" x14ac:dyDescent="0.25">
      <c r="B26" s="4">
        <v>14</v>
      </c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2:12" x14ac:dyDescent="0.25">
      <c r="B27" s="4">
        <v>15</v>
      </c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2:12" x14ac:dyDescent="0.25">
      <c r="B28" s="1">
        <v>16</v>
      </c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2:12" x14ac:dyDescent="0.25">
      <c r="B29" s="4">
        <v>17</v>
      </c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2:12" x14ac:dyDescent="0.25">
      <c r="B30" s="4">
        <v>18</v>
      </c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2:12" x14ac:dyDescent="0.25">
      <c r="B31" s="4">
        <v>19</v>
      </c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2:12" x14ac:dyDescent="0.25">
      <c r="B32" s="1">
        <v>20</v>
      </c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2:12" x14ac:dyDescent="0.25">
      <c r="B33" s="4">
        <v>21</v>
      </c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2:12" x14ac:dyDescent="0.25">
      <c r="B34" s="4">
        <v>22</v>
      </c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12" x14ac:dyDescent="0.25">
      <c r="B35" s="4">
        <v>23</v>
      </c>
      <c r="C35" s="6"/>
      <c r="D35" s="6"/>
      <c r="E35" s="6"/>
      <c r="F35" s="6"/>
      <c r="G35" s="6"/>
      <c r="H35" s="6"/>
      <c r="I35" s="6"/>
      <c r="J35" s="6"/>
      <c r="K35" s="6"/>
      <c r="L35" s="6"/>
    </row>
  </sheetData>
  <dataValidations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10:L10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123825</xdr:rowOff>
                  </from>
                  <to>
                    <xdr:col>3</xdr:col>
                    <xdr:colOff>1000125</xdr:colOff>
                    <xdr:row>6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B262EB-2D5E-496F-A9B3-55F2DD140F0C}">
          <x14:formula1>
            <xm:f>settings!$K:$K</xm:f>
          </x14:formula1>
          <xm:sqref>F4 C7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Z42"/>
  <sheetViews>
    <sheetView zoomScale="85" zoomScaleNormal="85" workbookViewId="0">
      <selection activeCell="C6" sqref="C6"/>
    </sheetView>
  </sheetViews>
  <sheetFormatPr defaultRowHeight="15" x14ac:dyDescent="0.25"/>
  <cols>
    <col min="1" max="1" width="3.42578125" customWidth="1"/>
    <col min="2" max="2" width="15.85546875" customWidth="1"/>
    <col min="3" max="3" width="22.5703125" style="3" customWidth="1"/>
    <col min="4" max="4" width="25.42578125" style="3" customWidth="1"/>
    <col min="5" max="5" width="22.85546875" customWidth="1"/>
    <col min="6" max="6" width="23.42578125" customWidth="1"/>
    <col min="7" max="7" width="22.7109375" customWidth="1"/>
    <col min="8" max="8" width="23" customWidth="1"/>
    <col min="9" max="9" width="21.42578125" customWidth="1"/>
    <col min="10" max="10" width="23.140625" customWidth="1"/>
    <col min="11" max="11" width="24" customWidth="1"/>
    <col min="12" max="12" width="25" customWidth="1"/>
    <col min="13" max="16" width="12.28515625" bestFit="1" customWidth="1"/>
    <col min="26" max="26" width="0" hidden="1" customWidth="1"/>
  </cols>
  <sheetData>
    <row r="2" spans="2:26" x14ac:dyDescent="0.25">
      <c r="B2" s="17" t="s">
        <v>3</v>
      </c>
      <c r="C2" s="16" t="s">
        <v>18</v>
      </c>
    </row>
    <row r="3" spans="2:26" x14ac:dyDescent="0.25">
      <c r="B3" s="17" t="s">
        <v>8</v>
      </c>
      <c r="C3" s="16" t="s">
        <v>10</v>
      </c>
      <c r="Z3" t="e">
        <f>(MATCH(C6, settings!K1:K100, 0))</f>
        <v>#N/A</v>
      </c>
    </row>
    <row r="4" spans="2:26" x14ac:dyDescent="0.25">
      <c r="B4" s="17" t="s">
        <v>0</v>
      </c>
      <c r="C4" s="16">
        <v>2024</v>
      </c>
    </row>
    <row r="5" spans="2:26" x14ac:dyDescent="0.25">
      <c r="B5" s="17" t="s">
        <v>1</v>
      </c>
      <c r="C5" s="16">
        <v>7</v>
      </c>
    </row>
    <row r="6" spans="2:26" x14ac:dyDescent="0.25">
      <c r="B6" s="17" t="s">
        <v>19</v>
      </c>
      <c r="C6" s="16"/>
    </row>
    <row r="7" spans="2:26" x14ac:dyDescent="0.25">
      <c r="C7"/>
    </row>
    <row r="8" spans="2:26" x14ac:dyDescent="0.25">
      <c r="C8"/>
    </row>
    <row r="9" spans="2:26" ht="26.25" customHeight="1" x14ac:dyDescent="0.25">
      <c r="B9" s="14" t="s">
        <v>10</v>
      </c>
      <c r="C9" s="14" t="s">
        <v>20</v>
      </c>
      <c r="D9" s="14" t="s">
        <v>25</v>
      </c>
      <c r="E9" s="14" t="s">
        <v>21</v>
      </c>
      <c r="F9" s="14" t="s">
        <v>22</v>
      </c>
      <c r="G9" s="14" t="s">
        <v>26</v>
      </c>
      <c r="H9" s="14" t="s">
        <v>27</v>
      </c>
      <c r="I9" s="14" t="s">
        <v>28</v>
      </c>
      <c r="J9" s="14" t="s">
        <v>23</v>
      </c>
      <c r="K9" s="14" t="s">
        <v>29</v>
      </c>
      <c r="L9" s="14" t="s">
        <v>30</v>
      </c>
    </row>
    <row r="10" spans="2:26" x14ac:dyDescent="0.25">
      <c r="B10" s="18"/>
      <c r="C10" s="16" t="s">
        <v>14</v>
      </c>
      <c r="D10" s="16" t="s">
        <v>14</v>
      </c>
      <c r="E10" s="16" t="s">
        <v>14</v>
      </c>
      <c r="F10" s="16" t="s">
        <v>14</v>
      </c>
      <c r="G10" s="16" t="s">
        <v>14</v>
      </c>
      <c r="H10" s="16" t="s">
        <v>14</v>
      </c>
      <c r="I10" s="16" t="s">
        <v>14</v>
      </c>
      <c r="J10" s="16" t="s">
        <v>14</v>
      </c>
      <c r="K10" s="16" t="s">
        <v>14</v>
      </c>
      <c r="L10" s="16" t="s">
        <v>14</v>
      </c>
    </row>
    <row r="11" spans="2:26" ht="24.75" hidden="1" customHeight="1" x14ac:dyDescent="0.25">
      <c r="B11" s="5" t="str">
        <f>C3</f>
        <v>Daily</v>
      </c>
      <c r="C11" s="9" t="e" cm="1">
        <f t="array" aca="1" ref="C11" ca="1">CONCATENATE(INDIRECT("settings!J" &amp; Z3), ".Weather_AirTemp")</f>
        <v>#N/A</v>
      </c>
      <c r="D11" s="9" t="e" cm="1">
        <f t="array" aca="1" ref="D11" ca="1">CONCATENATE(INDIRECT("settings!J" &amp; Z3), ".Weather_AtmosphericPressure")</f>
        <v>#N/A</v>
      </c>
      <c r="E11" s="9" t="e" cm="1">
        <f t="array" aca="1" ref="E11" ca="1">CONCATENATE(INDIRECT("settings!J" &amp; Z3), ".Weather_Humidity")</f>
        <v>#N/A</v>
      </c>
      <c r="F11" s="9" t="e" cm="1">
        <f t="array" aca="1" ref="F11" ca="1">CONCATENATE(INDIRECT("settings!J" &amp; Z3), ".Weather_RainFall")</f>
        <v>#N/A</v>
      </c>
      <c r="G11" s="9" t="e" cm="1">
        <f t="array" aca="1" ref="G11" ca="1">CONCATENATE(INDIRECT("settings!J" &amp; Z3), ".Weather_SolarRadiation")</f>
        <v>#N/A</v>
      </c>
      <c r="H11" s="9" t="e" cm="1">
        <f t="array" aca="1" ref="H11" ca="1">CONCATENATE(INDIRECT("settings!J" &amp; Z3), ".Weather_WindDirection")</f>
        <v>#N/A</v>
      </c>
      <c r="I11" s="9" t="e" cm="1">
        <f t="array" aca="1" ref="I11" ca="1">CONCATENATE(INDIRECT("settings!J" &amp; Z3), ".Weather_WindSpeed")</f>
        <v>#N/A</v>
      </c>
      <c r="J11" s="9" t="e" cm="1">
        <f t="array" aca="1" ref="J11" ca="1">CONCATENATE(INDIRECT("settings!J" &amp; Z3), ".Weather_AccumETO")</f>
        <v>#N/A</v>
      </c>
      <c r="K11" s="9" t="e" cm="1">
        <f t="array" aca="1" ref="K11" ca="1">CONCATENATE(INDIRECT("settings!J" &amp; Z3), ".Weather_PreviosDayETO")</f>
        <v>#N/A</v>
      </c>
      <c r="L11" s="9" t="e" cm="1">
        <f t="array" aca="1" ref="L11" ca="1">CONCATENATE(INDIRECT("settings!J" &amp; Z3), ".ETO_Equation")</f>
        <v>#N/A</v>
      </c>
    </row>
    <row r="12" spans="2:26" x14ac:dyDescent="0.25">
      <c r="B12" s="4">
        <v>1</v>
      </c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2:26" x14ac:dyDescent="0.25">
      <c r="B13" s="1">
        <v>2</v>
      </c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2:26" x14ac:dyDescent="0.25">
      <c r="B14" s="4">
        <v>3</v>
      </c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2:26" x14ac:dyDescent="0.25">
      <c r="B15" s="4">
        <v>4</v>
      </c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2:26" x14ac:dyDescent="0.25">
      <c r="B16" s="4">
        <v>5</v>
      </c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2:12" x14ac:dyDescent="0.25">
      <c r="B17" s="4">
        <v>6</v>
      </c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2:12" x14ac:dyDescent="0.25">
      <c r="B18" s="4">
        <v>7</v>
      </c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2:12" x14ac:dyDescent="0.25">
      <c r="B19" s="4">
        <v>8</v>
      </c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2:12" x14ac:dyDescent="0.25">
      <c r="B20" s="4">
        <v>9</v>
      </c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2:12" x14ac:dyDescent="0.25">
      <c r="B21" s="4">
        <v>10</v>
      </c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2:12" x14ac:dyDescent="0.25">
      <c r="B22" s="4">
        <v>11</v>
      </c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2:12" x14ac:dyDescent="0.25">
      <c r="B23" s="4">
        <v>12</v>
      </c>
      <c r="C23" s="6"/>
      <c r="D23" s="6"/>
      <c r="E23" s="6"/>
      <c r="F23" s="6"/>
      <c r="G23" s="6"/>
      <c r="H23" s="6"/>
      <c r="I23" s="6"/>
      <c r="J23" s="6"/>
      <c r="K23" s="6"/>
      <c r="L23" s="6"/>
    </row>
    <row r="24" spans="2:12" x14ac:dyDescent="0.25">
      <c r="B24" s="4">
        <v>13</v>
      </c>
      <c r="C24" s="6"/>
      <c r="D24" s="6"/>
      <c r="E24" s="6"/>
      <c r="F24" s="6"/>
      <c r="G24" s="6"/>
      <c r="H24" s="6"/>
      <c r="I24" s="6"/>
      <c r="J24" s="6"/>
      <c r="K24" s="6"/>
      <c r="L24" s="6"/>
    </row>
    <row r="25" spans="2:12" x14ac:dyDescent="0.25">
      <c r="B25" s="4">
        <v>14</v>
      </c>
      <c r="C25" s="6"/>
      <c r="D25" s="6"/>
      <c r="E25" s="6"/>
      <c r="F25" s="6"/>
      <c r="G25" s="6"/>
      <c r="H25" s="6"/>
      <c r="I25" s="6"/>
      <c r="J25" s="6"/>
      <c r="K25" s="6"/>
      <c r="L25" s="6"/>
    </row>
    <row r="26" spans="2:12" x14ac:dyDescent="0.25">
      <c r="B26" s="4">
        <v>15</v>
      </c>
      <c r="C26" s="6"/>
      <c r="D26" s="6"/>
      <c r="E26" s="6"/>
      <c r="F26" s="6"/>
      <c r="G26" s="6"/>
      <c r="H26" s="6"/>
      <c r="I26" s="6"/>
      <c r="J26" s="6"/>
      <c r="K26" s="6"/>
      <c r="L26" s="6"/>
    </row>
    <row r="27" spans="2:12" x14ac:dyDescent="0.25">
      <c r="B27" s="4">
        <v>16</v>
      </c>
      <c r="C27" s="6"/>
      <c r="D27" s="6"/>
      <c r="E27" s="6"/>
      <c r="F27" s="6"/>
      <c r="G27" s="6"/>
      <c r="H27" s="6"/>
      <c r="I27" s="6"/>
      <c r="J27" s="6"/>
      <c r="K27" s="6"/>
      <c r="L27" s="6"/>
    </row>
    <row r="28" spans="2:12" x14ac:dyDescent="0.25">
      <c r="B28" s="4">
        <v>17</v>
      </c>
      <c r="C28" s="6"/>
      <c r="D28" s="6"/>
      <c r="E28" s="6"/>
      <c r="F28" s="6"/>
      <c r="G28" s="6"/>
      <c r="H28" s="6"/>
      <c r="I28" s="6"/>
      <c r="J28" s="6"/>
      <c r="K28" s="6"/>
      <c r="L28" s="6"/>
    </row>
    <row r="29" spans="2:12" x14ac:dyDescent="0.25">
      <c r="B29" s="4">
        <v>18</v>
      </c>
      <c r="C29" s="6"/>
      <c r="D29" s="6"/>
      <c r="E29" s="6"/>
      <c r="F29" s="6"/>
      <c r="G29" s="6"/>
      <c r="H29" s="6"/>
      <c r="I29" s="6"/>
      <c r="J29" s="6"/>
      <c r="K29" s="6"/>
      <c r="L29" s="6"/>
    </row>
    <row r="30" spans="2:12" x14ac:dyDescent="0.25">
      <c r="B30" s="4">
        <v>19</v>
      </c>
      <c r="C30" s="6"/>
      <c r="D30" s="6"/>
      <c r="E30" s="6"/>
      <c r="F30" s="6"/>
      <c r="G30" s="6"/>
      <c r="H30" s="6"/>
      <c r="I30" s="6"/>
      <c r="J30" s="6"/>
      <c r="K30" s="6"/>
      <c r="L30" s="6"/>
    </row>
    <row r="31" spans="2:12" x14ac:dyDescent="0.25">
      <c r="B31" s="4">
        <v>20</v>
      </c>
      <c r="C31" s="6"/>
      <c r="D31" s="6"/>
      <c r="E31" s="6"/>
      <c r="F31" s="6"/>
      <c r="G31" s="6"/>
      <c r="H31" s="6"/>
      <c r="I31" s="6"/>
      <c r="J31" s="6"/>
      <c r="K31" s="6"/>
      <c r="L31" s="6"/>
    </row>
    <row r="32" spans="2:12" x14ac:dyDescent="0.25">
      <c r="B32" s="4">
        <v>21</v>
      </c>
      <c r="C32" s="6"/>
      <c r="D32" s="6"/>
      <c r="E32" s="6"/>
      <c r="F32" s="6"/>
      <c r="G32" s="6"/>
      <c r="H32" s="6"/>
      <c r="I32" s="6"/>
      <c r="J32" s="6"/>
      <c r="K32" s="6"/>
      <c r="L32" s="6"/>
    </row>
    <row r="33" spans="2:12" x14ac:dyDescent="0.25">
      <c r="B33" s="4">
        <v>22</v>
      </c>
      <c r="C33" s="6"/>
      <c r="D33" s="6"/>
      <c r="E33" s="6"/>
      <c r="F33" s="6"/>
      <c r="G33" s="6"/>
      <c r="H33" s="6"/>
      <c r="I33" s="6"/>
      <c r="J33" s="6"/>
      <c r="K33" s="6"/>
      <c r="L33" s="6"/>
    </row>
    <row r="34" spans="2:12" x14ac:dyDescent="0.25">
      <c r="B34" s="4">
        <v>23</v>
      </c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12" x14ac:dyDescent="0.25">
      <c r="B35" s="4">
        <v>24</v>
      </c>
      <c r="C35" s="6"/>
      <c r="D35" s="6"/>
      <c r="E35" s="6"/>
      <c r="F35" s="6"/>
      <c r="G35" s="6"/>
      <c r="H35" s="6"/>
      <c r="I35" s="6"/>
      <c r="J35" s="6"/>
      <c r="K35" s="6"/>
      <c r="L35" s="6"/>
    </row>
    <row r="36" spans="2:12" x14ac:dyDescent="0.25">
      <c r="B36" s="4">
        <v>25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</row>
    <row r="37" spans="2:12" x14ac:dyDescent="0.25">
      <c r="B37" s="4">
        <v>26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</row>
    <row r="38" spans="2:12" x14ac:dyDescent="0.25">
      <c r="B38" s="4">
        <v>27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</row>
    <row r="39" spans="2:12" x14ac:dyDescent="0.25">
      <c r="B39" s="4">
        <v>28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</row>
    <row r="40" spans="2:12" x14ac:dyDescent="0.25">
      <c r="B40" s="4">
        <v>29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</row>
    <row r="41" spans="2:12" x14ac:dyDescent="0.25">
      <c r="B41" s="4">
        <v>30</v>
      </c>
      <c r="C41" s="10"/>
      <c r="D41" s="10"/>
      <c r="E41" s="11"/>
      <c r="F41" s="11"/>
      <c r="G41" s="11"/>
      <c r="H41" s="11"/>
      <c r="I41" s="11"/>
      <c r="J41" s="11"/>
      <c r="K41" s="11"/>
      <c r="L41" s="11"/>
    </row>
    <row r="42" spans="2:12" x14ac:dyDescent="0.25">
      <c r="B42" s="4">
        <v>31</v>
      </c>
      <c r="C42" s="10"/>
      <c r="D42" s="10"/>
      <c r="E42" s="11"/>
      <c r="F42" s="11"/>
      <c r="G42" s="11"/>
      <c r="H42" s="11"/>
      <c r="I42" s="11"/>
      <c r="J42" s="11"/>
      <c r="K42" s="11"/>
      <c r="L42" s="11"/>
    </row>
  </sheetData>
  <dataValidations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10:L10" xr:uid="{3A76445E-14D0-44A5-9BF6-6E7DA8C73965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104775</xdr:rowOff>
                  </from>
                  <to>
                    <xdr:col>3</xdr:col>
                    <xdr:colOff>1000125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C9F6CC0-E228-4EF8-8F73-9B9E3CC4FE5B}">
          <x14:formula1>
            <xm:f>settings!$K:$K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Z23"/>
  <sheetViews>
    <sheetView zoomScale="85" zoomScaleNormal="85" workbookViewId="0">
      <selection activeCell="C5" sqref="C5"/>
    </sheetView>
  </sheetViews>
  <sheetFormatPr defaultRowHeight="15" x14ac:dyDescent="0.25"/>
  <cols>
    <col min="1" max="1" width="3.42578125" customWidth="1"/>
    <col min="2" max="2" width="15.85546875" customWidth="1"/>
    <col min="3" max="3" width="22.85546875" style="3" customWidth="1"/>
    <col min="4" max="4" width="24.5703125" style="3" customWidth="1"/>
    <col min="5" max="5" width="24.28515625" customWidth="1"/>
    <col min="6" max="6" width="23.28515625" customWidth="1"/>
    <col min="7" max="7" width="25.85546875" customWidth="1"/>
    <col min="8" max="8" width="25.140625" customWidth="1"/>
    <col min="9" max="9" width="24.7109375" customWidth="1"/>
    <col min="10" max="10" width="22.42578125" customWidth="1"/>
    <col min="11" max="11" width="22" customWidth="1"/>
    <col min="12" max="12" width="24.7109375" customWidth="1"/>
    <col min="13" max="16" width="12.28515625" bestFit="1" customWidth="1"/>
    <col min="26" max="26" width="0" hidden="1" customWidth="1"/>
  </cols>
  <sheetData>
    <row r="2" spans="2:26" x14ac:dyDescent="0.25">
      <c r="B2" s="17" t="s">
        <v>3</v>
      </c>
      <c r="C2" s="16" t="s">
        <v>18</v>
      </c>
    </row>
    <row r="3" spans="2:26" x14ac:dyDescent="0.25">
      <c r="B3" s="17" t="s">
        <v>8</v>
      </c>
      <c r="C3" s="16" t="s">
        <v>11</v>
      </c>
      <c r="Z3" t="e">
        <f>(MATCH(C5, settings!K1:K100, 0))</f>
        <v>#N/A</v>
      </c>
    </row>
    <row r="4" spans="2:26" x14ac:dyDescent="0.25">
      <c r="B4" s="17" t="s">
        <v>0</v>
      </c>
      <c r="C4" s="16">
        <v>2024</v>
      </c>
    </row>
    <row r="5" spans="2:26" x14ac:dyDescent="0.25">
      <c r="B5" s="17" t="s">
        <v>19</v>
      </c>
      <c r="C5" s="16"/>
    </row>
    <row r="6" spans="2:26" x14ac:dyDescent="0.25">
      <c r="C6"/>
    </row>
    <row r="7" spans="2:26" x14ac:dyDescent="0.25">
      <c r="C7"/>
    </row>
    <row r="8" spans="2:26" x14ac:dyDescent="0.25">
      <c r="C8"/>
    </row>
    <row r="9" spans="2:26" ht="26.25" customHeight="1" x14ac:dyDescent="0.25">
      <c r="B9" s="14" t="s">
        <v>11</v>
      </c>
      <c r="C9" s="14" t="s">
        <v>20</v>
      </c>
      <c r="D9" s="14" t="s">
        <v>25</v>
      </c>
      <c r="E9" s="14" t="s">
        <v>21</v>
      </c>
      <c r="F9" s="14" t="s">
        <v>22</v>
      </c>
      <c r="G9" s="14" t="s">
        <v>26</v>
      </c>
      <c r="H9" s="14" t="s">
        <v>27</v>
      </c>
      <c r="I9" s="14" t="s">
        <v>28</v>
      </c>
      <c r="J9" s="14" t="s">
        <v>23</v>
      </c>
      <c r="K9" s="14" t="s">
        <v>29</v>
      </c>
      <c r="L9" s="14" t="s">
        <v>30</v>
      </c>
    </row>
    <row r="10" spans="2:26" x14ac:dyDescent="0.25">
      <c r="B10" s="18"/>
      <c r="C10" s="16" t="s">
        <v>14</v>
      </c>
      <c r="D10" s="16" t="s">
        <v>14</v>
      </c>
      <c r="E10" s="16" t="s">
        <v>14</v>
      </c>
      <c r="F10" s="16" t="s">
        <v>14</v>
      </c>
      <c r="G10" s="16" t="s">
        <v>14</v>
      </c>
      <c r="H10" s="16" t="s">
        <v>14</v>
      </c>
      <c r="I10" s="16" t="s">
        <v>14</v>
      </c>
      <c r="J10" s="16" t="s">
        <v>14</v>
      </c>
      <c r="K10" s="16" t="s">
        <v>14</v>
      </c>
      <c r="L10" s="16" t="s">
        <v>14</v>
      </c>
    </row>
    <row r="11" spans="2:26" ht="24.75" hidden="1" customHeight="1" x14ac:dyDescent="0.25">
      <c r="B11" s="5" t="str">
        <f>C3</f>
        <v>Monthly</v>
      </c>
      <c r="C11" s="9" t="e" cm="1">
        <f t="array" aca="1" ref="C11" ca="1">CONCATENATE(INDIRECT("settings!J" &amp; Z3), ".Weather_AirTemp")</f>
        <v>#N/A</v>
      </c>
      <c r="D11" s="9" t="e" cm="1">
        <f t="array" aca="1" ref="D11" ca="1">CONCATENATE(INDIRECT("settings!J" &amp; Z3), ".Weather_AtmosphericPressure")</f>
        <v>#N/A</v>
      </c>
      <c r="E11" s="9" t="e" cm="1">
        <f t="array" aca="1" ref="E11" ca="1">CONCATENATE(INDIRECT("settings!J" &amp; Z3), ".Weather_Humidity")</f>
        <v>#N/A</v>
      </c>
      <c r="F11" s="9" t="e" cm="1">
        <f t="array" aca="1" ref="F11" ca="1">CONCATENATE(INDIRECT("settings!J" &amp; Z3), ".Weather_RainFall")</f>
        <v>#N/A</v>
      </c>
      <c r="G11" s="9" t="e" cm="1">
        <f t="array" aca="1" ref="G11" ca="1">CONCATENATE(INDIRECT("settings!J" &amp; Z3), ".Weather_SolarRadiation")</f>
        <v>#N/A</v>
      </c>
      <c r="H11" s="9" t="e" cm="1">
        <f t="array" aca="1" ref="H11" ca="1">CONCATENATE(INDIRECT("settings!J" &amp; Z3), ".Weather_WindDirection")</f>
        <v>#N/A</v>
      </c>
      <c r="I11" s="9" t="e" cm="1">
        <f t="array" aca="1" ref="I11" ca="1">CONCATENATE(INDIRECT("settings!J" &amp; Z3), ".Weather_WindSpeed")</f>
        <v>#N/A</v>
      </c>
      <c r="J11" s="9" t="e" cm="1">
        <f t="array" aca="1" ref="J11" ca="1">CONCATENATE(INDIRECT("settings!J" &amp; Z3), ".Weather_AccumETO")</f>
        <v>#N/A</v>
      </c>
      <c r="K11" s="9" t="e" cm="1">
        <f t="array" aca="1" ref="K11" ca="1">CONCATENATE(INDIRECT("settings!J" &amp; Z3), ".Weather_PreviosDayETO")</f>
        <v>#N/A</v>
      </c>
      <c r="L11" s="9" t="e" cm="1">
        <f t="array" aca="1" ref="L11" ca="1">CONCATENATE(INDIRECT("settings!J" &amp; Z3), ".ETO_Equation")</f>
        <v>#N/A</v>
      </c>
    </row>
    <row r="12" spans="2:26" x14ac:dyDescent="0.25">
      <c r="B12" s="4">
        <v>1</v>
      </c>
      <c r="C12" s="6"/>
      <c r="D12" s="6"/>
      <c r="E12" s="6"/>
      <c r="F12" s="6"/>
      <c r="G12" s="6"/>
      <c r="H12" s="6"/>
      <c r="I12" s="6"/>
      <c r="J12" s="6"/>
      <c r="K12" s="6"/>
      <c r="L12" s="6"/>
    </row>
    <row r="13" spans="2:26" x14ac:dyDescent="0.25">
      <c r="B13" s="1">
        <v>2</v>
      </c>
      <c r="C13" s="6"/>
      <c r="D13" s="6"/>
      <c r="E13" s="6"/>
      <c r="F13" s="6"/>
      <c r="G13" s="6"/>
      <c r="H13" s="6"/>
      <c r="I13" s="6"/>
      <c r="J13" s="6"/>
      <c r="K13" s="6"/>
      <c r="L13" s="6"/>
    </row>
    <row r="14" spans="2:26" x14ac:dyDescent="0.25">
      <c r="B14" s="4">
        <v>3</v>
      </c>
      <c r="C14" s="6"/>
      <c r="D14" s="6"/>
      <c r="E14" s="6"/>
      <c r="F14" s="6"/>
      <c r="G14" s="6"/>
      <c r="H14" s="6"/>
      <c r="I14" s="6"/>
      <c r="J14" s="6"/>
      <c r="K14" s="6"/>
      <c r="L14" s="6"/>
    </row>
    <row r="15" spans="2:26" x14ac:dyDescent="0.25">
      <c r="B15" s="4">
        <v>4</v>
      </c>
      <c r="C15" s="6"/>
      <c r="D15" s="6"/>
      <c r="E15" s="6"/>
      <c r="F15" s="6"/>
      <c r="G15" s="6"/>
      <c r="H15" s="6"/>
      <c r="I15" s="6"/>
      <c r="J15" s="6"/>
      <c r="K15" s="6"/>
      <c r="L15" s="6"/>
    </row>
    <row r="16" spans="2:26" x14ac:dyDescent="0.25">
      <c r="B16" s="4">
        <v>5</v>
      </c>
      <c r="C16" s="6"/>
      <c r="D16" s="6"/>
      <c r="E16" s="6"/>
      <c r="F16" s="6"/>
      <c r="G16" s="6"/>
      <c r="H16" s="6"/>
      <c r="I16" s="6"/>
      <c r="J16" s="6"/>
      <c r="K16" s="6"/>
      <c r="L16" s="6"/>
    </row>
    <row r="17" spans="2:12" x14ac:dyDescent="0.25">
      <c r="B17" s="4">
        <v>6</v>
      </c>
      <c r="C17" s="6"/>
      <c r="D17" s="6"/>
      <c r="E17" s="6"/>
      <c r="F17" s="6"/>
      <c r="G17" s="6"/>
      <c r="H17" s="6"/>
      <c r="I17" s="6"/>
      <c r="J17" s="6"/>
      <c r="K17" s="6"/>
      <c r="L17" s="6"/>
    </row>
    <row r="18" spans="2:12" x14ac:dyDescent="0.25">
      <c r="B18" s="4">
        <v>7</v>
      </c>
      <c r="C18" s="6"/>
      <c r="D18" s="6"/>
      <c r="E18" s="6"/>
      <c r="F18" s="6"/>
      <c r="G18" s="6"/>
      <c r="H18" s="6"/>
      <c r="I18" s="6"/>
      <c r="J18" s="6"/>
      <c r="K18" s="6"/>
      <c r="L18" s="6"/>
    </row>
    <row r="19" spans="2:12" x14ac:dyDescent="0.25">
      <c r="B19" s="4">
        <v>8</v>
      </c>
      <c r="C19" s="6"/>
      <c r="D19" s="6"/>
      <c r="E19" s="6"/>
      <c r="F19" s="6"/>
      <c r="G19" s="6"/>
      <c r="H19" s="6"/>
      <c r="I19" s="6"/>
      <c r="J19" s="6"/>
      <c r="K19" s="6"/>
      <c r="L19" s="6"/>
    </row>
    <row r="20" spans="2:12" x14ac:dyDescent="0.25">
      <c r="B20" s="4">
        <v>9</v>
      </c>
      <c r="C20" s="6"/>
      <c r="D20" s="6"/>
      <c r="E20" s="6"/>
      <c r="F20" s="6"/>
      <c r="G20" s="6"/>
      <c r="H20" s="6"/>
      <c r="I20" s="6"/>
      <c r="J20" s="6"/>
      <c r="K20" s="6"/>
      <c r="L20" s="6"/>
    </row>
    <row r="21" spans="2:12" x14ac:dyDescent="0.25">
      <c r="B21" s="4">
        <v>10</v>
      </c>
      <c r="C21" s="6"/>
      <c r="D21" s="6"/>
      <c r="E21" s="6"/>
      <c r="F21" s="6"/>
      <c r="G21" s="6"/>
      <c r="H21" s="6"/>
      <c r="I21" s="6"/>
      <c r="J21" s="6"/>
      <c r="K21" s="6"/>
      <c r="L21" s="6"/>
    </row>
    <row r="22" spans="2:12" x14ac:dyDescent="0.25">
      <c r="B22" s="4">
        <v>11</v>
      </c>
      <c r="C22" s="6"/>
      <c r="D22" s="6"/>
      <c r="E22" s="6"/>
      <c r="F22" s="6"/>
      <c r="G22" s="6"/>
      <c r="H22" s="6"/>
      <c r="I22" s="6"/>
      <c r="J22" s="6"/>
      <c r="K22" s="6"/>
      <c r="L22" s="6"/>
    </row>
    <row r="23" spans="2:12" x14ac:dyDescent="0.25">
      <c r="B23" s="4">
        <v>12</v>
      </c>
      <c r="C23" s="6"/>
      <c r="D23" s="6"/>
      <c r="E23" s="6"/>
      <c r="F23" s="6"/>
      <c r="G23" s="6"/>
      <c r="H23" s="6"/>
      <c r="I23" s="6"/>
      <c r="J23" s="6"/>
      <c r="K23" s="6"/>
      <c r="L23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10:L10" xr:uid="{98E398C1-1A80-4894-AB53-E4BD78536565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104775</xdr:rowOff>
                  </from>
                  <to>
                    <xdr:col>3</xdr:col>
                    <xdr:colOff>1000125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AB1DFD-21EF-487D-AB10-49CD5DD80085}">
          <x14:formula1>
            <xm:f>settings!$K:$K</xm:f>
          </x14:formula1>
          <xm:sqref>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settings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2024-07-15T22:43:10Z</dcterms:modified>
</cp:coreProperties>
</file>