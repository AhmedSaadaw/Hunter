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hmed\OneDrive - streamcontrols.com\Desktop\Work\Hunter\HunterApp\Reports\"/>
    </mc:Choice>
  </mc:AlternateContent>
  <xr:revisionPtr revIDLastSave="0" documentId="13_ncr:1_{4CDFDE51-6F12-470B-A64D-0A9B548DB1B5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settings" sheetId="11" r:id="rId1"/>
    <sheet name="Flow Totals" sheetId="19" r:id="rId2"/>
    <sheet name="DailyReport" sheetId="12" state="hidden" r:id="rId3"/>
    <sheet name="MonthlyReport" sheetId="13" state="hidden" r:id="rId4"/>
    <sheet name="AdvancedReport" sheetId="14" state="hidden" r:id="rId5"/>
    <sheet name="24 Hours" sheetId="16" state="hidden" r:id="rId6"/>
    <sheet name="31 Days" sheetId="17" state="hidden" r:id="rId7"/>
    <sheet name="12 Months" sheetId="18" state="hidden" r:id="rId8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19" l="1"/>
  <c r="B15" i="19"/>
  <c r="H15" i="19"/>
  <c r="E15" i="19"/>
  <c r="I6" i="11"/>
  <c r="A13" i="19"/>
  <c r="A2" i="19" l="1"/>
  <c r="B41" i="19" a="1"/>
  <c r="B25" i="19" a="1"/>
  <c r="E16" i="19" a="1"/>
  <c r="B21" i="19" a="1"/>
  <c r="B38" i="19" a="1"/>
  <c r="B19" i="19" a="1"/>
  <c r="B42" i="19" a="1"/>
  <c r="H19" i="19" a="1"/>
  <c r="B31" i="19" a="1"/>
  <c r="E26" i="19" a="1"/>
  <c r="B27" i="19" a="1"/>
  <c r="B40" i="19" a="1"/>
  <c r="B24" i="19" a="1"/>
  <c r="B44" i="19" a="1"/>
  <c r="B46" i="19" a="1"/>
  <c r="B35" i="19" a="1"/>
  <c r="E23" i="19" a="1"/>
  <c r="E25" i="19" a="1"/>
  <c r="B16" i="19" a="1"/>
  <c r="E24" i="19" a="1"/>
  <c r="E22" i="19" a="1"/>
  <c r="B23" i="19" a="1"/>
  <c r="E27" i="19" a="1"/>
  <c r="E18" i="19" a="1"/>
  <c r="B36" i="19" a="1"/>
  <c r="B43" i="19" a="1"/>
  <c r="H20" i="19" a="1"/>
  <c r="H16" i="19" a="1"/>
  <c r="B29" i="19" a="1"/>
  <c r="B28" i="19" a="1"/>
  <c r="B20" i="19" a="1"/>
  <c r="B22" i="19" a="1"/>
  <c r="B33" i="19" a="1"/>
  <c r="B39" i="19" a="1"/>
  <c r="B30" i="19" a="1"/>
  <c r="B32" i="19" a="1"/>
  <c r="E17" i="19" a="1"/>
  <c r="B17" i="19" a="1"/>
  <c r="B37" i="19" a="1"/>
  <c r="B18" i="19" a="1"/>
  <c r="E19" i="19" a="1"/>
  <c r="E20" i="19" a="1"/>
  <c r="H18" i="19" a="1"/>
  <c r="H17" i="19" a="1"/>
  <c r="E21" i="19" a="1"/>
  <c r="B26" i="19" a="1"/>
  <c r="B34" i="19" a="1"/>
  <c r="B45" i="19" a="1"/>
  <c r="E18" i="19" l="1"/>
  <c r="H18" i="19"/>
  <c r="E25" i="19"/>
  <c r="B18" i="19"/>
  <c r="B22" i="19"/>
  <c r="B38" i="19"/>
  <c r="B32" i="19"/>
  <c r="B26" i="19"/>
  <c r="B43" i="19"/>
  <c r="E24" i="19"/>
  <c r="B24" i="19"/>
  <c r="E17" i="19"/>
  <c r="E21" i="19"/>
  <c r="B35" i="19"/>
  <c r="B29" i="19"/>
  <c r="B34" i="19"/>
  <c r="E26" i="19"/>
  <c r="E16" i="19"/>
  <c r="E22" i="19"/>
  <c r="H17" i="19"/>
  <c r="E20" i="19"/>
  <c r="E23" i="19"/>
  <c r="B25" i="19"/>
  <c r="B42" i="19"/>
  <c r="B37" i="19"/>
  <c r="B44" i="19"/>
  <c r="H16" i="19"/>
  <c r="E27" i="19"/>
  <c r="H20" i="19"/>
  <c r="B16" i="19"/>
  <c r="B20" i="19"/>
  <c r="B33" i="19"/>
  <c r="B39" i="19"/>
  <c r="B23" i="19"/>
  <c r="B31" i="19"/>
  <c r="B45" i="19"/>
  <c r="H19" i="19"/>
  <c r="B17" i="19"/>
  <c r="B41" i="19"/>
  <c r="B28" i="19"/>
  <c r="B30" i="19"/>
  <c r="B46" i="19"/>
  <c r="E19" i="19"/>
  <c r="B36" i="19"/>
  <c r="B40" i="19"/>
  <c r="B19" i="19"/>
  <c r="B21" i="19"/>
  <c r="B27" i="19"/>
  <c r="B9" i="18"/>
  <c r="B9" i="17"/>
  <c r="B9" i="16"/>
  <c r="B9" i="14"/>
  <c r="C34" i="19" a="1"/>
  <c r="C25" i="19" a="1"/>
  <c r="F27" i="19" a="1"/>
  <c r="C26" i="19" a="1"/>
  <c r="C23" i="19" a="1"/>
  <c r="C19" i="19" a="1"/>
  <c r="C37" i="19" a="1"/>
  <c r="C27" i="19" a="1"/>
  <c r="F26" i="19" a="1"/>
  <c r="F22" i="19" a="1"/>
  <c r="F25" i="19" a="1"/>
  <c r="C29" i="19" a="1"/>
  <c r="C35" i="19" a="1"/>
  <c r="C28" i="19" a="1"/>
  <c r="C39" i="19" a="1"/>
  <c r="C31" i="19" a="1"/>
  <c r="F20" i="19" a="1"/>
  <c r="I16" i="19" a="1"/>
  <c r="C36" i="19" a="1"/>
  <c r="F21" i="19" a="1"/>
  <c r="I20" i="19" a="1"/>
  <c r="F19" i="19" a="1"/>
  <c r="C33" i="19" a="1"/>
  <c r="C43" i="19" a="1"/>
  <c r="F24" i="19" a="1"/>
  <c r="C38" i="19" a="1"/>
  <c r="C17" i="19" a="1"/>
  <c r="C45" i="19" a="1"/>
  <c r="C24" i="19" a="1"/>
  <c r="F18" i="19" a="1"/>
  <c r="C16" i="19" a="1"/>
  <c r="C20" i="19" a="1"/>
  <c r="C41" i="19" a="1"/>
  <c r="C32" i="19" a="1"/>
  <c r="I19" i="19" a="1"/>
  <c r="C21" i="19" a="1"/>
  <c r="I17" i="19" a="1"/>
  <c r="C44" i="19" a="1"/>
  <c r="F17" i="19" a="1"/>
  <c r="F23" i="19" a="1"/>
  <c r="C40" i="19" a="1"/>
  <c r="I18" i="19" a="1"/>
  <c r="F16" i="19" a="1"/>
  <c r="C42" i="19" a="1"/>
  <c r="C30" i="19" a="1"/>
  <c r="C18" i="19" a="1"/>
  <c r="C22" i="19" a="1"/>
  <c r="C46" i="19" a="1"/>
  <c r="I17" i="19" l="1"/>
  <c r="I18" i="19"/>
  <c r="I19" i="19"/>
  <c r="I16" i="19"/>
  <c r="I20" i="19"/>
  <c r="F24" i="19"/>
  <c r="F20" i="19"/>
  <c r="F16" i="19"/>
  <c r="F21" i="19"/>
  <c r="F26" i="19"/>
  <c r="F17" i="19"/>
  <c r="F18" i="19"/>
  <c r="F22" i="19"/>
  <c r="F19" i="19"/>
  <c r="F27" i="19"/>
  <c r="F25" i="19"/>
  <c r="F23" i="19"/>
  <c r="C27" i="19"/>
  <c r="C31" i="19"/>
  <c r="C35" i="19"/>
  <c r="C39" i="19"/>
  <c r="C43" i="19"/>
  <c r="C16" i="19"/>
  <c r="C24" i="19"/>
  <c r="C32" i="19"/>
  <c r="C44" i="19"/>
  <c r="C19" i="19"/>
  <c r="C20" i="19"/>
  <c r="C28" i="19"/>
  <c r="C36" i="19"/>
  <c r="C40" i="19"/>
  <c r="C23" i="19"/>
  <c r="C21" i="19"/>
  <c r="C29" i="19"/>
  <c r="C37" i="19"/>
  <c r="C45" i="19"/>
  <c r="C17" i="19"/>
  <c r="C25" i="19"/>
  <c r="C33" i="19"/>
  <c r="C41" i="19"/>
  <c r="C22" i="19"/>
  <c r="C30" i="19"/>
  <c r="C38" i="19"/>
  <c r="C46" i="19"/>
  <c r="C18" i="19"/>
  <c r="C26" i="19"/>
  <c r="C34" i="19"/>
  <c r="C42" i="1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<sst xmlns="http://schemas.openxmlformats.org/spreadsheetml/2006/main" count="136" uniqueCount="76">
  <si>
    <t>Year</t>
  </si>
  <si>
    <t>Month</t>
  </si>
  <si>
    <t>Day</t>
  </si>
  <si>
    <t>Model</t>
  </si>
  <si>
    <t>DEFAULT</t>
  </si>
  <si>
    <t>BaseAddress</t>
  </si>
  <si>
    <t>FirstDataRowNo</t>
  </si>
  <si>
    <t>TEST.SIM1</t>
  </si>
  <si>
    <t>Type</t>
  </si>
  <si>
    <t>Hourly</t>
  </si>
  <si>
    <t>Daily</t>
  </si>
  <si>
    <t>Monthly</t>
  </si>
  <si>
    <t>/Historical/AllMonthsData/DEFAULT?TagName=TEST.SIM1&amp;YearDate=2018-08-01</t>
  </si>
  <si>
    <t>RT</t>
  </si>
  <si>
    <t>FAST</t>
  </si>
  <si>
    <r>
      <rPr>
        <b/>
        <sz val="11"/>
        <color theme="1"/>
        <rFont val="Calibri"/>
        <family val="2"/>
        <scheme val="minor"/>
      </rPr>
      <t>Tip:</t>
    </r>
    <r>
      <rPr>
        <sz val="11"/>
        <color theme="1"/>
        <rFont val="Calibri"/>
        <family val="2"/>
        <scheme val="minor"/>
      </rPr>
      <t xml:space="preserve"> Hide this sheet after modifing these fields</t>
    </r>
  </si>
  <si>
    <t>http://localhost:49110/</t>
  </si>
  <si>
    <t>Group.Tag</t>
  </si>
  <si>
    <t>TimeStamp</t>
  </si>
  <si>
    <t>year</t>
  </si>
  <si>
    <t xml:space="preserve">Controller </t>
  </si>
  <si>
    <t>Control Total Flow Month 1</t>
  </si>
  <si>
    <t>Control Total Flow Month 2</t>
  </si>
  <si>
    <t>Control Total Flow Month 3</t>
  </si>
  <si>
    <t>Control Total Flow Month 4</t>
  </si>
  <si>
    <t>Control Total Flow Month 5</t>
  </si>
  <si>
    <t>Control Total Flow Month 6</t>
  </si>
  <si>
    <t>Control Total Flow Month 7</t>
  </si>
  <si>
    <t>Control Total Flow Month 8</t>
  </si>
  <si>
    <t>Control Total Flow Month 9</t>
  </si>
  <si>
    <t>Control Total Flow Month 10</t>
  </si>
  <si>
    <t>Control Total Flow Month 11</t>
  </si>
  <si>
    <t>Control Total Flow Month 12</t>
  </si>
  <si>
    <t>Control Total Flow Day 1</t>
  </si>
  <si>
    <t>Control Total Flow Day 2</t>
  </si>
  <si>
    <t>Control Total Flow Day 3</t>
  </si>
  <si>
    <t>Control Total Flow Day 4</t>
  </si>
  <si>
    <t>Control Total Flow Day 5</t>
  </si>
  <si>
    <t>Control Total Flow Day 6</t>
  </si>
  <si>
    <t>Control Total Flow Day 7</t>
  </si>
  <si>
    <t>Control Total Flow Day 8</t>
  </si>
  <si>
    <t>Control Total Flow Day 9</t>
  </si>
  <si>
    <t>Control Total Flow Day 10</t>
  </si>
  <si>
    <t>Control Total Flow Day 11</t>
  </si>
  <si>
    <t>Control Total Flow Day 12</t>
  </si>
  <si>
    <t>Control Total Flow Day 13</t>
  </si>
  <si>
    <t>Control Total Flow Day 14</t>
  </si>
  <si>
    <t>Control Total Flow Day 15</t>
  </si>
  <si>
    <t>Control Total Flow Day 16</t>
  </si>
  <si>
    <t>Control Total Flow Day 17</t>
  </si>
  <si>
    <t>Control Total Flow Day 18</t>
  </si>
  <si>
    <t>Control Total Flow Day 19</t>
  </si>
  <si>
    <t>Control Total Flow Day 20</t>
  </si>
  <si>
    <t>Control Total Flow Day 21</t>
  </si>
  <si>
    <t>Control Total Flow Day 22</t>
  </si>
  <si>
    <t>Control Total Flow Day 23</t>
  </si>
  <si>
    <t>Control Total Flow Day 24</t>
  </si>
  <si>
    <t>Control Total Flow Day 25</t>
  </si>
  <si>
    <t>Control Total Flow Day 26</t>
  </si>
  <si>
    <t>Control Total Flow Day 27</t>
  </si>
  <si>
    <t>Control Total Flow Day 28</t>
  </si>
  <si>
    <t>Control Total Flow Day 29</t>
  </si>
  <si>
    <t>Control Total Flow Day 30</t>
  </si>
  <si>
    <t>Control Total Flow Day 31</t>
  </si>
  <si>
    <t>Control Total Flow Year 1</t>
  </si>
  <si>
    <t>Control Total Flow Year 2</t>
  </si>
  <si>
    <t>Control Total Flow Year 3</t>
  </si>
  <si>
    <t>Control Total Flow Year 4</t>
  </si>
  <si>
    <t>Control Total Flow Year 5</t>
  </si>
  <si>
    <t>/Historical/AllDaysData/DEFAULT?TagName=Day&amp;MonthDate=2018-08-01</t>
  </si>
  <si>
    <t>C:\Users\ahmed\OneDrive - streamcontrols.com\Desktop\Work\Hunter\HunterApp\Reports\</t>
  </si>
  <si>
    <t xml:space="preserve">Gallons </t>
  </si>
  <si>
    <t>m3</t>
  </si>
  <si>
    <t>Unit</t>
  </si>
  <si>
    <t>Path/File access error</t>
  </si>
  <si>
    <t>ï»¿0,0,0,0,0,0,0,0,0,0,0,0,0,0,0,21234,0,0,0,0,0,0,0,0,0,0,0,0,0,0,0,0,0,0,0,0,0,0,0,0,0,0,0,0,0,2025-03-15,2025-03-16,0,0,0,0,0,0,0,0,0,0,0,0,0,0,0,0,2226,22689,0,0,0,0,0,0,0,0,0,0,2025-02,2025-03,0,0,0,0,0,0,0,0,0,0,24915,0,0,0,2024,2025,0,0,0,-1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</si>
</sst>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47ABD1"/>
        <bgColor indexed="64"/>
      </patternFill>
    </fill>
    <fill>
      <patternFill patternType="solid">
        <fgColor rgb="FF00658A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0">
    <xf numFmtId="0" fontId="0" fillId="0" borderId="0" xfId="0"/>
    <xf numFmtId="0" fontId="2" fillId="0" borderId="1" xfId="0" applyFont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Alignment="1">
      <alignment horizontal="center"/>
    </xf>
    <xf numFmtId="1" fontId="2" fillId="0" borderId="1" xfId="0" applyNumberFormat="1" applyFont="1" applyBorder="1" applyAlignment="1">
      <alignment horizontal="center"/>
    </xf>
    <xf numFmtId="0" fontId="1" fillId="3" borderId="1" xfId="0" applyFont="1" applyFill="1" applyBorder="1" applyAlignment="1">
      <alignment horizontal="center" vertical="center"/>
    </xf>
    <xf numFmtId="2" fontId="0" fillId="0" borderId="1" xfId="0" applyNumberFormat="1" applyBorder="1" applyAlignment="1">
      <alignment horizontal="center"/>
    </xf>
    <xf numFmtId="0" fontId="2" fillId="0" borderId="0" xfId="0" applyFont="1" applyAlignment="1">
      <alignment horizontal="center"/>
    </xf>
    <xf numFmtId="0" fontId="0" fillId="4" borderId="1" xfId="0" applyFill="1" applyBorder="1" applyAlignment="1">
      <alignment horizontal="center"/>
    </xf>
    <xf numFmtId="0" fontId="1" fillId="3" borderId="2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2" borderId="0" xfId="0" applyFill="1" applyAlignment="1">
      <alignment horizontal="center"/>
    </xf>
    <xf numFmtId="0" fontId="4" fillId="2" borderId="0" xfId="1" applyFill="1"/>
    <xf numFmtId="0" fontId="5" fillId="6" borderId="2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/>
    </xf>
    <xf numFmtId="0" fontId="5" fillId="6" borderId="4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5" fillId="5" borderId="3" xfId="0" applyFont="1" applyFill="1" applyBorder="1" applyAlignment="1">
      <alignment horizontal="center" vertical="center"/>
    </xf>
    <xf numFmtId="0" fontId="5" fillId="5" borderId="4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00658A"/>
      <color rgb="FF47ABD1"/>
      <color rgb="FFE4E1DF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200025</xdr:colOff>
          <xdr:row>6</xdr:row>
          <xdr:rowOff>28575</xdr:rowOff>
        </xdr:from>
        <xdr:to>
          <xdr:col>3</xdr:col>
          <xdr:colOff>1171575</xdr:colOff>
          <xdr:row>9</xdr:row>
          <xdr:rowOff>171450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1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1</xdr:row>
          <xdr:rowOff>19050</xdr:rowOff>
        </xdr:from>
        <xdr:to>
          <xdr:col>3</xdr:col>
          <xdr:colOff>1000125</xdr:colOff>
          <xdr:row>5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1</xdr:row>
          <xdr:rowOff>19050</xdr:rowOff>
        </xdr:from>
        <xdr:to>
          <xdr:col>3</xdr:col>
          <xdr:colOff>1000125</xdr:colOff>
          <xdr:row>4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1</xdr:row>
          <xdr:rowOff>19050</xdr:rowOff>
        </xdr:from>
        <xdr:to>
          <xdr:col>3</xdr:col>
          <xdr:colOff>1000125</xdr:colOff>
          <xdr:row>5</xdr:row>
          <xdr:rowOff>171450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1</xdr:row>
          <xdr:rowOff>19050</xdr:rowOff>
        </xdr:from>
        <xdr:to>
          <xdr:col>3</xdr:col>
          <xdr:colOff>1000125</xdr:colOff>
          <xdr:row>5</xdr:row>
          <xdr:rowOff>171450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1</xdr:row>
          <xdr:rowOff>19050</xdr:rowOff>
        </xdr:from>
        <xdr:to>
          <xdr:col>3</xdr:col>
          <xdr:colOff>1000125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1</xdr:row>
          <xdr:rowOff>19050</xdr:rowOff>
        </xdr:from>
        <xdr:to>
          <xdr:col>3</xdr:col>
          <xdr:colOff>1000125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://localhost:49110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7"/>
  <sheetViews>
    <sheetView workbookViewId="0">
      <selection activeCell="A6" sqref="A6:XFD7"/>
    </sheetView>
  </sheetViews>
  <sheetFormatPr defaultRowHeight="15" x14ac:dyDescent="0.25"/>
  <cols>
    <col min="1" max="1" width="19.42578125" customWidth="1"/>
    <col min="2" max="2" width="21.85546875" bestFit="1" customWidth="1"/>
    <col min="7" max="8" width="15.85546875" customWidth="1"/>
    <col min="9" max="9" width="18.42578125" customWidth="1"/>
  </cols>
  <sheetData>
    <row r="1" spans="1:9" x14ac:dyDescent="0.25">
      <c r="A1" t="s">
        <v>5</v>
      </c>
      <c r="B1" s="13" t="s">
        <v>16</v>
      </c>
    </row>
    <row r="2" spans="1:9" x14ac:dyDescent="0.25">
      <c r="A2" t="s">
        <v>6</v>
      </c>
      <c r="B2" s="12">
        <v>10</v>
      </c>
    </row>
    <row r="4" spans="1:9" x14ac:dyDescent="0.25">
      <c r="A4" t="s">
        <v>15</v>
      </c>
    </row>
    <row r="6" spans="1:9" hidden="1" x14ac:dyDescent="0.25">
      <c r="G6" t="s">
        <v>71</v>
      </c>
      <c r="H6">
        <v>1</v>
      </c>
      <c r="I6">
        <f>INDEX(H6:H7, MATCH('Flow Totals'!C11, G6:G7, 0))</f>
        <v>1</v>
      </c>
    </row>
    <row r="7" spans="1:9" hidden="1" x14ac:dyDescent="0.25">
      <c r="G7" t="s">
        <v>72</v>
      </c>
      <c r="H7">
        <v>3.7854099999999999E-3</v>
      </c>
    </row>
  </sheetData>
  <hyperlinks>
    <hyperlink ref="B1" r:id="rId1" xr:uid="{161E075D-C8B4-4029-B928-920504FD4A81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246AE-F82C-47C3-AC4E-9FA0E7CDBAAD}">
  <sheetPr codeName="Sheet4"/>
  <dimension ref="A1:I244"/>
  <sheetViews>
    <sheetView tabSelected="1" topLeftCell="A6" workbookViewId="0">
      <selection activeCell="C7" sqref="C7"/>
    </sheetView>
  </sheetViews>
  <sheetFormatPr defaultRowHeight="15" x14ac:dyDescent="0.25"/>
  <cols>
    <col min="1" max="1" width="35" customWidth="1"/>
    <col min="2" max="2" width="20.7109375" customWidth="1"/>
    <col min="3" max="3" width="29" customWidth="1"/>
    <col min="4" max="4" width="36.42578125" customWidth="1"/>
    <col min="5" max="5" width="20.7109375" customWidth="1"/>
    <col min="6" max="6" width="32" customWidth="1"/>
    <col min="7" max="7" width="38.85546875" customWidth="1"/>
    <col min="8" max="8" width="20.7109375" customWidth="1"/>
    <col min="9" max="9" width="31" customWidth="1"/>
  </cols>
  <sheetData>
    <row r="1" spans="1:9" hidden="1" x14ac:dyDescent="0.25">
      <c r="A1" t="s">
        <v>75</v>
      </c>
      <c r="B1" t="str">
        <f>CONCATENATE(E1,"ReportText\C", TEXT(C7, "000"), "_ACC1_", TEXT(C8,"0000"),"-", TEXT(C9, "00"), "-", TEXT(C10, "00"),".txt")</f>
        <v>C:\Users\ahmed\OneDrive - streamcontrols.com\Desktop\Work\Hunter\HunterApp\Reports\ReportText\C001_ACC1_2025-03-16.txt</v>
      </c>
      <c r="E1" t="s">
        <v>70</v>
      </c>
    </row>
    <row r="2" spans="1:9" ht="15.75" hidden="1" customHeight="1" x14ac:dyDescent="0.25">
      <c r="A2" t="str">
        <f>MID(A1,4,10000)</f>
        <v>0,0,0,0,0,0,0,0,0,0,0,0,0,0,0,21234,0,0,0,0,0,0,0,0,0,0,0,0,0,0,0,0,0,0,0,0,0,0,0,0,0,0,0,0,0,2025-03-15,2025-03-16,0,0,0,0,0,0,0,0,0,0,0,0,0,0,0,0,2226,22689,0,0,0,0,0,0,0,0,0,0,2025-02,2025-03,0,0,0,0,0,0,0,0,0,0,24915,0,0,0,2024,2025,0,0,0,-1</v>
      </c>
    </row>
    <row r="3" spans="1:9" ht="15.75" hidden="1" customHeight="1" x14ac:dyDescent="0.25"/>
    <row r="4" spans="1:9" ht="15.75" hidden="1" customHeight="1" x14ac:dyDescent="0.25">
      <c r="B4" t="s">
        <v>74</v>
      </c>
    </row>
    <row r="5" spans="1:9" ht="15.75" hidden="1" customHeight="1" x14ac:dyDescent="0.25"/>
    <row r="6" spans="1:9" ht="15.75" customHeight="1" x14ac:dyDescent="0.25"/>
    <row r="7" spans="1:9" ht="15.75" customHeight="1" x14ac:dyDescent="0.25">
      <c r="B7" s="1" t="s">
        <v>20</v>
      </c>
      <c r="C7" s="2">
        <v>1</v>
      </c>
    </row>
    <row r="8" spans="1:9" ht="15.75" customHeight="1" x14ac:dyDescent="0.25">
      <c r="B8" s="1" t="s">
        <v>0</v>
      </c>
      <c r="C8" s="2">
        <v>2025</v>
      </c>
    </row>
    <row r="9" spans="1:9" ht="15.75" customHeight="1" x14ac:dyDescent="0.25">
      <c r="B9" s="1" t="s">
        <v>1</v>
      </c>
      <c r="C9" s="2">
        <v>3</v>
      </c>
    </row>
    <row r="10" spans="1:9" ht="15.75" customHeight="1" x14ac:dyDescent="0.25">
      <c r="B10" s="1" t="s">
        <v>2</v>
      </c>
      <c r="C10" s="2">
        <v>16</v>
      </c>
    </row>
    <row r="11" spans="1:9" ht="15.75" customHeight="1" x14ac:dyDescent="0.25">
      <c r="B11" s="1" t="s">
        <v>73</v>
      </c>
      <c r="C11" s="2" t="s">
        <v>71</v>
      </c>
    </row>
    <row r="12" spans="1:9" ht="15.75" customHeight="1" x14ac:dyDescent="0.25"/>
    <row r="13" spans="1:9" ht="30.75" customHeight="1" x14ac:dyDescent="0.25">
      <c r="A13" s="14" t="str">
        <f>CONCATENATE("Controller C",TEXT(C7,"000"))</f>
        <v>Controller C001</v>
      </c>
      <c r="B13" s="15"/>
      <c r="C13" s="15"/>
      <c r="D13" s="15"/>
      <c r="E13" s="15"/>
      <c r="F13" s="15"/>
      <c r="G13" s="15"/>
      <c r="H13" s="15"/>
      <c r="I13" s="16"/>
    </row>
    <row r="14" spans="1:9" ht="23.25" customHeight="1" x14ac:dyDescent="0.25">
      <c r="A14" s="17" t="s">
        <v>20</v>
      </c>
      <c r="B14" s="18"/>
      <c r="C14" s="18"/>
      <c r="D14" s="18"/>
      <c r="E14" s="18"/>
      <c r="F14" s="18"/>
      <c r="G14" s="18"/>
      <c r="H14" s="18"/>
      <c r="I14" s="19"/>
    </row>
    <row r="15" spans="1:9" x14ac:dyDescent="0.25">
      <c r="A15" s="5" t="s">
        <v>2</v>
      </c>
      <c r="B15" s="5" t="str">
        <f>CONCATENATE("Value (",C11,")")</f>
        <v>Value (Gallons )</v>
      </c>
      <c r="C15" s="5" t="s">
        <v>18</v>
      </c>
      <c r="D15" s="5" t="s">
        <v>1</v>
      </c>
      <c r="E15" s="5" t="str">
        <f>CONCATENATE("Value (",C11,")")</f>
        <v>Value (Gallons )</v>
      </c>
      <c r="F15" s="5" t="s">
        <v>18</v>
      </c>
      <c r="G15" s="5" t="s">
        <v>19</v>
      </c>
      <c r="H15" s="5" t="str">
        <f>CONCATENATE("Value (",C11,")")</f>
        <v>Value (Gallons )</v>
      </c>
      <c r="I15" s="5" t="s">
        <v>18</v>
      </c>
    </row>
    <row r="16" spans="1:9" x14ac:dyDescent="0.25">
      <c r="A16" s="11" t="s">
        <v>33</v>
      </c>
      <c r="B16" s="11" t="str" cm="1">
        <f t="array" ref="B16">GetCSVIndexWithUnits(A2,0)</f>
        <v>0</v>
      </c>
      <c r="C16" s="11" t="str" cm="1">
        <f t="array" ref="C16">GetCSVIndex(A2,31)</f>
        <v>0</v>
      </c>
      <c r="D16" s="11" t="s">
        <v>21</v>
      </c>
      <c r="E16" s="11" t="str" cm="1">
        <f t="array" ref="E16" xml:space="preserve"> GetCSVIndexWithUnits(A2,62)</f>
        <v>0</v>
      </c>
      <c r="F16" s="11" t="str" cm="1">
        <f t="array" ref="F16">GetCSVIndex(A2,74)</f>
        <v>0</v>
      </c>
      <c r="G16" s="11" t="s">
        <v>64</v>
      </c>
      <c r="H16" s="11" t="str" cm="1">
        <f t="array" ref="H16" xml:space="preserve"> GetCSVIndexWithUnits(A2,86)</f>
        <v>0</v>
      </c>
      <c r="I16" s="11" t="str" cm="1">
        <f t="array" ref="I16">GetCSVIndex(A2,91)</f>
        <v>2024</v>
      </c>
    </row>
    <row r="17" spans="1:9" x14ac:dyDescent="0.25">
      <c r="A17" s="11" t="s">
        <v>34</v>
      </c>
      <c r="B17" s="11" t="str" cm="1">
        <f t="array" ref="B17">GetCSVIndexWithUnits(A2,1)</f>
        <v>0</v>
      </c>
      <c r="C17" s="11" t="str" cm="1">
        <f t="array" ref="C17">GetCSVIndex(A2,32)</f>
        <v>0</v>
      </c>
      <c r="D17" s="11" t="s">
        <v>22</v>
      </c>
      <c r="E17" s="11" t="str" cm="1">
        <f t="array" ref="E17" xml:space="preserve"> GetCSVIndexWithUnits(A2,63)</f>
        <v>2226</v>
      </c>
      <c r="F17" s="11" t="str" cm="1">
        <f t="array" ref="F17">GetCSVIndex(A2,75)</f>
        <v>2025-02</v>
      </c>
      <c r="G17" s="11" t="s">
        <v>65</v>
      </c>
      <c r="H17" s="11" t="str" cm="1">
        <f t="array" ref="H17" xml:space="preserve"> GetCSVIndexWithUnits(A2,87)</f>
        <v>24915</v>
      </c>
      <c r="I17" s="11" t="str" cm="1">
        <f t="array" ref="I17">GetCSVIndex(A2,92)</f>
        <v>2025</v>
      </c>
    </row>
    <row r="18" spans="1:9" x14ac:dyDescent="0.25">
      <c r="A18" s="11" t="s">
        <v>35</v>
      </c>
      <c r="B18" s="11" t="str" cm="1">
        <f t="array" ref="B18" xml:space="preserve"> GetCSVIndexWithUnits(A2,2)</f>
        <v>0</v>
      </c>
      <c r="C18" s="11" t="str" cm="1">
        <f t="array" ref="C18">GetCSVIndex(A2,33)</f>
        <v>0</v>
      </c>
      <c r="D18" s="11" t="s">
        <v>23</v>
      </c>
      <c r="E18" s="11" t="str" cm="1">
        <f t="array" ref="E18" xml:space="preserve"> GetCSVIndexWithUnits(A2,64)</f>
        <v>22689</v>
      </c>
      <c r="F18" s="11" t="str" cm="1">
        <f t="array" ref="F18">GetCSVIndex(A2,76)</f>
        <v>2025-03</v>
      </c>
      <c r="G18" s="11" t="s">
        <v>66</v>
      </c>
      <c r="H18" s="11" t="str" cm="1">
        <f t="array" ref="H18" xml:space="preserve"> GetCSVIndexWithUnits(A2,88)</f>
        <v>0</v>
      </c>
      <c r="I18" s="11" t="str" cm="1">
        <f t="array" ref="I18">GetCSVIndex(A2,93)</f>
        <v>0</v>
      </c>
    </row>
    <row r="19" spans="1:9" x14ac:dyDescent="0.25">
      <c r="A19" s="11" t="s">
        <v>36</v>
      </c>
      <c r="B19" s="11" t="str" cm="1">
        <f t="array" ref="B19" xml:space="preserve"> GetCSVIndexWithUnits(A2,3)</f>
        <v>0</v>
      </c>
      <c r="C19" s="11" t="str" cm="1">
        <f t="array" ref="C19">GetCSVIndex(A2,34)</f>
        <v>0</v>
      </c>
      <c r="D19" s="11" t="s">
        <v>24</v>
      </c>
      <c r="E19" s="11" t="str" cm="1">
        <f t="array" ref="E19" xml:space="preserve"> GetCSVIndexWithUnits(A2,65)</f>
        <v>0</v>
      </c>
      <c r="F19" s="11" t="str" cm="1">
        <f t="array" ref="F19">GetCSVIndex(A2,77)</f>
        <v>0</v>
      </c>
      <c r="G19" s="11" t="s">
        <v>67</v>
      </c>
      <c r="H19" s="11" t="str" cm="1">
        <f t="array" ref="H19" xml:space="preserve"> GetCSVIndexWithUnits(A2,89)</f>
        <v>0</v>
      </c>
      <c r="I19" s="11" t="str" cm="1">
        <f t="array" ref="I19">GetCSVIndex(A2,94)</f>
        <v>0</v>
      </c>
    </row>
    <row r="20" spans="1:9" x14ac:dyDescent="0.25">
      <c r="A20" s="11" t="s">
        <v>37</v>
      </c>
      <c r="B20" s="11" t="str" cm="1">
        <f t="array" ref="B20" xml:space="preserve"> GetCSVIndexWithUnits(A2,4)</f>
        <v>0</v>
      </c>
      <c r="C20" s="11" t="str" cm="1">
        <f t="array" ref="C20">GetCSVIndex(A2,35)</f>
        <v>0</v>
      </c>
      <c r="D20" s="11" t="s">
        <v>25</v>
      </c>
      <c r="E20" s="11" t="str" cm="1">
        <f t="array" ref="E20" xml:space="preserve"> GetCSVIndexWithUnits(A2,66)</f>
        <v>0</v>
      </c>
      <c r="F20" s="11" t="str" cm="1">
        <f t="array" ref="F20">GetCSVIndex(A2,78)</f>
        <v>0</v>
      </c>
      <c r="G20" s="11" t="s">
        <v>68</v>
      </c>
      <c r="H20" s="11" t="str" cm="1">
        <f t="array" ref="H20" xml:space="preserve"> GetCSVIndexWithUnits(A2,90)</f>
        <v>0</v>
      </c>
      <c r="I20" s="11" t="str" cm="1">
        <f t="array" ref="I20">GetCSVIndex(A2,95)</f>
        <v>0</v>
      </c>
    </row>
    <row r="21" spans="1:9" x14ac:dyDescent="0.25">
      <c r="A21" s="11" t="s">
        <v>38</v>
      </c>
      <c r="B21" s="11" t="str" cm="1">
        <f t="array" ref="B21" xml:space="preserve"> GetCSVIndexWithUnits(A2,5)</f>
        <v>0</v>
      </c>
      <c r="C21" s="11" t="str" cm="1">
        <f t="array" ref="C21">GetCSVIndex(A2,36)</f>
        <v>0</v>
      </c>
      <c r="D21" s="11" t="s">
        <v>26</v>
      </c>
      <c r="E21" s="11" t="str" cm="1">
        <f t="array" ref="E21" xml:space="preserve"> GetCSVIndexWithUnits(A2,67)</f>
        <v>0</v>
      </c>
      <c r="F21" s="11" t="str" cm="1">
        <f t="array" ref="F21">GetCSVIndex(A2,79)</f>
        <v>0</v>
      </c>
      <c r="G21" s="11"/>
      <c r="H21" s="11"/>
      <c r="I21" s="11"/>
    </row>
    <row r="22" spans="1:9" x14ac:dyDescent="0.25">
      <c r="A22" s="11" t="s">
        <v>39</v>
      </c>
      <c r="B22" s="11" t="str" cm="1">
        <f t="array" ref="B22" xml:space="preserve"> GetCSVIndexWithUnits(A2,6)</f>
        <v>0</v>
      </c>
      <c r="C22" s="11" t="str" cm="1">
        <f t="array" ref="C22">GetCSVIndex(A2,37)</f>
        <v>0</v>
      </c>
      <c r="D22" s="11" t="s">
        <v>27</v>
      </c>
      <c r="E22" s="11" t="str" cm="1">
        <f t="array" ref="E22" xml:space="preserve"> GetCSVIndexWithUnits(A2,68)</f>
        <v>0</v>
      </c>
      <c r="F22" s="11" t="str" cm="1">
        <f t="array" ref="F22">GetCSVIndex(A2,80)</f>
        <v>0</v>
      </c>
      <c r="G22" s="11"/>
      <c r="H22" s="11"/>
      <c r="I22" s="11"/>
    </row>
    <row r="23" spans="1:9" x14ac:dyDescent="0.25">
      <c r="A23" s="11" t="s">
        <v>40</v>
      </c>
      <c r="B23" s="11" t="str" cm="1">
        <f t="array" ref="B23" xml:space="preserve"> GetCSVIndexWithUnits(A2,7)</f>
        <v>0</v>
      </c>
      <c r="C23" s="11" t="str" cm="1">
        <f t="array" ref="C23">GetCSVIndex(A2,38)</f>
        <v>0</v>
      </c>
      <c r="D23" s="11" t="s">
        <v>28</v>
      </c>
      <c r="E23" s="11" t="str" cm="1">
        <f t="array" ref="E23" xml:space="preserve"> GetCSVIndexWithUnits(A2,69)</f>
        <v>0</v>
      </c>
      <c r="F23" s="11" t="str" cm="1">
        <f t="array" ref="F23">GetCSVIndex(A2,81)</f>
        <v>0</v>
      </c>
      <c r="G23" s="11"/>
      <c r="H23" s="11"/>
      <c r="I23" s="11"/>
    </row>
    <row r="24" spans="1:9" x14ac:dyDescent="0.25">
      <c r="A24" s="11" t="s">
        <v>41</v>
      </c>
      <c r="B24" s="11" t="str" cm="1">
        <f t="array" ref="B24" xml:space="preserve"> GetCSVIndexWithUnits(A2,8)</f>
        <v>0</v>
      </c>
      <c r="C24" s="11" t="str" cm="1">
        <f t="array" ref="C24">GetCSVIndex(A2,39)</f>
        <v>0</v>
      </c>
      <c r="D24" s="11" t="s">
        <v>29</v>
      </c>
      <c r="E24" s="11" t="str" cm="1">
        <f t="array" ref="E24" xml:space="preserve"> GetCSVIndexWithUnits(A2,70)</f>
        <v>0</v>
      </c>
      <c r="F24" s="11" t="str" cm="1">
        <f t="array" ref="F24">GetCSVIndex(A2,82)</f>
        <v>0</v>
      </c>
      <c r="G24" s="11"/>
      <c r="H24" s="11"/>
      <c r="I24" s="11"/>
    </row>
    <row r="25" spans="1:9" x14ac:dyDescent="0.25">
      <c r="A25" s="11" t="s">
        <v>42</v>
      </c>
      <c r="B25" s="11" t="str" cm="1">
        <f t="array" ref="B25" xml:space="preserve"> GetCSVIndexWithUnits(A2,9)</f>
        <v>0</v>
      </c>
      <c r="C25" s="11" t="str" cm="1">
        <f t="array" ref="C25">GetCSVIndex(A2,40)</f>
        <v>0</v>
      </c>
      <c r="D25" s="11" t="s">
        <v>30</v>
      </c>
      <c r="E25" s="11" t="str" cm="1">
        <f t="array" ref="E25" xml:space="preserve"> GetCSVIndexWithUnits(A2,71)</f>
        <v>0</v>
      </c>
      <c r="F25" s="11" t="str" cm="1">
        <f t="array" ref="F25">GetCSVIndex(A2,83)</f>
        <v>0</v>
      </c>
      <c r="G25" s="11"/>
      <c r="H25" s="11"/>
      <c r="I25" s="11"/>
    </row>
    <row r="26" spans="1:9" x14ac:dyDescent="0.25">
      <c r="A26" s="11" t="s">
        <v>43</v>
      </c>
      <c r="B26" s="11" t="str" cm="1">
        <f t="array" ref="B26" xml:space="preserve"> GetCSVIndexWithUnits(A2,10)</f>
        <v>0</v>
      </c>
      <c r="C26" s="11" t="str" cm="1">
        <f t="array" ref="C26">GetCSVIndex(A2,41)</f>
        <v>0</v>
      </c>
      <c r="D26" s="11" t="s">
        <v>31</v>
      </c>
      <c r="E26" s="11" t="str" cm="1">
        <f t="array" ref="E26" xml:space="preserve"> GetCSVIndexWithUnits(A2,72)</f>
        <v>0</v>
      </c>
      <c r="F26" s="11" t="str" cm="1">
        <f t="array" ref="F26">GetCSVIndex(A2,84)</f>
        <v>0</v>
      </c>
      <c r="G26" s="11"/>
      <c r="H26" s="11"/>
      <c r="I26" s="11"/>
    </row>
    <row r="27" spans="1:9" x14ac:dyDescent="0.25">
      <c r="A27" s="11" t="s">
        <v>44</v>
      </c>
      <c r="B27" s="11" t="str" cm="1">
        <f t="array" ref="B27" xml:space="preserve"> GetCSVIndexWithUnits(A2,11)</f>
        <v>0</v>
      </c>
      <c r="C27" s="11" t="str" cm="1">
        <f t="array" ref="C27">GetCSVIndex(A2,42)</f>
        <v>0</v>
      </c>
      <c r="D27" s="11" t="s">
        <v>32</v>
      </c>
      <c r="E27" s="11" t="str" cm="1">
        <f t="array" ref="E27" xml:space="preserve"> GetCSVIndexWithUnits(A2,73)</f>
        <v>0</v>
      </c>
      <c r="F27" s="11" t="str" cm="1">
        <f t="array" ref="F27">GetCSVIndex(A2,85)</f>
        <v>0</v>
      </c>
      <c r="G27" s="11"/>
      <c r="H27" s="11"/>
      <c r="I27" s="11"/>
    </row>
    <row r="28" spans="1:9" x14ac:dyDescent="0.25">
      <c r="A28" s="11" t="s">
        <v>45</v>
      </c>
      <c r="B28" s="11" t="str" cm="1">
        <f t="array" ref="B28" xml:space="preserve"> GetCSVIndexWithUnits(A2,12)</f>
        <v>0</v>
      </c>
      <c r="C28" s="11" t="str" cm="1">
        <f t="array" ref="C28">GetCSVIndex(A2,43)</f>
        <v>0</v>
      </c>
      <c r="D28" s="11"/>
      <c r="E28" s="11"/>
      <c r="F28" s="11"/>
      <c r="G28" s="11"/>
      <c r="H28" s="11"/>
      <c r="I28" s="11"/>
    </row>
    <row r="29" spans="1:9" x14ac:dyDescent="0.25">
      <c r="A29" s="11" t="s">
        <v>46</v>
      </c>
      <c r="B29" s="11" t="str" cm="1">
        <f t="array" ref="B29" xml:space="preserve"> GetCSVIndexWithUnits(A2,13)</f>
        <v>0</v>
      </c>
      <c r="C29" s="11" t="str" cm="1">
        <f t="array" ref="C29">GetCSVIndex(A2,44)</f>
        <v>0</v>
      </c>
      <c r="D29" s="11"/>
      <c r="E29" s="11"/>
      <c r="F29" s="11"/>
      <c r="G29" s="11"/>
      <c r="H29" s="11"/>
      <c r="I29" s="11"/>
    </row>
    <row r="30" spans="1:9" x14ac:dyDescent="0.25">
      <c r="A30" s="11" t="s">
        <v>47</v>
      </c>
      <c r="B30" s="11" t="str" cm="1">
        <f t="array" ref="B30" xml:space="preserve"> GetCSVIndexWithUnits(A2,14)</f>
        <v>0</v>
      </c>
      <c r="C30" s="11" t="str" cm="1">
        <f t="array" ref="C30">GetCSVIndex(A2,45)</f>
        <v>2025-03-15</v>
      </c>
      <c r="D30" s="11"/>
      <c r="E30" s="11"/>
      <c r="F30" s="11"/>
      <c r="G30" s="11"/>
      <c r="H30" s="11"/>
      <c r="I30" s="11"/>
    </row>
    <row r="31" spans="1:9" x14ac:dyDescent="0.25">
      <c r="A31" s="11" t="s">
        <v>48</v>
      </c>
      <c r="B31" s="11" t="str" cm="1">
        <f t="array" ref="B31" xml:space="preserve"> GetCSVIndexWithUnits(A2,15)</f>
        <v>21234</v>
      </c>
      <c r="C31" s="11" t="str" cm="1">
        <f t="array" ref="C31">GetCSVIndex(A2,46)</f>
        <v>2025-03-16</v>
      </c>
      <c r="D31" s="11"/>
      <c r="E31" s="11"/>
      <c r="F31" s="11"/>
      <c r="G31" s="11"/>
      <c r="H31" s="11"/>
      <c r="I31" s="11"/>
    </row>
    <row r="32" spans="1:9" x14ac:dyDescent="0.25">
      <c r="A32" s="11" t="s">
        <v>49</v>
      </c>
      <c r="B32" s="11" t="str" cm="1">
        <f t="array" ref="B32" xml:space="preserve"> GetCSVIndexWithUnits(A2,16)</f>
        <v>0</v>
      </c>
      <c r="C32" s="11" t="str" cm="1">
        <f t="array" ref="C32">GetCSVIndex(A2,47)</f>
        <v>0</v>
      </c>
      <c r="D32" s="11"/>
      <c r="E32" s="11"/>
      <c r="F32" s="11"/>
      <c r="G32" s="11"/>
      <c r="H32" s="11"/>
      <c r="I32" s="11"/>
    </row>
    <row r="33" spans="1:9" x14ac:dyDescent="0.25">
      <c r="A33" s="11" t="s">
        <v>50</v>
      </c>
      <c r="B33" s="11" t="str" cm="1">
        <f t="array" ref="B33" xml:space="preserve"> GetCSVIndexWithUnits(A2,17)</f>
        <v>0</v>
      </c>
      <c r="C33" s="11" t="str" cm="1">
        <f t="array" ref="C33">GetCSVIndex(A2,48)</f>
        <v>0</v>
      </c>
      <c r="D33" s="11"/>
      <c r="E33" s="11"/>
      <c r="F33" s="11"/>
      <c r="G33" s="11"/>
      <c r="H33" s="11"/>
      <c r="I33" s="11"/>
    </row>
    <row r="34" spans="1:9" x14ac:dyDescent="0.25">
      <c r="A34" s="11" t="s">
        <v>51</v>
      </c>
      <c r="B34" s="11" t="str" cm="1">
        <f t="array" ref="B34" xml:space="preserve"> GetCSVIndexWithUnits(A2,18)</f>
        <v>0</v>
      </c>
      <c r="C34" s="11" t="str" cm="1">
        <f t="array" ref="C34">GetCSVIndex(A2,49)</f>
        <v>0</v>
      </c>
      <c r="D34" s="11"/>
      <c r="E34" s="11"/>
      <c r="F34" s="11"/>
      <c r="G34" s="11"/>
      <c r="H34" s="11"/>
      <c r="I34" s="11"/>
    </row>
    <row r="35" spans="1:9" x14ac:dyDescent="0.25">
      <c r="A35" s="11" t="s">
        <v>52</v>
      </c>
      <c r="B35" s="11" t="str" cm="1">
        <f t="array" ref="B35" xml:space="preserve"> GetCSVIndexWithUnits(A2,19)</f>
        <v>0</v>
      </c>
      <c r="C35" s="11" t="str" cm="1">
        <f t="array" ref="C35">GetCSVIndex(A2,50)</f>
        <v>0</v>
      </c>
      <c r="D35" s="11"/>
      <c r="E35" s="11"/>
      <c r="F35" s="11"/>
      <c r="G35" s="11"/>
      <c r="H35" s="11"/>
      <c r="I35" s="11"/>
    </row>
    <row r="36" spans="1:9" x14ac:dyDescent="0.25">
      <c r="A36" s="11" t="s">
        <v>53</v>
      </c>
      <c r="B36" s="11" t="str" cm="1">
        <f t="array" ref="B36" xml:space="preserve"> GetCSVIndexWithUnits(A2,20)</f>
        <v>0</v>
      </c>
      <c r="C36" s="11" t="str" cm="1">
        <f t="array" ref="C36">GetCSVIndex(A2,51)</f>
        <v>0</v>
      </c>
      <c r="D36" s="11"/>
      <c r="E36" s="11"/>
      <c r="F36" s="11"/>
      <c r="G36" s="11"/>
      <c r="H36" s="11"/>
      <c r="I36" s="11"/>
    </row>
    <row r="37" spans="1:9" x14ac:dyDescent="0.25">
      <c r="A37" s="11" t="s">
        <v>54</v>
      </c>
      <c r="B37" s="11" t="str" cm="1">
        <f t="array" ref="B37" xml:space="preserve"> GetCSVIndexWithUnits(A2,21)</f>
        <v>0</v>
      </c>
      <c r="C37" s="11" t="str" cm="1">
        <f t="array" ref="C37">GetCSVIndex(A2,52)</f>
        <v>0</v>
      </c>
      <c r="D37" s="11"/>
      <c r="E37" s="11"/>
      <c r="F37" s="11"/>
      <c r="G37" s="11"/>
      <c r="H37" s="11"/>
      <c r="I37" s="11"/>
    </row>
    <row r="38" spans="1:9" x14ac:dyDescent="0.25">
      <c r="A38" s="11" t="s">
        <v>55</v>
      </c>
      <c r="B38" s="11" t="str" cm="1">
        <f t="array" ref="B38" xml:space="preserve"> GetCSVIndexWithUnits(A2,22)</f>
        <v>0</v>
      </c>
      <c r="C38" s="11" t="str" cm="1">
        <f t="array" ref="C38">GetCSVIndex(A2,53)</f>
        <v>0</v>
      </c>
      <c r="D38" s="11"/>
      <c r="E38" s="11"/>
      <c r="F38" s="11"/>
      <c r="G38" s="11"/>
      <c r="H38" s="11"/>
      <c r="I38" s="11"/>
    </row>
    <row r="39" spans="1:9" x14ac:dyDescent="0.25">
      <c r="A39" s="11" t="s">
        <v>56</v>
      </c>
      <c r="B39" s="11" t="str" cm="1">
        <f t="array" ref="B39" xml:space="preserve"> GetCSVIndexWithUnits(A2,23)</f>
        <v>0</v>
      </c>
      <c r="C39" s="11" t="str" cm="1">
        <f t="array" ref="C39">GetCSVIndex(A2,54)</f>
        <v>0</v>
      </c>
      <c r="D39" s="11"/>
      <c r="E39" s="11"/>
      <c r="F39" s="11"/>
      <c r="G39" s="11"/>
      <c r="H39" s="11"/>
      <c r="I39" s="11"/>
    </row>
    <row r="40" spans="1:9" x14ac:dyDescent="0.25">
      <c r="A40" s="11" t="s">
        <v>57</v>
      </c>
      <c r="B40" s="11" t="str" cm="1">
        <f t="array" ref="B40" xml:space="preserve"> GetCSVIndexWithUnits(A2,24)</f>
        <v>0</v>
      </c>
      <c r="C40" s="11" t="str" cm="1">
        <f t="array" ref="C40">GetCSVIndex(A2,55)</f>
        <v>0</v>
      </c>
      <c r="D40" s="11"/>
      <c r="E40" s="11"/>
      <c r="F40" s="11"/>
      <c r="G40" s="11"/>
      <c r="H40" s="11"/>
      <c r="I40" s="11"/>
    </row>
    <row r="41" spans="1:9" x14ac:dyDescent="0.25">
      <c r="A41" s="11" t="s">
        <v>58</v>
      </c>
      <c r="B41" s="11" t="str" cm="1">
        <f t="array" ref="B41" xml:space="preserve"> GetCSVIndexWithUnits(A2,25)</f>
        <v>0</v>
      </c>
      <c r="C41" s="11" t="str" cm="1">
        <f t="array" ref="C41">GetCSVIndex(A2,56)</f>
        <v>0</v>
      </c>
      <c r="D41" s="11"/>
      <c r="E41" s="11"/>
      <c r="F41" s="11"/>
      <c r="G41" s="11"/>
      <c r="H41" s="11"/>
      <c r="I41" s="11"/>
    </row>
    <row r="42" spans="1:9" x14ac:dyDescent="0.25">
      <c r="A42" s="11" t="s">
        <v>59</v>
      </c>
      <c r="B42" s="11" t="str" cm="1">
        <f t="array" ref="B42" xml:space="preserve"> GetCSVIndexWithUnits(A2,26)</f>
        <v>0</v>
      </c>
      <c r="C42" s="11" t="str" cm="1">
        <f t="array" ref="C42">GetCSVIndex(A2,57)</f>
        <v>0</v>
      </c>
      <c r="D42" s="11"/>
      <c r="E42" s="11"/>
      <c r="F42" s="11"/>
      <c r="G42" s="11"/>
      <c r="H42" s="11"/>
      <c r="I42" s="11"/>
    </row>
    <row r="43" spans="1:9" x14ac:dyDescent="0.25">
      <c r="A43" s="11" t="s">
        <v>60</v>
      </c>
      <c r="B43" s="11" t="str" cm="1">
        <f t="array" ref="B43" xml:space="preserve"> GetCSVIndexWithUnits(A2,27)</f>
        <v>0</v>
      </c>
      <c r="C43" s="11" t="str" cm="1">
        <f t="array" ref="C43">GetCSVIndex(A2,58)</f>
        <v>0</v>
      </c>
      <c r="D43" s="11"/>
      <c r="E43" s="11"/>
      <c r="F43" s="11"/>
      <c r="G43" s="11"/>
      <c r="H43" s="11"/>
      <c r="I43" s="11"/>
    </row>
    <row r="44" spans="1:9" x14ac:dyDescent="0.25">
      <c r="A44" s="11" t="s">
        <v>61</v>
      </c>
      <c r="B44" s="11" t="str" cm="1">
        <f t="array" ref="B44" xml:space="preserve"> GetCSVIndexWithUnits(A2,28)</f>
        <v>0</v>
      </c>
      <c r="C44" s="11" t="str" cm="1">
        <f t="array" ref="C44">GetCSVIndex(A2,59)</f>
        <v>0</v>
      </c>
      <c r="D44" s="11"/>
      <c r="E44" s="11"/>
      <c r="F44" s="11"/>
      <c r="G44" s="11"/>
      <c r="H44" s="11"/>
      <c r="I44" s="11"/>
    </row>
    <row r="45" spans="1:9" x14ac:dyDescent="0.25">
      <c r="A45" s="11" t="s">
        <v>62</v>
      </c>
      <c r="B45" s="11" t="str" cm="1">
        <f t="array" ref="B45" xml:space="preserve"> GetCSVIndexWithUnits(A2,29)</f>
        <v>0</v>
      </c>
      <c r="C45" s="11" t="str" cm="1">
        <f t="array" ref="C45">GetCSVIndex(A2,60)</f>
        <v>0</v>
      </c>
      <c r="D45" s="11"/>
      <c r="E45" s="11"/>
      <c r="F45" s="11"/>
      <c r="G45" s="11"/>
      <c r="H45" s="11"/>
      <c r="I45" s="11"/>
    </row>
    <row r="46" spans="1:9" x14ac:dyDescent="0.25">
      <c r="A46" s="11" t="s">
        <v>63</v>
      </c>
      <c r="B46" s="11" t="str" cm="1">
        <f t="array" ref="B46" xml:space="preserve"> GetCSVIndexWithUnits(A2,30)</f>
        <v>0</v>
      </c>
      <c r="C46" s="11" t="str" cm="1">
        <f t="array" ref="C46">GetCSVIndex(A2,61)</f>
        <v>0</v>
      </c>
      <c r="D46" s="11"/>
      <c r="E46" s="11"/>
      <c r="F46" s="11"/>
      <c r="G46" s="11"/>
      <c r="H46" s="11"/>
      <c r="I46" s="11"/>
    </row>
    <row r="47" spans="1:9" ht="23.25" customHeight="1" x14ac:dyDescent="0.25">
      <c r="A47" s="17"/>
      <c r="B47" s="18"/>
      <c r="C47" s="18"/>
      <c r="D47" s="18"/>
      <c r="E47" s="18"/>
      <c r="F47" s="18"/>
      <c r="G47" s="18"/>
      <c r="H47" s="18"/>
      <c r="I47" s="19"/>
    </row>
    <row r="48" spans="1:9" x14ac:dyDescent="0.25">
      <c r="A48" s="5"/>
      <c r="B48" s="5"/>
      <c r="C48" s="5"/>
      <c r="D48" s="5"/>
      <c r="E48" s="5"/>
      <c r="F48" s="5"/>
      <c r="G48" s="5"/>
      <c r="H48" s="5"/>
      <c r="I48" s="5"/>
    </row>
    <row r="49" spans="1:9" x14ac:dyDescent="0.25">
      <c r="A49" s="11"/>
      <c r="B49" s="11"/>
      <c r="C49" s="11"/>
      <c r="D49" s="11"/>
      <c r="E49" s="11"/>
      <c r="F49" s="11"/>
      <c r="G49" s="11"/>
      <c r="H49" s="11"/>
      <c r="I49" s="11"/>
    </row>
    <row r="50" spans="1:9" x14ac:dyDescent="0.25">
      <c r="A50" s="11"/>
      <c r="B50" s="11"/>
      <c r="C50" s="11"/>
      <c r="D50" s="11"/>
      <c r="E50" s="11"/>
      <c r="F50" s="11"/>
      <c r="G50" s="11"/>
      <c r="H50" s="11"/>
      <c r="I50" s="11"/>
    </row>
    <row r="51" spans="1:9" x14ac:dyDescent="0.25">
      <c r="A51" s="11"/>
      <c r="B51" s="11"/>
      <c r="C51" s="11"/>
      <c r="D51" s="11"/>
      <c r="E51" s="11"/>
      <c r="F51" s="11"/>
      <c r="G51" s="11"/>
      <c r="H51" s="11"/>
      <c r="I51" s="11"/>
    </row>
    <row r="52" spans="1:9" x14ac:dyDescent="0.25">
      <c r="A52" s="11"/>
      <c r="B52" s="11"/>
      <c r="C52" s="11"/>
      <c r="D52" s="11"/>
      <c r="E52" s="11"/>
      <c r="F52" s="11"/>
      <c r="G52" s="11"/>
      <c r="H52" s="11"/>
      <c r="I52" s="11"/>
    </row>
    <row r="53" spans="1:9" x14ac:dyDescent="0.25">
      <c r="A53" s="11"/>
      <c r="B53" s="11"/>
      <c r="C53" s="11"/>
      <c r="D53" s="11"/>
      <c r="E53" s="11"/>
      <c r="F53" s="11"/>
      <c r="G53" s="11"/>
      <c r="H53" s="11"/>
      <c r="I53" s="11"/>
    </row>
    <row r="54" spans="1:9" x14ac:dyDescent="0.25">
      <c r="A54" s="11"/>
      <c r="B54" s="11"/>
      <c r="C54" s="11"/>
      <c r="D54" s="11"/>
      <c r="E54" s="11"/>
      <c r="F54" s="11"/>
      <c r="G54" s="11"/>
      <c r="H54" s="11"/>
      <c r="I54" s="11"/>
    </row>
    <row r="55" spans="1:9" x14ac:dyDescent="0.25">
      <c r="A55" s="11"/>
      <c r="B55" s="11"/>
      <c r="C55" s="11"/>
      <c r="D55" s="11"/>
      <c r="E55" s="11"/>
      <c r="F55" s="11"/>
      <c r="G55" s="11"/>
      <c r="H55" s="11"/>
      <c r="I55" s="11"/>
    </row>
    <row r="56" spans="1:9" x14ac:dyDescent="0.25">
      <c r="A56" s="11"/>
      <c r="B56" s="11"/>
      <c r="C56" s="11"/>
      <c r="D56" s="11"/>
      <c r="E56" s="11"/>
      <c r="F56" s="11"/>
      <c r="G56" s="11"/>
      <c r="H56" s="11"/>
      <c r="I56" s="11"/>
    </row>
    <row r="57" spans="1:9" x14ac:dyDescent="0.25">
      <c r="A57" s="11"/>
      <c r="B57" s="11"/>
      <c r="C57" s="11"/>
      <c r="D57" s="11"/>
      <c r="E57" s="11"/>
      <c r="F57" s="11"/>
      <c r="G57" s="11"/>
      <c r="H57" s="11"/>
      <c r="I57" s="11"/>
    </row>
    <row r="58" spans="1:9" x14ac:dyDescent="0.25">
      <c r="A58" s="11"/>
      <c r="B58" s="11"/>
      <c r="C58" s="11"/>
      <c r="D58" s="11"/>
      <c r="E58" s="11"/>
      <c r="F58" s="11"/>
      <c r="G58" s="11"/>
      <c r="H58" s="11"/>
      <c r="I58" s="11"/>
    </row>
    <row r="59" spans="1:9" x14ac:dyDescent="0.25">
      <c r="A59" s="11"/>
      <c r="B59" s="11"/>
      <c r="C59" s="11"/>
      <c r="D59" s="11"/>
      <c r="E59" s="11"/>
      <c r="F59" s="11"/>
      <c r="G59" s="11"/>
      <c r="H59" s="11"/>
      <c r="I59" s="11"/>
    </row>
    <row r="60" spans="1:9" x14ac:dyDescent="0.25">
      <c r="A60" s="11"/>
      <c r="B60" s="11"/>
      <c r="C60" s="11"/>
      <c r="D60" s="11"/>
      <c r="E60" s="11"/>
      <c r="F60" s="11"/>
      <c r="G60" s="11"/>
      <c r="H60" s="11"/>
      <c r="I60" s="11"/>
    </row>
    <row r="61" spans="1:9" x14ac:dyDescent="0.25">
      <c r="A61" s="11"/>
      <c r="B61" s="11"/>
      <c r="C61" s="11"/>
      <c r="D61" s="11"/>
      <c r="E61" s="11"/>
      <c r="F61" s="11"/>
      <c r="G61" s="11"/>
      <c r="H61" s="11"/>
      <c r="I61" s="11"/>
    </row>
    <row r="62" spans="1:9" x14ac:dyDescent="0.25">
      <c r="A62" s="11"/>
      <c r="B62" s="11"/>
      <c r="C62" s="11"/>
      <c r="D62" s="11"/>
      <c r="E62" s="11"/>
      <c r="F62" s="11"/>
      <c r="G62" s="11"/>
      <c r="H62" s="11"/>
      <c r="I62" s="11"/>
    </row>
    <row r="63" spans="1:9" x14ac:dyDescent="0.25">
      <c r="A63" s="11"/>
      <c r="B63" s="11"/>
      <c r="C63" s="11"/>
      <c r="D63" s="11"/>
      <c r="E63" s="11"/>
      <c r="F63" s="11"/>
      <c r="G63" s="11"/>
      <c r="H63" s="11"/>
      <c r="I63" s="11"/>
    </row>
    <row r="64" spans="1:9" x14ac:dyDescent="0.25">
      <c r="A64" s="11"/>
      <c r="B64" s="11"/>
      <c r="C64" s="11"/>
      <c r="D64" s="11"/>
      <c r="E64" s="11"/>
      <c r="F64" s="11"/>
      <c r="G64" s="11"/>
      <c r="H64" s="11"/>
      <c r="I64" s="11"/>
    </row>
    <row r="65" spans="1:9" x14ac:dyDescent="0.25">
      <c r="A65" s="11"/>
      <c r="B65" s="11"/>
      <c r="C65" s="11"/>
      <c r="D65" s="11"/>
      <c r="E65" s="11"/>
      <c r="F65" s="11"/>
      <c r="G65" s="11"/>
      <c r="H65" s="11"/>
      <c r="I65" s="11"/>
    </row>
    <row r="66" spans="1:9" x14ac:dyDescent="0.25">
      <c r="A66" s="11"/>
      <c r="B66" s="11"/>
      <c r="C66" s="11"/>
      <c r="D66" s="11"/>
      <c r="E66" s="11"/>
      <c r="F66" s="11"/>
      <c r="G66" s="11"/>
      <c r="H66" s="11"/>
      <c r="I66" s="11"/>
    </row>
    <row r="67" spans="1:9" x14ac:dyDescent="0.25">
      <c r="A67" s="11"/>
      <c r="B67" s="11"/>
      <c r="C67" s="11"/>
      <c r="D67" s="11"/>
      <c r="E67" s="11"/>
      <c r="F67" s="11"/>
      <c r="G67" s="11"/>
      <c r="H67" s="11"/>
      <c r="I67" s="11"/>
    </row>
    <row r="68" spans="1:9" x14ac:dyDescent="0.25">
      <c r="A68" s="11"/>
      <c r="B68" s="11"/>
      <c r="C68" s="11"/>
      <c r="D68" s="11"/>
      <c r="E68" s="11"/>
      <c r="F68" s="11"/>
      <c r="G68" s="11"/>
      <c r="H68" s="11"/>
      <c r="I68" s="11"/>
    </row>
    <row r="69" spans="1:9" x14ac:dyDescent="0.25">
      <c r="A69" s="11"/>
      <c r="B69" s="11"/>
      <c r="C69" s="11"/>
      <c r="D69" s="11"/>
      <c r="E69" s="11"/>
      <c r="F69" s="11"/>
      <c r="G69" s="11"/>
      <c r="H69" s="11"/>
      <c r="I69" s="11"/>
    </row>
    <row r="70" spans="1:9" x14ac:dyDescent="0.25">
      <c r="A70" s="11"/>
      <c r="B70" s="11"/>
      <c r="C70" s="11"/>
      <c r="D70" s="11"/>
      <c r="E70" s="11"/>
      <c r="F70" s="11"/>
      <c r="G70" s="11"/>
      <c r="H70" s="11"/>
      <c r="I70" s="11"/>
    </row>
    <row r="71" spans="1:9" x14ac:dyDescent="0.25">
      <c r="A71" s="11"/>
      <c r="B71" s="11"/>
      <c r="C71" s="11"/>
      <c r="D71" s="11"/>
      <c r="E71" s="11"/>
      <c r="F71" s="11"/>
      <c r="G71" s="11"/>
      <c r="H71" s="11"/>
      <c r="I71" s="11"/>
    </row>
    <row r="72" spans="1:9" x14ac:dyDescent="0.25">
      <c r="A72" s="11"/>
      <c r="B72" s="11"/>
      <c r="C72" s="11"/>
      <c r="D72" s="11"/>
      <c r="E72" s="11"/>
      <c r="F72" s="11"/>
      <c r="G72" s="11"/>
      <c r="H72" s="11"/>
      <c r="I72" s="11"/>
    </row>
    <row r="73" spans="1:9" x14ac:dyDescent="0.25">
      <c r="A73" s="11"/>
      <c r="B73" s="11"/>
      <c r="C73" s="11"/>
      <c r="D73" s="11"/>
      <c r="E73" s="11"/>
      <c r="F73" s="11"/>
      <c r="G73" s="11"/>
      <c r="H73" s="11"/>
      <c r="I73" s="11"/>
    </row>
    <row r="74" spans="1:9" x14ac:dyDescent="0.25">
      <c r="A74" s="11"/>
      <c r="B74" s="11"/>
      <c r="C74" s="11"/>
      <c r="D74" s="11"/>
      <c r="E74" s="11"/>
      <c r="F74" s="11"/>
      <c r="G74" s="11"/>
      <c r="H74" s="11"/>
      <c r="I74" s="11"/>
    </row>
    <row r="75" spans="1:9" x14ac:dyDescent="0.25">
      <c r="A75" s="11"/>
      <c r="B75" s="11"/>
      <c r="C75" s="11"/>
      <c r="D75" s="11"/>
      <c r="E75" s="11"/>
      <c r="F75" s="11"/>
      <c r="G75" s="11"/>
      <c r="H75" s="11"/>
      <c r="I75" s="11"/>
    </row>
    <row r="76" spans="1:9" x14ac:dyDescent="0.25">
      <c r="A76" s="11"/>
      <c r="B76" s="11"/>
      <c r="C76" s="11"/>
      <c r="D76" s="11"/>
      <c r="E76" s="11"/>
      <c r="F76" s="11"/>
      <c r="G76" s="11"/>
      <c r="H76" s="11"/>
      <c r="I76" s="11"/>
    </row>
    <row r="77" spans="1:9" x14ac:dyDescent="0.25">
      <c r="A77" s="11"/>
      <c r="B77" s="11"/>
      <c r="C77" s="11"/>
      <c r="D77" s="11"/>
      <c r="E77" s="11"/>
      <c r="F77" s="11"/>
      <c r="G77" s="11"/>
      <c r="H77" s="11"/>
      <c r="I77" s="11"/>
    </row>
    <row r="78" spans="1:9" x14ac:dyDescent="0.25">
      <c r="A78" s="11"/>
      <c r="B78" s="11"/>
      <c r="C78" s="11"/>
      <c r="D78" s="11"/>
      <c r="E78" s="11"/>
      <c r="F78" s="11"/>
      <c r="G78" s="11"/>
      <c r="H78" s="11"/>
      <c r="I78" s="11"/>
    </row>
    <row r="79" spans="1:9" x14ac:dyDescent="0.25">
      <c r="A79" s="11"/>
      <c r="B79" s="11"/>
      <c r="C79" s="11"/>
      <c r="D79" s="11"/>
      <c r="E79" s="11"/>
      <c r="F79" s="11"/>
      <c r="G79" s="11"/>
      <c r="H79" s="11"/>
      <c r="I79" s="11"/>
    </row>
    <row r="80" spans="1:9" x14ac:dyDescent="0.25">
      <c r="A80" s="11"/>
      <c r="B80" s="11"/>
      <c r="C80" s="11"/>
      <c r="D80" s="11"/>
      <c r="E80" s="11"/>
      <c r="F80" s="11"/>
      <c r="G80" s="11"/>
      <c r="H80" s="11"/>
      <c r="I80" s="11"/>
    </row>
    <row r="81" spans="1:9" x14ac:dyDescent="0.25">
      <c r="A81" s="11"/>
      <c r="B81" s="11"/>
      <c r="C81" s="11"/>
      <c r="D81" s="11"/>
      <c r="E81" s="11"/>
      <c r="F81" s="11"/>
      <c r="G81" s="11"/>
      <c r="H81" s="11"/>
      <c r="I81" s="11"/>
    </row>
    <row r="82" spans="1:9" x14ac:dyDescent="0.25">
      <c r="A82" s="11"/>
      <c r="B82" s="11"/>
      <c r="C82" s="11"/>
      <c r="D82" s="11"/>
      <c r="E82" s="11"/>
      <c r="F82" s="11"/>
      <c r="G82" s="11"/>
      <c r="H82" s="11"/>
      <c r="I82" s="11"/>
    </row>
    <row r="83" spans="1:9" x14ac:dyDescent="0.25">
      <c r="A83" s="11"/>
      <c r="B83" s="11"/>
      <c r="C83" s="11"/>
      <c r="D83" s="11"/>
      <c r="E83" s="11"/>
      <c r="F83" s="11"/>
      <c r="G83" s="11"/>
      <c r="H83" s="11"/>
      <c r="I83" s="11"/>
    </row>
    <row r="84" spans="1:9" x14ac:dyDescent="0.25">
      <c r="A84" s="11"/>
      <c r="B84" s="11"/>
      <c r="C84" s="11"/>
      <c r="D84" s="11"/>
      <c r="E84" s="11"/>
      <c r="F84" s="11"/>
      <c r="G84" s="11"/>
      <c r="H84" s="11"/>
      <c r="I84" s="11"/>
    </row>
    <row r="85" spans="1:9" x14ac:dyDescent="0.25">
      <c r="A85" s="11"/>
      <c r="B85" s="11"/>
      <c r="C85" s="11"/>
      <c r="D85" s="11"/>
      <c r="E85" s="11"/>
      <c r="F85" s="11"/>
      <c r="G85" s="11"/>
      <c r="H85" s="11"/>
      <c r="I85" s="11"/>
    </row>
    <row r="86" spans="1:9" x14ac:dyDescent="0.25">
      <c r="A86" s="11"/>
      <c r="B86" s="11"/>
      <c r="C86" s="11"/>
      <c r="D86" s="11"/>
      <c r="E86" s="11"/>
      <c r="F86" s="11"/>
      <c r="G86" s="11"/>
      <c r="H86" s="11"/>
      <c r="I86" s="11"/>
    </row>
    <row r="87" spans="1:9" x14ac:dyDescent="0.25">
      <c r="A87" s="11"/>
      <c r="B87" s="11"/>
      <c r="C87" s="11"/>
      <c r="D87" s="11"/>
      <c r="E87" s="11"/>
      <c r="F87" s="11"/>
      <c r="G87" s="11"/>
      <c r="H87" s="11"/>
      <c r="I87" s="11"/>
    </row>
    <row r="88" spans="1:9" x14ac:dyDescent="0.25">
      <c r="A88" s="11"/>
      <c r="B88" s="11"/>
      <c r="C88" s="11"/>
      <c r="D88" s="11"/>
      <c r="E88" s="11"/>
      <c r="F88" s="11"/>
      <c r="G88" s="11"/>
      <c r="H88" s="11"/>
      <c r="I88" s="11"/>
    </row>
    <row r="89" spans="1:9" x14ac:dyDescent="0.25">
      <c r="A89" s="11"/>
      <c r="B89" s="11"/>
      <c r="C89" s="11"/>
      <c r="D89" s="11"/>
      <c r="E89" s="11"/>
      <c r="F89" s="11"/>
      <c r="G89" s="11"/>
      <c r="H89" s="11"/>
      <c r="I89" s="11"/>
    </row>
    <row r="90" spans="1:9" x14ac:dyDescent="0.25">
      <c r="A90" s="11"/>
      <c r="B90" s="11"/>
      <c r="C90" s="11"/>
      <c r="D90" s="11"/>
      <c r="E90" s="11"/>
      <c r="F90" s="11"/>
      <c r="G90" s="11"/>
      <c r="H90" s="11"/>
      <c r="I90" s="11"/>
    </row>
    <row r="91" spans="1:9" x14ac:dyDescent="0.25">
      <c r="A91" s="11"/>
      <c r="B91" s="11"/>
      <c r="C91" s="11"/>
      <c r="D91" s="11"/>
      <c r="E91" s="11"/>
      <c r="F91" s="11"/>
      <c r="G91" s="11"/>
      <c r="H91" s="11"/>
      <c r="I91" s="11"/>
    </row>
    <row r="92" spans="1:9" x14ac:dyDescent="0.25">
      <c r="A92" s="11"/>
      <c r="B92" s="11"/>
      <c r="C92" s="11"/>
      <c r="D92" s="11"/>
      <c r="E92" s="11"/>
      <c r="F92" s="11"/>
      <c r="G92" s="11"/>
      <c r="H92" s="11"/>
      <c r="I92" s="11"/>
    </row>
    <row r="93" spans="1:9" x14ac:dyDescent="0.25">
      <c r="A93" s="11"/>
      <c r="B93" s="11"/>
      <c r="C93" s="11"/>
      <c r="D93" s="11"/>
      <c r="E93" s="11"/>
      <c r="F93" s="11"/>
      <c r="G93" s="11"/>
      <c r="H93" s="11"/>
      <c r="I93" s="11"/>
    </row>
    <row r="94" spans="1:9" x14ac:dyDescent="0.25">
      <c r="A94" s="11"/>
      <c r="B94" s="11"/>
      <c r="C94" s="11"/>
      <c r="D94" s="11"/>
      <c r="E94" s="11"/>
      <c r="F94" s="11"/>
      <c r="G94" s="11"/>
      <c r="H94" s="11"/>
      <c r="I94" s="11"/>
    </row>
    <row r="95" spans="1:9" x14ac:dyDescent="0.25">
      <c r="A95" s="11"/>
      <c r="B95" s="11"/>
      <c r="C95" s="11"/>
      <c r="D95" s="11"/>
      <c r="E95" s="11"/>
      <c r="F95" s="11"/>
      <c r="G95" s="11"/>
      <c r="H95" s="11"/>
      <c r="I95" s="11"/>
    </row>
    <row r="96" spans="1:9" x14ac:dyDescent="0.25">
      <c r="A96" s="11"/>
      <c r="B96" s="11"/>
      <c r="C96" s="11"/>
      <c r="D96" s="11"/>
      <c r="E96" s="11"/>
      <c r="F96" s="11"/>
      <c r="G96" s="11"/>
      <c r="H96" s="11"/>
      <c r="I96" s="11"/>
    </row>
    <row r="97" spans="1:9" x14ac:dyDescent="0.25">
      <c r="A97" s="11"/>
      <c r="B97" s="11"/>
      <c r="C97" s="11"/>
      <c r="D97" s="11"/>
      <c r="E97" s="11"/>
      <c r="F97" s="11"/>
      <c r="G97" s="11"/>
      <c r="H97" s="11"/>
      <c r="I97" s="11"/>
    </row>
    <row r="98" spans="1:9" x14ac:dyDescent="0.25">
      <c r="A98" s="11"/>
      <c r="B98" s="11"/>
      <c r="C98" s="11"/>
      <c r="D98" s="11"/>
      <c r="E98" s="11"/>
      <c r="F98" s="11"/>
      <c r="G98" s="11"/>
      <c r="H98" s="11"/>
      <c r="I98" s="11"/>
    </row>
    <row r="99" spans="1:9" x14ac:dyDescent="0.25">
      <c r="A99" s="11"/>
      <c r="B99" s="11"/>
      <c r="C99" s="11"/>
      <c r="D99" s="11"/>
      <c r="E99" s="11"/>
      <c r="F99" s="11"/>
      <c r="G99" s="11"/>
      <c r="H99" s="11"/>
      <c r="I99" s="11"/>
    </row>
    <row r="100" spans="1:9" x14ac:dyDescent="0.25">
      <c r="A100" s="11"/>
      <c r="B100" s="11"/>
      <c r="C100" s="11"/>
      <c r="D100" s="11"/>
      <c r="E100" s="11"/>
      <c r="F100" s="11"/>
      <c r="G100" s="11"/>
      <c r="H100" s="11"/>
      <c r="I100" s="11"/>
    </row>
    <row r="101" spans="1:9" x14ac:dyDescent="0.25">
      <c r="A101" s="11"/>
      <c r="B101" s="11"/>
      <c r="C101" s="11"/>
      <c r="D101" s="11"/>
      <c r="E101" s="11"/>
      <c r="F101" s="11"/>
      <c r="G101" s="11"/>
      <c r="H101" s="11"/>
      <c r="I101" s="11"/>
    </row>
    <row r="102" spans="1:9" x14ac:dyDescent="0.25">
      <c r="A102" s="11"/>
      <c r="B102" s="11"/>
      <c r="C102" s="11"/>
      <c r="D102" s="11"/>
      <c r="E102" s="11"/>
      <c r="F102" s="11"/>
      <c r="G102" s="11"/>
      <c r="H102" s="11"/>
      <c r="I102" s="11"/>
    </row>
    <row r="103" spans="1:9" x14ac:dyDescent="0.25">
      <c r="A103" s="11"/>
      <c r="B103" s="11"/>
      <c r="C103" s="11"/>
      <c r="D103" s="11"/>
      <c r="E103" s="11"/>
      <c r="F103" s="11"/>
      <c r="G103" s="11"/>
      <c r="H103" s="11"/>
      <c r="I103" s="11"/>
    </row>
    <row r="104" spans="1:9" x14ac:dyDescent="0.25">
      <c r="A104" s="11"/>
      <c r="B104" s="11"/>
      <c r="C104" s="11"/>
      <c r="D104" s="11"/>
      <c r="E104" s="11"/>
      <c r="F104" s="11"/>
      <c r="G104" s="11"/>
      <c r="H104" s="11"/>
      <c r="I104" s="11"/>
    </row>
    <row r="105" spans="1:9" x14ac:dyDescent="0.25">
      <c r="A105" s="11"/>
      <c r="B105" s="11"/>
      <c r="C105" s="11"/>
      <c r="D105" s="11"/>
      <c r="E105" s="11"/>
      <c r="F105" s="11"/>
      <c r="G105" s="11"/>
      <c r="H105" s="11"/>
      <c r="I105" s="11"/>
    </row>
    <row r="106" spans="1:9" x14ac:dyDescent="0.25">
      <c r="A106" s="11"/>
      <c r="B106" s="11"/>
      <c r="C106" s="11"/>
      <c r="D106" s="11"/>
      <c r="E106" s="11"/>
      <c r="F106" s="11"/>
      <c r="G106" s="11"/>
      <c r="H106" s="11"/>
      <c r="I106" s="11"/>
    </row>
    <row r="107" spans="1:9" x14ac:dyDescent="0.25">
      <c r="A107" s="11"/>
      <c r="B107" s="11"/>
      <c r="C107" s="11"/>
      <c r="D107" s="11"/>
      <c r="E107" s="11"/>
      <c r="F107" s="11"/>
      <c r="G107" s="11"/>
      <c r="H107" s="11"/>
      <c r="I107" s="11"/>
    </row>
    <row r="108" spans="1:9" x14ac:dyDescent="0.25">
      <c r="A108" s="11"/>
      <c r="B108" s="11"/>
      <c r="C108" s="11"/>
      <c r="D108" s="11"/>
      <c r="E108" s="11"/>
      <c r="F108" s="11"/>
      <c r="G108" s="11"/>
      <c r="H108" s="11"/>
      <c r="I108" s="11"/>
    </row>
    <row r="109" spans="1:9" x14ac:dyDescent="0.25">
      <c r="A109" s="11"/>
      <c r="B109" s="11"/>
      <c r="C109" s="11"/>
      <c r="D109" s="11"/>
      <c r="E109" s="11"/>
      <c r="F109" s="11"/>
      <c r="G109" s="11"/>
      <c r="H109" s="11"/>
      <c r="I109" s="11"/>
    </row>
    <row r="110" spans="1:9" x14ac:dyDescent="0.25">
      <c r="A110" s="11"/>
      <c r="B110" s="11"/>
      <c r="C110" s="11"/>
      <c r="D110" s="11"/>
      <c r="E110" s="11"/>
      <c r="F110" s="11"/>
      <c r="G110" s="11"/>
      <c r="H110" s="11"/>
      <c r="I110" s="11"/>
    </row>
    <row r="111" spans="1:9" x14ac:dyDescent="0.25">
      <c r="A111" s="11"/>
      <c r="B111" s="11"/>
      <c r="C111" s="11"/>
      <c r="D111" s="11"/>
      <c r="E111" s="11"/>
      <c r="F111" s="11"/>
      <c r="G111" s="11"/>
      <c r="H111" s="11"/>
      <c r="I111" s="11"/>
    </row>
    <row r="112" spans="1:9" x14ac:dyDescent="0.25">
      <c r="A112" s="11"/>
      <c r="B112" s="11"/>
      <c r="C112" s="11"/>
      <c r="D112" s="11"/>
      <c r="E112" s="11"/>
      <c r="F112" s="11"/>
      <c r="G112" s="11"/>
      <c r="H112" s="11"/>
      <c r="I112" s="11"/>
    </row>
    <row r="113" spans="1:9" x14ac:dyDescent="0.25">
      <c r="A113" s="11"/>
      <c r="B113" s="11"/>
      <c r="C113" s="11"/>
      <c r="D113" s="11"/>
      <c r="E113" s="11"/>
      <c r="F113" s="11"/>
      <c r="G113" s="11"/>
      <c r="H113" s="11"/>
      <c r="I113" s="11"/>
    </row>
    <row r="114" spans="1:9" x14ac:dyDescent="0.25">
      <c r="A114" s="11"/>
      <c r="B114" s="11"/>
      <c r="C114" s="11"/>
      <c r="D114" s="11"/>
      <c r="E114" s="11"/>
      <c r="F114" s="11"/>
      <c r="G114" s="11"/>
      <c r="H114" s="11"/>
      <c r="I114" s="11"/>
    </row>
    <row r="115" spans="1:9" x14ac:dyDescent="0.25">
      <c r="A115" s="11"/>
      <c r="B115" s="11"/>
      <c r="C115" s="11"/>
      <c r="D115" s="11"/>
      <c r="E115" s="11"/>
      <c r="F115" s="11"/>
      <c r="G115" s="11"/>
      <c r="H115" s="11"/>
      <c r="I115" s="11"/>
    </row>
    <row r="116" spans="1:9" x14ac:dyDescent="0.25">
      <c r="A116" s="11"/>
      <c r="B116" s="11"/>
      <c r="C116" s="11"/>
      <c r="D116" s="11"/>
      <c r="E116" s="11"/>
      <c r="F116" s="11"/>
      <c r="G116" s="11"/>
      <c r="H116" s="11"/>
      <c r="I116" s="11"/>
    </row>
    <row r="117" spans="1:9" x14ac:dyDescent="0.25">
      <c r="A117" s="11"/>
      <c r="B117" s="11"/>
      <c r="C117" s="11"/>
      <c r="D117" s="11"/>
      <c r="E117" s="11"/>
      <c r="F117" s="11"/>
      <c r="G117" s="11"/>
      <c r="H117" s="11"/>
      <c r="I117" s="11"/>
    </row>
    <row r="118" spans="1:9" x14ac:dyDescent="0.25">
      <c r="A118" s="11"/>
      <c r="B118" s="11"/>
      <c r="C118" s="11"/>
      <c r="D118" s="11"/>
      <c r="E118" s="11"/>
      <c r="F118" s="11"/>
      <c r="G118" s="11"/>
      <c r="H118" s="11"/>
      <c r="I118" s="11"/>
    </row>
    <row r="119" spans="1:9" x14ac:dyDescent="0.25">
      <c r="A119" s="11"/>
      <c r="B119" s="11"/>
      <c r="C119" s="11"/>
      <c r="D119" s="11"/>
      <c r="E119" s="11"/>
      <c r="F119" s="11"/>
      <c r="G119" s="11"/>
      <c r="H119" s="11"/>
      <c r="I119" s="11"/>
    </row>
    <row r="120" spans="1:9" x14ac:dyDescent="0.25">
      <c r="A120" s="11"/>
      <c r="B120" s="11"/>
      <c r="C120" s="11"/>
      <c r="D120" s="11"/>
      <c r="E120" s="11"/>
      <c r="F120" s="11"/>
      <c r="G120" s="11"/>
      <c r="H120" s="11"/>
      <c r="I120" s="11"/>
    </row>
    <row r="121" spans="1:9" x14ac:dyDescent="0.25">
      <c r="A121" s="11"/>
      <c r="B121" s="11"/>
      <c r="C121" s="11"/>
      <c r="D121" s="11"/>
      <c r="E121" s="11"/>
      <c r="F121" s="11"/>
      <c r="G121" s="11"/>
      <c r="H121" s="11"/>
      <c r="I121" s="11"/>
    </row>
    <row r="122" spans="1:9" x14ac:dyDescent="0.25">
      <c r="A122" s="11"/>
      <c r="B122" s="11"/>
      <c r="C122" s="11"/>
      <c r="D122" s="11"/>
      <c r="E122" s="11"/>
      <c r="F122" s="11"/>
      <c r="G122" s="11"/>
      <c r="H122" s="11"/>
      <c r="I122" s="11"/>
    </row>
    <row r="123" spans="1:9" x14ac:dyDescent="0.25">
      <c r="A123" s="11"/>
      <c r="B123" s="11"/>
      <c r="C123" s="11"/>
      <c r="D123" s="11"/>
      <c r="E123" s="11"/>
      <c r="F123" s="11"/>
      <c r="G123" s="11"/>
      <c r="H123" s="11"/>
      <c r="I123" s="11"/>
    </row>
    <row r="124" spans="1:9" x14ac:dyDescent="0.25">
      <c r="A124" s="11"/>
      <c r="B124" s="11"/>
      <c r="C124" s="11"/>
      <c r="D124" s="11"/>
      <c r="E124" s="11"/>
      <c r="F124" s="11"/>
      <c r="G124" s="11"/>
      <c r="H124" s="11"/>
      <c r="I124" s="11"/>
    </row>
    <row r="125" spans="1:9" x14ac:dyDescent="0.25">
      <c r="A125" s="11"/>
      <c r="B125" s="11"/>
      <c r="C125" s="11"/>
      <c r="D125" s="11"/>
      <c r="E125" s="11"/>
      <c r="F125" s="11"/>
      <c r="G125" s="11"/>
      <c r="H125" s="11"/>
      <c r="I125" s="11"/>
    </row>
    <row r="126" spans="1:9" x14ac:dyDescent="0.25">
      <c r="A126" s="11"/>
      <c r="B126" s="11"/>
      <c r="C126" s="11"/>
      <c r="D126" s="11"/>
      <c r="E126" s="11"/>
      <c r="F126" s="11"/>
      <c r="G126" s="11"/>
      <c r="H126" s="11"/>
      <c r="I126" s="11"/>
    </row>
    <row r="127" spans="1:9" x14ac:dyDescent="0.25">
      <c r="A127" s="11"/>
      <c r="B127" s="11"/>
      <c r="C127" s="11"/>
      <c r="D127" s="11"/>
      <c r="E127" s="11"/>
      <c r="F127" s="11"/>
      <c r="G127" s="11"/>
      <c r="H127" s="11"/>
      <c r="I127" s="11"/>
    </row>
    <row r="128" spans="1:9" x14ac:dyDescent="0.25">
      <c r="A128" s="11"/>
      <c r="B128" s="11"/>
      <c r="C128" s="11"/>
      <c r="D128" s="11"/>
      <c r="E128" s="11"/>
      <c r="F128" s="11"/>
      <c r="G128" s="11"/>
      <c r="H128" s="11"/>
      <c r="I128" s="11"/>
    </row>
    <row r="129" spans="1:9" x14ac:dyDescent="0.25">
      <c r="A129" s="11"/>
      <c r="B129" s="11"/>
      <c r="C129" s="11"/>
      <c r="D129" s="11"/>
      <c r="E129" s="11"/>
      <c r="F129" s="11"/>
      <c r="G129" s="11"/>
      <c r="H129" s="11"/>
      <c r="I129" s="11"/>
    </row>
    <row r="130" spans="1:9" x14ac:dyDescent="0.25">
      <c r="A130" s="11"/>
      <c r="B130" s="11"/>
      <c r="C130" s="11"/>
      <c r="D130" s="11"/>
      <c r="E130" s="11"/>
      <c r="F130" s="11"/>
      <c r="G130" s="11"/>
      <c r="H130" s="11"/>
      <c r="I130" s="11"/>
    </row>
    <row r="131" spans="1:9" x14ac:dyDescent="0.25">
      <c r="A131" s="11"/>
      <c r="B131" s="11"/>
      <c r="C131" s="11"/>
      <c r="D131" s="11"/>
      <c r="E131" s="11"/>
      <c r="F131" s="11"/>
      <c r="G131" s="11"/>
      <c r="H131" s="11"/>
      <c r="I131" s="11"/>
    </row>
    <row r="132" spans="1:9" x14ac:dyDescent="0.25">
      <c r="A132" s="11"/>
      <c r="B132" s="11"/>
      <c r="C132" s="11"/>
      <c r="D132" s="11"/>
      <c r="E132" s="11"/>
      <c r="F132" s="11"/>
      <c r="G132" s="11"/>
      <c r="H132" s="11"/>
      <c r="I132" s="11"/>
    </row>
    <row r="133" spans="1:9" x14ac:dyDescent="0.25">
      <c r="A133" s="11"/>
      <c r="B133" s="11"/>
      <c r="C133" s="11"/>
      <c r="D133" s="11"/>
      <c r="E133" s="11"/>
      <c r="F133" s="11"/>
      <c r="G133" s="11"/>
      <c r="H133" s="11"/>
      <c r="I133" s="11"/>
    </row>
    <row r="134" spans="1:9" x14ac:dyDescent="0.25">
      <c r="A134" s="11"/>
      <c r="B134" s="11"/>
      <c r="C134" s="11"/>
      <c r="D134" s="11"/>
      <c r="E134" s="11"/>
      <c r="F134" s="11"/>
      <c r="G134" s="11"/>
      <c r="H134" s="11"/>
      <c r="I134" s="11"/>
    </row>
    <row r="135" spans="1:9" x14ac:dyDescent="0.25">
      <c r="A135" s="11"/>
      <c r="B135" s="11"/>
      <c r="C135" s="11"/>
      <c r="D135" s="11"/>
      <c r="E135" s="11"/>
      <c r="F135" s="11"/>
      <c r="G135" s="11"/>
      <c r="H135" s="11"/>
      <c r="I135" s="11"/>
    </row>
    <row r="136" spans="1:9" x14ac:dyDescent="0.25">
      <c r="A136" s="11"/>
      <c r="B136" s="11"/>
      <c r="C136" s="11"/>
      <c r="D136" s="11"/>
      <c r="E136" s="11"/>
      <c r="F136" s="11"/>
      <c r="G136" s="11"/>
      <c r="H136" s="11"/>
      <c r="I136" s="11"/>
    </row>
    <row r="137" spans="1:9" x14ac:dyDescent="0.25">
      <c r="A137" s="11"/>
      <c r="B137" s="11"/>
      <c r="C137" s="11"/>
      <c r="D137" s="11"/>
      <c r="E137" s="11"/>
      <c r="F137" s="11"/>
      <c r="G137" s="11"/>
      <c r="H137" s="11"/>
      <c r="I137" s="11"/>
    </row>
    <row r="138" spans="1:9" x14ac:dyDescent="0.25">
      <c r="A138" s="11"/>
      <c r="B138" s="11"/>
      <c r="C138" s="11"/>
      <c r="D138" s="11"/>
      <c r="E138" s="11"/>
      <c r="F138" s="11"/>
      <c r="G138" s="11"/>
      <c r="H138" s="11"/>
      <c r="I138" s="11"/>
    </row>
    <row r="139" spans="1:9" x14ac:dyDescent="0.25">
      <c r="A139" s="11"/>
      <c r="B139" s="11"/>
      <c r="C139" s="11"/>
      <c r="D139" s="11"/>
      <c r="E139" s="11"/>
      <c r="F139" s="11"/>
      <c r="G139" s="11"/>
      <c r="H139" s="11"/>
      <c r="I139" s="11"/>
    </row>
    <row r="140" spans="1:9" x14ac:dyDescent="0.25">
      <c r="A140" s="11"/>
      <c r="B140" s="11"/>
      <c r="C140" s="11"/>
      <c r="D140" s="11"/>
      <c r="E140" s="11"/>
      <c r="F140" s="11"/>
      <c r="G140" s="11"/>
      <c r="H140" s="11"/>
      <c r="I140" s="11"/>
    </row>
    <row r="141" spans="1:9" x14ac:dyDescent="0.25">
      <c r="A141" s="11"/>
      <c r="B141" s="11"/>
      <c r="C141" s="11"/>
      <c r="D141" s="11"/>
      <c r="E141" s="11"/>
      <c r="F141" s="11"/>
      <c r="G141" s="11"/>
      <c r="H141" s="11"/>
      <c r="I141" s="11"/>
    </row>
    <row r="142" spans="1:9" x14ac:dyDescent="0.25">
      <c r="A142" s="11"/>
      <c r="B142" s="11"/>
      <c r="C142" s="11"/>
      <c r="D142" s="11"/>
      <c r="E142" s="11"/>
      <c r="F142" s="11"/>
      <c r="G142" s="11"/>
      <c r="H142" s="11"/>
      <c r="I142" s="11"/>
    </row>
    <row r="143" spans="1:9" x14ac:dyDescent="0.25">
      <c r="A143" s="11"/>
      <c r="B143" s="11"/>
      <c r="C143" s="11"/>
      <c r="D143" s="11"/>
      <c r="E143" s="11"/>
      <c r="F143" s="11"/>
      <c r="G143" s="11"/>
      <c r="H143" s="11"/>
      <c r="I143" s="11"/>
    </row>
    <row r="144" spans="1:9" x14ac:dyDescent="0.25">
      <c r="A144" s="11"/>
      <c r="B144" s="11"/>
      <c r="C144" s="11"/>
      <c r="D144" s="11"/>
      <c r="E144" s="11"/>
      <c r="F144" s="11"/>
      <c r="G144" s="11"/>
      <c r="H144" s="11"/>
      <c r="I144" s="11"/>
    </row>
    <row r="145" spans="1:9" x14ac:dyDescent="0.25">
      <c r="A145" s="11"/>
      <c r="B145" s="11"/>
      <c r="C145" s="11"/>
      <c r="D145" s="11"/>
      <c r="E145" s="11"/>
      <c r="F145" s="11"/>
      <c r="G145" s="11"/>
      <c r="H145" s="11"/>
      <c r="I145" s="11"/>
    </row>
    <row r="146" spans="1:9" x14ac:dyDescent="0.25">
      <c r="A146" s="11"/>
      <c r="B146" s="11"/>
      <c r="C146" s="11"/>
      <c r="D146" s="11"/>
      <c r="E146" s="11"/>
      <c r="F146" s="11"/>
      <c r="G146" s="11"/>
      <c r="H146" s="11"/>
      <c r="I146" s="11"/>
    </row>
    <row r="147" spans="1:9" x14ac:dyDescent="0.25">
      <c r="A147" s="11"/>
      <c r="B147" s="11"/>
      <c r="C147" s="11"/>
      <c r="D147" s="11"/>
      <c r="E147" s="11"/>
      <c r="F147" s="11"/>
      <c r="G147" s="11"/>
      <c r="H147" s="11"/>
      <c r="I147" s="11"/>
    </row>
    <row r="148" spans="1:9" x14ac:dyDescent="0.25">
      <c r="A148" s="11"/>
      <c r="B148" s="11"/>
      <c r="C148" s="11"/>
      <c r="D148" s="11"/>
      <c r="E148" s="11"/>
      <c r="F148" s="11"/>
      <c r="G148" s="11"/>
      <c r="H148" s="11"/>
      <c r="I148" s="11"/>
    </row>
    <row r="149" spans="1:9" x14ac:dyDescent="0.25">
      <c r="A149" s="11"/>
      <c r="B149" s="11"/>
      <c r="C149" s="11"/>
      <c r="D149" s="11"/>
      <c r="E149" s="11"/>
      <c r="F149" s="11"/>
      <c r="G149" s="11"/>
      <c r="H149" s="11"/>
      <c r="I149" s="11"/>
    </row>
    <row r="150" spans="1:9" x14ac:dyDescent="0.25">
      <c r="A150" s="11"/>
      <c r="B150" s="11"/>
      <c r="C150" s="11"/>
      <c r="D150" s="11"/>
      <c r="E150" s="11"/>
      <c r="F150" s="11"/>
      <c r="G150" s="11"/>
      <c r="H150" s="11"/>
      <c r="I150" s="11"/>
    </row>
    <row r="151" spans="1:9" x14ac:dyDescent="0.25">
      <c r="A151" s="11"/>
      <c r="B151" s="11"/>
      <c r="C151" s="11"/>
      <c r="D151" s="11"/>
      <c r="E151" s="11"/>
      <c r="F151" s="11"/>
      <c r="G151" s="11"/>
      <c r="H151" s="11"/>
      <c r="I151" s="11"/>
    </row>
    <row r="152" spans="1:9" x14ac:dyDescent="0.25">
      <c r="A152" s="11"/>
      <c r="B152" s="11"/>
      <c r="C152" s="11"/>
      <c r="D152" s="11"/>
      <c r="E152" s="11"/>
      <c r="F152" s="11"/>
      <c r="G152" s="11"/>
      <c r="H152" s="11"/>
      <c r="I152" s="11"/>
    </row>
    <row r="153" spans="1:9" x14ac:dyDescent="0.25">
      <c r="A153" s="11"/>
      <c r="B153" s="11"/>
      <c r="C153" s="11"/>
      <c r="D153" s="11"/>
      <c r="E153" s="11"/>
      <c r="F153" s="11"/>
      <c r="G153" s="11"/>
      <c r="H153" s="11"/>
      <c r="I153" s="11"/>
    </row>
    <row r="154" spans="1:9" x14ac:dyDescent="0.25">
      <c r="A154" s="11"/>
      <c r="B154" s="11"/>
      <c r="C154" s="11"/>
      <c r="D154" s="11"/>
      <c r="E154" s="11"/>
      <c r="F154" s="11"/>
      <c r="G154" s="11"/>
      <c r="H154" s="11"/>
      <c r="I154" s="11"/>
    </row>
    <row r="155" spans="1:9" x14ac:dyDescent="0.25">
      <c r="A155" s="11"/>
      <c r="B155" s="11"/>
      <c r="C155" s="11"/>
      <c r="D155" s="11"/>
      <c r="E155" s="11"/>
      <c r="F155" s="11"/>
      <c r="G155" s="11"/>
      <c r="H155" s="11"/>
      <c r="I155" s="11"/>
    </row>
    <row r="156" spans="1:9" x14ac:dyDescent="0.25">
      <c r="A156" s="11"/>
      <c r="B156" s="11"/>
      <c r="C156" s="11"/>
      <c r="D156" s="11"/>
      <c r="E156" s="11"/>
      <c r="F156" s="11"/>
      <c r="G156" s="11"/>
      <c r="H156" s="11"/>
      <c r="I156" s="11"/>
    </row>
    <row r="157" spans="1:9" x14ac:dyDescent="0.25">
      <c r="A157" s="11"/>
      <c r="B157" s="11"/>
      <c r="C157" s="11"/>
      <c r="D157" s="11"/>
      <c r="E157" s="11"/>
      <c r="F157" s="11"/>
      <c r="G157" s="11"/>
      <c r="H157" s="11"/>
      <c r="I157" s="11"/>
    </row>
    <row r="158" spans="1:9" x14ac:dyDescent="0.25">
      <c r="A158" s="11"/>
      <c r="B158" s="11"/>
      <c r="C158" s="11"/>
      <c r="D158" s="11"/>
      <c r="E158" s="11"/>
      <c r="F158" s="11"/>
      <c r="G158" s="11"/>
      <c r="H158" s="11"/>
      <c r="I158" s="11"/>
    </row>
    <row r="159" spans="1:9" x14ac:dyDescent="0.25">
      <c r="A159" s="11"/>
      <c r="B159" s="11"/>
      <c r="C159" s="11"/>
      <c r="D159" s="11"/>
      <c r="E159" s="11"/>
      <c r="F159" s="11"/>
      <c r="G159" s="11"/>
      <c r="H159" s="11"/>
      <c r="I159" s="11"/>
    </row>
    <row r="160" spans="1:9" x14ac:dyDescent="0.25">
      <c r="A160" s="11"/>
      <c r="B160" s="11"/>
      <c r="C160" s="11"/>
      <c r="D160" s="11"/>
      <c r="E160" s="11"/>
      <c r="F160" s="11"/>
      <c r="G160" s="11"/>
      <c r="H160" s="11"/>
      <c r="I160" s="11"/>
    </row>
    <row r="161" spans="1:9" x14ac:dyDescent="0.25">
      <c r="A161" s="11"/>
      <c r="B161" s="11"/>
      <c r="C161" s="11"/>
      <c r="D161" s="11"/>
      <c r="E161" s="11"/>
      <c r="F161" s="11"/>
      <c r="G161" s="11"/>
      <c r="H161" s="11"/>
      <c r="I161" s="11"/>
    </row>
    <row r="162" spans="1:9" x14ac:dyDescent="0.25">
      <c r="A162" s="11"/>
      <c r="B162" s="11"/>
      <c r="C162" s="11"/>
      <c r="D162" s="11"/>
      <c r="E162" s="11"/>
      <c r="F162" s="11"/>
      <c r="G162" s="11"/>
      <c r="H162" s="11"/>
      <c r="I162" s="11"/>
    </row>
    <row r="163" spans="1:9" x14ac:dyDescent="0.25">
      <c r="A163" s="11"/>
      <c r="B163" s="11"/>
      <c r="C163" s="11"/>
      <c r="D163" s="11"/>
      <c r="E163" s="11"/>
      <c r="F163" s="11"/>
      <c r="G163" s="11"/>
      <c r="H163" s="11"/>
      <c r="I163" s="11"/>
    </row>
    <row r="164" spans="1:9" x14ac:dyDescent="0.25">
      <c r="A164" s="11"/>
      <c r="B164" s="11"/>
      <c r="C164" s="11"/>
      <c r="D164" s="11"/>
      <c r="E164" s="11"/>
      <c r="F164" s="11"/>
      <c r="G164" s="11"/>
      <c r="H164" s="11"/>
      <c r="I164" s="11"/>
    </row>
    <row r="165" spans="1:9" x14ac:dyDescent="0.25">
      <c r="A165" s="11"/>
      <c r="B165" s="11"/>
      <c r="C165" s="11"/>
      <c r="D165" s="11"/>
      <c r="E165" s="11"/>
      <c r="F165" s="11"/>
      <c r="G165" s="11"/>
      <c r="H165" s="11"/>
      <c r="I165" s="11"/>
    </row>
    <row r="166" spans="1:9" x14ac:dyDescent="0.25">
      <c r="A166" s="11"/>
      <c r="B166" s="11"/>
      <c r="C166" s="11"/>
      <c r="D166" s="11"/>
      <c r="E166" s="11"/>
      <c r="F166" s="11"/>
      <c r="G166" s="11"/>
      <c r="H166" s="11"/>
      <c r="I166" s="11"/>
    </row>
    <row r="167" spans="1:9" x14ac:dyDescent="0.25">
      <c r="A167" s="11"/>
      <c r="B167" s="11"/>
      <c r="C167" s="11"/>
      <c r="D167" s="11"/>
      <c r="E167" s="11"/>
      <c r="F167" s="11"/>
      <c r="G167" s="11"/>
      <c r="H167" s="11"/>
      <c r="I167" s="11"/>
    </row>
    <row r="168" spans="1:9" x14ac:dyDescent="0.25">
      <c r="A168" s="11"/>
      <c r="B168" s="11"/>
      <c r="C168" s="11"/>
      <c r="D168" s="11"/>
      <c r="E168" s="11"/>
      <c r="F168" s="11"/>
      <c r="G168" s="11"/>
      <c r="H168" s="11"/>
      <c r="I168" s="11"/>
    </row>
    <row r="169" spans="1:9" x14ac:dyDescent="0.25">
      <c r="A169" s="11"/>
      <c r="B169" s="11"/>
      <c r="C169" s="11"/>
      <c r="D169" s="11"/>
      <c r="E169" s="11"/>
      <c r="F169" s="11"/>
      <c r="G169" s="11"/>
      <c r="H169" s="11"/>
      <c r="I169" s="11"/>
    </row>
    <row r="170" spans="1:9" x14ac:dyDescent="0.25">
      <c r="A170" s="11"/>
      <c r="B170" s="11"/>
      <c r="C170" s="11"/>
      <c r="D170" s="11"/>
      <c r="E170" s="11"/>
      <c r="F170" s="11"/>
      <c r="G170" s="11"/>
      <c r="H170" s="11"/>
      <c r="I170" s="11"/>
    </row>
    <row r="171" spans="1:9" x14ac:dyDescent="0.25">
      <c r="A171" s="11"/>
      <c r="B171" s="11"/>
      <c r="C171" s="11"/>
      <c r="D171" s="11"/>
      <c r="E171" s="11"/>
      <c r="F171" s="11"/>
      <c r="G171" s="11"/>
      <c r="H171" s="11"/>
      <c r="I171" s="11"/>
    </row>
    <row r="172" spans="1:9" x14ac:dyDescent="0.25">
      <c r="A172" s="11"/>
      <c r="B172" s="11"/>
      <c r="C172" s="11"/>
      <c r="D172" s="11"/>
      <c r="E172" s="11"/>
      <c r="F172" s="11"/>
      <c r="G172" s="11"/>
      <c r="H172" s="11"/>
      <c r="I172" s="11"/>
    </row>
    <row r="173" spans="1:9" x14ac:dyDescent="0.25">
      <c r="A173" s="11"/>
      <c r="B173" s="11"/>
      <c r="C173" s="11"/>
      <c r="D173" s="11"/>
      <c r="E173" s="11"/>
      <c r="F173" s="11"/>
      <c r="G173" s="11"/>
      <c r="H173" s="11"/>
      <c r="I173" s="11"/>
    </row>
    <row r="174" spans="1:9" x14ac:dyDescent="0.25">
      <c r="A174" s="11"/>
      <c r="B174" s="11"/>
      <c r="C174" s="11"/>
      <c r="D174" s="11"/>
      <c r="E174" s="11"/>
      <c r="F174" s="11"/>
      <c r="G174" s="11"/>
      <c r="H174" s="11"/>
      <c r="I174" s="11"/>
    </row>
    <row r="175" spans="1:9" x14ac:dyDescent="0.25">
      <c r="A175" s="11"/>
      <c r="B175" s="11"/>
      <c r="C175" s="11"/>
      <c r="D175" s="11"/>
      <c r="E175" s="11"/>
      <c r="F175" s="11"/>
      <c r="G175" s="11"/>
      <c r="H175" s="11"/>
      <c r="I175" s="11"/>
    </row>
    <row r="176" spans="1:9" x14ac:dyDescent="0.25">
      <c r="A176" s="11"/>
      <c r="B176" s="11"/>
      <c r="C176" s="11"/>
      <c r="D176" s="11"/>
      <c r="E176" s="11"/>
      <c r="F176" s="11"/>
      <c r="G176" s="11"/>
      <c r="H176" s="11"/>
      <c r="I176" s="11"/>
    </row>
    <row r="177" spans="1:9" x14ac:dyDescent="0.25">
      <c r="A177" s="11"/>
      <c r="B177" s="11"/>
      <c r="C177" s="11"/>
      <c r="D177" s="11"/>
      <c r="E177" s="11"/>
      <c r="F177" s="11"/>
      <c r="G177" s="11"/>
      <c r="H177" s="11"/>
      <c r="I177" s="11"/>
    </row>
    <row r="178" spans="1:9" x14ac:dyDescent="0.25">
      <c r="A178" s="11"/>
      <c r="B178" s="11"/>
      <c r="C178" s="11"/>
      <c r="D178" s="11"/>
      <c r="E178" s="11"/>
      <c r="F178" s="11"/>
      <c r="G178" s="11"/>
      <c r="H178" s="11"/>
      <c r="I178" s="11"/>
    </row>
    <row r="179" spans="1:9" x14ac:dyDescent="0.25">
      <c r="A179" s="11"/>
      <c r="B179" s="11"/>
      <c r="C179" s="11"/>
      <c r="D179" s="11"/>
      <c r="E179" s="11"/>
      <c r="F179" s="11"/>
      <c r="G179" s="11"/>
      <c r="H179" s="11"/>
      <c r="I179" s="11"/>
    </row>
    <row r="180" spans="1:9" x14ac:dyDescent="0.25">
      <c r="A180" s="11"/>
      <c r="B180" s="11"/>
      <c r="C180" s="11"/>
      <c r="D180" s="11"/>
      <c r="E180" s="11"/>
      <c r="F180" s="11"/>
      <c r="G180" s="11"/>
      <c r="H180" s="11"/>
      <c r="I180" s="11"/>
    </row>
    <row r="181" spans="1:9" x14ac:dyDescent="0.25">
      <c r="A181" s="11"/>
      <c r="B181" s="11"/>
      <c r="C181" s="11"/>
      <c r="D181" s="11"/>
      <c r="E181" s="11"/>
      <c r="F181" s="11"/>
      <c r="G181" s="11"/>
      <c r="H181" s="11"/>
      <c r="I181" s="11"/>
    </row>
    <row r="182" spans="1:9" x14ac:dyDescent="0.25">
      <c r="A182" s="11"/>
      <c r="B182" s="11"/>
      <c r="C182" s="11"/>
      <c r="D182" s="11"/>
      <c r="E182" s="11"/>
      <c r="F182" s="11"/>
      <c r="G182" s="11"/>
      <c r="H182" s="11"/>
      <c r="I182" s="11"/>
    </row>
    <row r="183" spans="1:9" x14ac:dyDescent="0.25">
      <c r="A183" s="11"/>
      <c r="B183" s="11"/>
      <c r="C183" s="11"/>
      <c r="D183" s="11"/>
      <c r="E183" s="11"/>
      <c r="F183" s="11"/>
      <c r="G183" s="11"/>
      <c r="H183" s="11"/>
      <c r="I183" s="11"/>
    </row>
    <row r="184" spans="1:9" x14ac:dyDescent="0.25">
      <c r="A184" s="11"/>
      <c r="B184" s="11"/>
      <c r="C184" s="11"/>
      <c r="D184" s="11"/>
      <c r="E184" s="11"/>
      <c r="F184" s="11"/>
      <c r="G184" s="11"/>
      <c r="H184" s="11"/>
      <c r="I184" s="11"/>
    </row>
    <row r="185" spans="1:9" x14ac:dyDescent="0.25">
      <c r="A185" s="11"/>
      <c r="B185" s="11"/>
      <c r="C185" s="11"/>
      <c r="D185" s="11"/>
      <c r="E185" s="11"/>
      <c r="F185" s="11"/>
      <c r="G185" s="11"/>
      <c r="H185" s="11"/>
      <c r="I185" s="11"/>
    </row>
    <row r="186" spans="1:9" x14ac:dyDescent="0.25">
      <c r="A186" s="11"/>
      <c r="B186" s="11"/>
      <c r="C186" s="11"/>
      <c r="D186" s="11"/>
      <c r="E186" s="11"/>
      <c r="F186" s="11"/>
      <c r="G186" s="11"/>
      <c r="H186" s="11"/>
      <c r="I186" s="11"/>
    </row>
    <row r="187" spans="1:9" x14ac:dyDescent="0.25">
      <c r="A187" s="11"/>
      <c r="B187" s="11"/>
      <c r="C187" s="11"/>
      <c r="D187" s="11"/>
      <c r="E187" s="11"/>
      <c r="F187" s="11"/>
      <c r="G187" s="11"/>
      <c r="H187" s="11"/>
      <c r="I187" s="11"/>
    </row>
    <row r="188" spans="1:9" x14ac:dyDescent="0.25">
      <c r="A188" s="11"/>
      <c r="B188" s="11"/>
      <c r="C188" s="11"/>
      <c r="D188" s="11"/>
      <c r="E188" s="11"/>
      <c r="F188" s="11"/>
      <c r="G188" s="11"/>
      <c r="H188" s="11"/>
      <c r="I188" s="11"/>
    </row>
    <row r="189" spans="1:9" x14ac:dyDescent="0.25">
      <c r="A189" s="11"/>
      <c r="B189" s="11"/>
      <c r="C189" s="11"/>
      <c r="D189" s="11"/>
      <c r="E189" s="11"/>
      <c r="F189" s="11"/>
      <c r="G189" s="11"/>
      <c r="H189" s="11"/>
      <c r="I189" s="11"/>
    </row>
    <row r="190" spans="1:9" x14ac:dyDescent="0.25">
      <c r="A190" s="11"/>
      <c r="B190" s="11"/>
      <c r="C190" s="11"/>
      <c r="D190" s="11"/>
      <c r="E190" s="11"/>
      <c r="F190" s="11"/>
      <c r="G190" s="11"/>
      <c r="H190" s="11"/>
      <c r="I190" s="11"/>
    </row>
    <row r="191" spans="1:9" x14ac:dyDescent="0.25">
      <c r="A191" s="11"/>
      <c r="B191" s="11"/>
      <c r="C191" s="11"/>
      <c r="D191" s="11"/>
      <c r="E191" s="11"/>
      <c r="F191" s="11"/>
      <c r="G191" s="11"/>
      <c r="H191" s="11"/>
      <c r="I191" s="11"/>
    </row>
    <row r="192" spans="1:9" x14ac:dyDescent="0.25">
      <c r="A192" s="11"/>
      <c r="B192" s="11"/>
      <c r="C192" s="11"/>
      <c r="D192" s="11"/>
      <c r="E192" s="11"/>
      <c r="F192" s="11"/>
      <c r="G192" s="11"/>
      <c r="H192" s="11"/>
      <c r="I192" s="11"/>
    </row>
    <row r="193" spans="1:9" x14ac:dyDescent="0.25">
      <c r="A193" s="11"/>
      <c r="B193" s="11"/>
      <c r="C193" s="11"/>
      <c r="D193" s="11"/>
      <c r="E193" s="11"/>
      <c r="F193" s="11"/>
      <c r="G193" s="11"/>
      <c r="H193" s="11"/>
      <c r="I193" s="11"/>
    </row>
    <row r="194" spans="1:9" x14ac:dyDescent="0.25">
      <c r="A194" s="11"/>
      <c r="B194" s="11"/>
      <c r="C194" s="11"/>
      <c r="D194" s="11"/>
      <c r="E194" s="11"/>
      <c r="F194" s="11"/>
      <c r="G194" s="11"/>
      <c r="H194" s="11"/>
      <c r="I194" s="11"/>
    </row>
    <row r="195" spans="1:9" x14ac:dyDescent="0.25">
      <c r="A195" s="11"/>
      <c r="B195" s="11"/>
      <c r="C195" s="11"/>
      <c r="D195" s="11"/>
      <c r="E195" s="11"/>
      <c r="F195" s="11"/>
      <c r="G195" s="11"/>
      <c r="H195" s="11"/>
      <c r="I195" s="11"/>
    </row>
    <row r="196" spans="1:9" x14ac:dyDescent="0.25">
      <c r="A196" s="11"/>
      <c r="B196" s="11"/>
      <c r="C196" s="11"/>
      <c r="D196" s="11"/>
      <c r="E196" s="11"/>
      <c r="F196" s="11"/>
      <c r="G196" s="11"/>
      <c r="H196" s="11"/>
      <c r="I196" s="11"/>
    </row>
    <row r="197" spans="1:9" x14ac:dyDescent="0.25">
      <c r="A197" s="11"/>
      <c r="B197" s="11"/>
      <c r="C197" s="11"/>
      <c r="D197" s="11"/>
      <c r="E197" s="11"/>
      <c r="F197" s="11"/>
      <c r="G197" s="11"/>
      <c r="H197" s="11"/>
      <c r="I197" s="11"/>
    </row>
    <row r="198" spans="1:9" x14ac:dyDescent="0.25">
      <c r="A198" s="11"/>
      <c r="B198" s="11"/>
      <c r="C198" s="11"/>
      <c r="D198" s="11"/>
      <c r="E198" s="11"/>
      <c r="F198" s="11"/>
      <c r="G198" s="11"/>
      <c r="H198" s="11"/>
      <c r="I198" s="11"/>
    </row>
    <row r="199" spans="1:9" x14ac:dyDescent="0.25">
      <c r="A199" s="11"/>
      <c r="B199" s="11"/>
      <c r="C199" s="11"/>
      <c r="D199" s="11"/>
      <c r="E199" s="11"/>
      <c r="F199" s="11"/>
      <c r="G199" s="11"/>
      <c r="H199" s="11"/>
      <c r="I199" s="11"/>
    </row>
    <row r="200" spans="1:9" x14ac:dyDescent="0.25">
      <c r="A200" s="11"/>
      <c r="B200" s="11"/>
      <c r="C200" s="11"/>
      <c r="D200" s="11"/>
      <c r="E200" s="11"/>
      <c r="F200" s="11"/>
      <c r="G200" s="11"/>
      <c r="H200" s="11"/>
      <c r="I200" s="11"/>
    </row>
    <row r="201" spans="1:9" x14ac:dyDescent="0.25">
      <c r="A201" s="11"/>
      <c r="B201" s="11"/>
      <c r="C201" s="11"/>
      <c r="D201" s="11"/>
      <c r="E201" s="11"/>
      <c r="F201" s="11"/>
      <c r="G201" s="11"/>
      <c r="H201" s="11"/>
      <c r="I201" s="11"/>
    </row>
    <row r="202" spans="1:9" x14ac:dyDescent="0.25">
      <c r="A202" s="11"/>
      <c r="B202" s="11"/>
      <c r="C202" s="11"/>
      <c r="D202" s="11"/>
      <c r="E202" s="11"/>
      <c r="F202" s="11"/>
      <c r="G202" s="11"/>
      <c r="H202" s="11"/>
      <c r="I202" s="11"/>
    </row>
    <row r="203" spans="1:9" x14ac:dyDescent="0.25">
      <c r="A203" s="11"/>
      <c r="B203" s="11"/>
      <c r="C203" s="11"/>
      <c r="D203" s="11"/>
      <c r="E203" s="11"/>
      <c r="F203" s="11"/>
      <c r="G203" s="11"/>
      <c r="H203" s="11"/>
      <c r="I203" s="11"/>
    </row>
    <row r="204" spans="1:9" x14ac:dyDescent="0.25">
      <c r="A204" s="11"/>
      <c r="B204" s="11"/>
      <c r="C204" s="11"/>
      <c r="D204" s="11"/>
      <c r="E204" s="11"/>
      <c r="F204" s="11"/>
      <c r="G204" s="11"/>
      <c r="H204" s="11"/>
      <c r="I204" s="11"/>
    </row>
    <row r="205" spans="1:9" x14ac:dyDescent="0.25">
      <c r="A205" s="11"/>
      <c r="B205" s="11"/>
      <c r="C205" s="11"/>
      <c r="D205" s="11"/>
      <c r="E205" s="11"/>
      <c r="F205" s="11"/>
      <c r="G205" s="11"/>
      <c r="H205" s="11"/>
      <c r="I205" s="11"/>
    </row>
    <row r="206" spans="1:9" x14ac:dyDescent="0.25">
      <c r="A206" s="11"/>
      <c r="B206" s="11"/>
      <c r="C206" s="11"/>
      <c r="D206" s="11"/>
      <c r="E206" s="11"/>
      <c r="F206" s="11"/>
      <c r="G206" s="11"/>
      <c r="H206" s="11"/>
      <c r="I206" s="11"/>
    </row>
    <row r="207" spans="1:9" x14ac:dyDescent="0.25">
      <c r="A207" s="11"/>
      <c r="B207" s="11"/>
      <c r="C207" s="11"/>
      <c r="D207" s="11"/>
      <c r="E207" s="11"/>
      <c r="F207" s="11"/>
      <c r="G207" s="11"/>
      <c r="H207" s="11"/>
      <c r="I207" s="11"/>
    </row>
    <row r="208" spans="1:9" x14ac:dyDescent="0.25">
      <c r="A208" s="11"/>
      <c r="B208" s="11"/>
      <c r="C208" s="11"/>
      <c r="D208" s="11"/>
      <c r="E208" s="11"/>
      <c r="F208" s="11"/>
      <c r="G208" s="11"/>
      <c r="H208" s="11"/>
      <c r="I208" s="11"/>
    </row>
    <row r="209" spans="1:9" x14ac:dyDescent="0.25">
      <c r="A209" s="11"/>
      <c r="B209" s="11"/>
      <c r="C209" s="11"/>
      <c r="D209" s="11"/>
      <c r="E209" s="11"/>
      <c r="F209" s="11"/>
      <c r="G209" s="11"/>
      <c r="H209" s="11"/>
      <c r="I209" s="11"/>
    </row>
    <row r="210" spans="1:9" x14ac:dyDescent="0.25">
      <c r="A210" s="11"/>
      <c r="B210" s="11"/>
      <c r="C210" s="11"/>
      <c r="D210" s="11"/>
      <c r="E210" s="11"/>
      <c r="F210" s="11"/>
      <c r="G210" s="11"/>
      <c r="H210" s="11"/>
      <c r="I210" s="11"/>
    </row>
    <row r="211" spans="1:9" x14ac:dyDescent="0.25">
      <c r="A211" s="11"/>
      <c r="B211" s="11"/>
      <c r="C211" s="11"/>
      <c r="D211" s="11"/>
      <c r="E211" s="11"/>
      <c r="F211" s="11"/>
      <c r="G211" s="11"/>
      <c r="H211" s="11"/>
      <c r="I211" s="11"/>
    </row>
    <row r="212" spans="1:9" x14ac:dyDescent="0.25">
      <c r="A212" s="11"/>
      <c r="B212" s="11"/>
      <c r="C212" s="11"/>
      <c r="D212" s="11"/>
      <c r="E212" s="11"/>
      <c r="F212" s="11"/>
      <c r="G212" s="11"/>
      <c r="H212" s="11"/>
      <c r="I212" s="11"/>
    </row>
    <row r="213" spans="1:9" x14ac:dyDescent="0.25">
      <c r="A213" s="11"/>
      <c r="B213" s="11"/>
      <c r="C213" s="11"/>
      <c r="D213" s="11"/>
      <c r="E213" s="11"/>
      <c r="F213" s="11"/>
      <c r="G213" s="11"/>
      <c r="H213" s="11"/>
      <c r="I213" s="11"/>
    </row>
    <row r="214" spans="1:9" x14ac:dyDescent="0.25">
      <c r="A214" s="11"/>
      <c r="B214" s="11"/>
      <c r="C214" s="11"/>
      <c r="D214" s="11"/>
      <c r="E214" s="11"/>
      <c r="F214" s="11"/>
      <c r="G214" s="11"/>
      <c r="H214" s="11"/>
      <c r="I214" s="11"/>
    </row>
    <row r="215" spans="1:9" x14ac:dyDescent="0.25">
      <c r="A215" s="11"/>
      <c r="B215" s="11"/>
      <c r="C215" s="11"/>
      <c r="D215" s="11"/>
      <c r="E215" s="11"/>
      <c r="F215" s="11"/>
      <c r="G215" s="11"/>
      <c r="H215" s="11"/>
      <c r="I215" s="11"/>
    </row>
    <row r="216" spans="1:9" x14ac:dyDescent="0.25">
      <c r="A216" s="11"/>
      <c r="B216" s="11"/>
      <c r="C216" s="11"/>
      <c r="D216" s="11"/>
      <c r="E216" s="11"/>
      <c r="F216" s="11"/>
      <c r="G216" s="11"/>
      <c r="H216" s="11"/>
      <c r="I216" s="11"/>
    </row>
    <row r="217" spans="1:9" x14ac:dyDescent="0.25">
      <c r="A217" s="11"/>
      <c r="B217" s="11"/>
      <c r="C217" s="11"/>
      <c r="D217" s="11"/>
      <c r="E217" s="11"/>
      <c r="F217" s="11"/>
      <c r="G217" s="11"/>
      <c r="H217" s="11"/>
      <c r="I217" s="11"/>
    </row>
    <row r="218" spans="1:9" x14ac:dyDescent="0.25">
      <c r="A218" s="11"/>
      <c r="B218" s="11"/>
      <c r="C218" s="11"/>
      <c r="D218" s="11"/>
      <c r="E218" s="11"/>
      <c r="F218" s="11"/>
      <c r="G218" s="11"/>
      <c r="H218" s="11"/>
      <c r="I218" s="11"/>
    </row>
    <row r="219" spans="1:9" x14ac:dyDescent="0.25">
      <c r="A219" s="11"/>
      <c r="B219" s="11"/>
      <c r="C219" s="11"/>
      <c r="D219" s="11"/>
      <c r="E219" s="11"/>
      <c r="F219" s="11"/>
      <c r="G219" s="11"/>
      <c r="H219" s="11"/>
      <c r="I219" s="11"/>
    </row>
    <row r="220" spans="1:9" x14ac:dyDescent="0.25">
      <c r="A220" s="11"/>
      <c r="B220" s="11"/>
      <c r="C220" s="11"/>
      <c r="D220" s="11"/>
      <c r="E220" s="11"/>
      <c r="F220" s="11"/>
      <c r="G220" s="11"/>
      <c r="H220" s="11"/>
      <c r="I220" s="11"/>
    </row>
    <row r="221" spans="1:9" x14ac:dyDescent="0.25">
      <c r="A221" s="11"/>
      <c r="B221" s="11"/>
      <c r="C221" s="11"/>
      <c r="D221" s="11"/>
      <c r="E221" s="11"/>
      <c r="F221" s="11"/>
      <c r="G221" s="11"/>
      <c r="H221" s="11"/>
      <c r="I221" s="11"/>
    </row>
    <row r="222" spans="1:9" x14ac:dyDescent="0.25">
      <c r="A222" s="11"/>
      <c r="B222" s="11"/>
      <c r="C222" s="11"/>
      <c r="D222" s="11"/>
      <c r="E222" s="11"/>
      <c r="F222" s="11"/>
      <c r="G222" s="11"/>
      <c r="H222" s="11"/>
      <c r="I222" s="11"/>
    </row>
    <row r="223" spans="1:9" x14ac:dyDescent="0.25">
      <c r="A223" s="11"/>
      <c r="B223" s="11"/>
      <c r="C223" s="11"/>
      <c r="D223" s="11"/>
      <c r="E223" s="11"/>
      <c r="F223" s="11"/>
      <c r="G223" s="11"/>
      <c r="H223" s="11"/>
      <c r="I223" s="11"/>
    </row>
    <row r="224" spans="1:9" x14ac:dyDescent="0.25">
      <c r="A224" s="11"/>
      <c r="B224" s="11"/>
      <c r="C224" s="11"/>
      <c r="D224" s="11"/>
      <c r="E224" s="11"/>
      <c r="F224" s="11"/>
      <c r="G224" s="11"/>
      <c r="H224" s="11"/>
      <c r="I224" s="11"/>
    </row>
    <row r="225" spans="1:9" x14ac:dyDescent="0.25">
      <c r="A225" s="11"/>
      <c r="B225" s="11"/>
      <c r="C225" s="11"/>
      <c r="D225" s="11"/>
      <c r="E225" s="11"/>
      <c r="F225" s="11"/>
      <c r="G225" s="11"/>
      <c r="H225" s="11"/>
      <c r="I225" s="11"/>
    </row>
    <row r="226" spans="1:9" x14ac:dyDescent="0.25">
      <c r="A226" s="11"/>
      <c r="B226" s="11"/>
      <c r="C226" s="11"/>
      <c r="D226" s="11"/>
      <c r="E226" s="11"/>
      <c r="F226" s="11"/>
      <c r="G226" s="11"/>
      <c r="H226" s="11"/>
      <c r="I226" s="11"/>
    </row>
    <row r="227" spans="1:9" x14ac:dyDescent="0.25">
      <c r="A227" s="11"/>
      <c r="B227" s="11"/>
      <c r="C227" s="11"/>
      <c r="D227" s="11"/>
      <c r="E227" s="11"/>
      <c r="F227" s="11"/>
      <c r="G227" s="11"/>
      <c r="H227" s="11"/>
      <c r="I227" s="11"/>
    </row>
    <row r="228" spans="1:9" x14ac:dyDescent="0.25">
      <c r="A228" s="11"/>
      <c r="B228" s="11"/>
      <c r="C228" s="11"/>
      <c r="D228" s="11"/>
      <c r="E228" s="11"/>
      <c r="F228" s="11"/>
      <c r="G228" s="11"/>
      <c r="H228" s="11"/>
      <c r="I228" s="11"/>
    </row>
    <row r="229" spans="1:9" x14ac:dyDescent="0.25">
      <c r="A229" s="11"/>
      <c r="B229" s="11"/>
      <c r="C229" s="11"/>
      <c r="D229" s="11"/>
      <c r="E229" s="11"/>
      <c r="F229" s="11"/>
      <c r="G229" s="11"/>
      <c r="H229" s="11"/>
      <c r="I229" s="11"/>
    </row>
    <row r="230" spans="1:9" x14ac:dyDescent="0.25">
      <c r="A230" s="11"/>
      <c r="B230" s="11"/>
      <c r="C230" s="11"/>
      <c r="D230" s="11"/>
      <c r="E230" s="11"/>
      <c r="F230" s="11"/>
      <c r="G230" s="11"/>
      <c r="H230" s="11"/>
      <c r="I230" s="11"/>
    </row>
    <row r="231" spans="1:9" x14ac:dyDescent="0.25">
      <c r="A231" s="11"/>
      <c r="B231" s="11"/>
      <c r="C231" s="11"/>
      <c r="D231" s="11"/>
      <c r="E231" s="11"/>
      <c r="F231" s="11"/>
      <c r="G231" s="11"/>
      <c r="H231" s="11"/>
      <c r="I231" s="11"/>
    </row>
    <row r="232" spans="1:9" x14ac:dyDescent="0.25">
      <c r="A232" s="11"/>
      <c r="B232" s="11"/>
      <c r="C232" s="11"/>
      <c r="D232" s="11"/>
      <c r="E232" s="11"/>
      <c r="F232" s="11"/>
      <c r="G232" s="11"/>
      <c r="H232" s="11"/>
      <c r="I232" s="11"/>
    </row>
    <row r="233" spans="1:9" x14ac:dyDescent="0.25">
      <c r="A233" s="11"/>
      <c r="B233" s="11"/>
      <c r="C233" s="11"/>
      <c r="D233" s="11"/>
      <c r="E233" s="11"/>
      <c r="F233" s="11"/>
      <c r="G233" s="11"/>
      <c r="H233" s="11"/>
      <c r="I233" s="11"/>
    </row>
    <row r="234" spans="1:9" x14ac:dyDescent="0.25">
      <c r="A234" s="11"/>
      <c r="B234" s="11"/>
      <c r="C234" s="11"/>
      <c r="D234" s="11"/>
      <c r="E234" s="11"/>
      <c r="F234" s="11"/>
      <c r="G234" s="11"/>
      <c r="H234" s="11"/>
      <c r="I234" s="11"/>
    </row>
    <row r="235" spans="1:9" x14ac:dyDescent="0.25">
      <c r="A235" s="11"/>
      <c r="B235" s="11"/>
      <c r="C235" s="11"/>
      <c r="D235" s="11"/>
      <c r="E235" s="11"/>
      <c r="F235" s="11"/>
      <c r="G235" s="11"/>
      <c r="H235" s="11"/>
      <c r="I235" s="11"/>
    </row>
    <row r="236" spans="1:9" x14ac:dyDescent="0.25">
      <c r="A236" s="11"/>
      <c r="B236" s="11"/>
      <c r="C236" s="11"/>
      <c r="D236" s="11"/>
      <c r="E236" s="11"/>
      <c r="F236" s="11"/>
      <c r="G236" s="11"/>
      <c r="H236" s="11"/>
      <c r="I236" s="11"/>
    </row>
    <row r="237" spans="1:9" x14ac:dyDescent="0.25">
      <c r="A237" s="11"/>
      <c r="B237" s="11"/>
      <c r="C237" s="11"/>
      <c r="D237" s="11"/>
      <c r="E237" s="11"/>
      <c r="F237" s="11"/>
      <c r="G237" s="11"/>
      <c r="H237" s="11"/>
      <c r="I237" s="11"/>
    </row>
    <row r="238" spans="1:9" x14ac:dyDescent="0.25">
      <c r="A238" s="11"/>
      <c r="B238" s="11"/>
      <c r="C238" s="11"/>
      <c r="D238" s="11"/>
      <c r="E238" s="11"/>
      <c r="F238" s="11"/>
      <c r="G238" s="11"/>
      <c r="H238" s="11"/>
      <c r="I238" s="11"/>
    </row>
    <row r="239" spans="1:9" x14ac:dyDescent="0.25">
      <c r="A239" s="11"/>
      <c r="B239" s="11"/>
      <c r="C239" s="11"/>
      <c r="D239" s="11"/>
      <c r="E239" s="11"/>
      <c r="F239" s="11"/>
      <c r="G239" s="11"/>
      <c r="H239" s="11"/>
      <c r="I239" s="11"/>
    </row>
    <row r="240" spans="1:9" x14ac:dyDescent="0.25">
      <c r="A240" s="11"/>
      <c r="B240" s="11"/>
      <c r="C240" s="11"/>
      <c r="D240" s="11"/>
      <c r="E240" s="11"/>
      <c r="F240" s="11"/>
      <c r="G240" s="11"/>
      <c r="H240" s="11"/>
      <c r="I240" s="11"/>
    </row>
    <row r="241" spans="1:9" x14ac:dyDescent="0.25">
      <c r="A241" s="11"/>
      <c r="B241" s="11"/>
      <c r="C241" s="11"/>
      <c r="D241" s="11"/>
      <c r="E241" s="11"/>
      <c r="F241" s="11"/>
      <c r="G241" s="11"/>
      <c r="H241" s="11"/>
      <c r="I241" s="11"/>
    </row>
    <row r="242" spans="1:9" x14ac:dyDescent="0.25">
      <c r="A242" s="11"/>
      <c r="B242" s="11"/>
      <c r="C242" s="11"/>
      <c r="D242" s="11"/>
      <c r="E242" s="11"/>
      <c r="F242" s="11"/>
      <c r="G242" s="11"/>
      <c r="H242" s="11"/>
      <c r="I242" s="11"/>
    </row>
    <row r="243" spans="1:9" x14ac:dyDescent="0.25">
      <c r="A243" s="11"/>
      <c r="B243" s="11"/>
      <c r="C243" s="11"/>
      <c r="D243" s="11"/>
      <c r="E243" s="11"/>
      <c r="F243" s="11"/>
      <c r="G243" s="11"/>
      <c r="H243" s="11"/>
      <c r="I243" s="11"/>
    </row>
    <row r="244" spans="1:9" x14ac:dyDescent="0.25">
      <c r="A244" s="11"/>
      <c r="B244" s="11"/>
      <c r="C244" s="11"/>
      <c r="D244" s="11"/>
      <c r="E244" s="11"/>
      <c r="F244" s="11"/>
      <c r="G244" s="11"/>
      <c r="H244" s="11"/>
      <c r="I244" s="11"/>
    </row>
  </sheetData>
  <mergeCells count="3">
    <mergeCell ref="A13:I13"/>
    <mergeCell ref="A14:I14"/>
    <mergeCell ref="A47:I47"/>
  </mergeCells>
  <phoneticPr fontId="6" type="noConversion"/>
  <dataValidations count="3">
    <dataValidation type="list" allowBlank="1" showInputMessage="1" showErrorMessage="1" sqref="C9" xr:uid="{CD3C7A26-FCBB-43E9-817C-270C3A8E8CF7}">
      <formula1>"1,2,3,4,5,6,7,8,9,10,11,12"</formula1>
    </dataValidation>
    <dataValidation type="list" allowBlank="1" showInputMessage="1" showErrorMessage="1" sqref="C8" xr:uid="{65EAB954-CB8B-4A00-B79C-7C433CFDF441}">
      <formula1>"2018,2019,2020,2021,2022,2023,2024,2025,2026,2027,2028"</formula1>
    </dataValidation>
    <dataValidation type="list" allowBlank="1" showInputMessage="1" showErrorMessage="1" sqref="C10" xr:uid="{956F2EA4-0720-4CEA-910C-170C9CB7A1C9}">
      <formula1>"1,2,3,4,5,6,7,8,9,10,11,12,13,14,15,16,17,18,19,20,21,22,23,24,25,26,27,28,29,30,31"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GetDataFromTxt.GetDataFromTxt">
                <anchor moveWithCells="1" sizeWithCells="1">
                  <from>
                    <xdr:col>3</xdr:col>
                    <xdr:colOff>200025</xdr:colOff>
                    <xdr:row>6</xdr:row>
                    <xdr:rowOff>28575</xdr:rowOff>
                  </from>
                  <to>
                    <xdr:col>3</xdr:col>
                    <xdr:colOff>1171575</xdr:colOff>
                    <xdr:row>9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DCB9BC6-5C80-46EE-A9C4-851A20FF01CF}">
          <x14:formula1>
            <xm:f>settings!$G$6:$G$7</xm:f>
          </x14:formula1>
          <xm:sqref>C11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J40"/>
  <sheetViews>
    <sheetView workbookViewId="0">
      <selection activeCell="V7" sqref="V7"/>
    </sheetView>
  </sheetViews>
  <sheetFormatPr defaultRowHeight="15" x14ac:dyDescent="0.25"/>
  <cols>
    <col min="1" max="1" width="3.42578125" customWidth="1"/>
    <col min="2" max="2" width="15.85546875" customWidth="1"/>
    <col min="3" max="3" width="17.42578125" style="3" customWidth="1"/>
    <col min="4" max="4" width="15.42578125" style="3" customWidth="1"/>
  </cols>
  <sheetData>
    <row r="1" spans="2:10" x14ac:dyDescent="0.25">
      <c r="J1" t="s">
        <v>69</v>
      </c>
    </row>
    <row r="2" spans="2:10" x14ac:dyDescent="0.25">
      <c r="B2" s="1" t="s">
        <v>3</v>
      </c>
      <c r="C2" s="2" t="s">
        <v>4</v>
      </c>
      <c r="E2" s="3"/>
    </row>
    <row r="3" spans="2:10" x14ac:dyDescent="0.25">
      <c r="B3" s="1"/>
      <c r="C3" s="2"/>
      <c r="E3" s="3"/>
    </row>
    <row r="4" spans="2:10" x14ac:dyDescent="0.25">
      <c r="B4" s="1" t="s">
        <v>0</v>
      </c>
      <c r="C4" s="2">
        <v>2018</v>
      </c>
    </row>
    <row r="5" spans="2:10" x14ac:dyDescent="0.25">
      <c r="B5" s="1" t="s">
        <v>1</v>
      </c>
      <c r="C5" s="2">
        <v>8</v>
      </c>
    </row>
    <row r="6" spans="2:10" hidden="1" x14ac:dyDescent="0.25">
      <c r="B6" s="1" t="s">
        <v>2</v>
      </c>
      <c r="C6" s="2">
        <v>1</v>
      </c>
    </row>
    <row r="7" spans="2:10" x14ac:dyDescent="0.25">
      <c r="B7" s="7"/>
    </row>
    <row r="9" spans="2:10" ht="24.75" customHeight="1" x14ac:dyDescent="0.25">
      <c r="B9" s="5" t="s">
        <v>2</v>
      </c>
      <c r="C9" s="5" t="s">
        <v>7</v>
      </c>
      <c r="D9" s="5" t="s">
        <v>7</v>
      </c>
    </row>
    <row r="10" spans="2:10" x14ac:dyDescent="0.25">
      <c r="B10" s="4">
        <v>1</v>
      </c>
      <c r="C10" s="6"/>
      <c r="D10" s="6"/>
    </row>
    <row r="11" spans="2:10" x14ac:dyDescent="0.25">
      <c r="B11" s="1">
        <v>2</v>
      </c>
      <c r="C11" s="6"/>
      <c r="D11" s="6"/>
    </row>
    <row r="12" spans="2:10" x14ac:dyDescent="0.25">
      <c r="B12" s="4">
        <v>3</v>
      </c>
      <c r="C12" s="6"/>
      <c r="D12" s="6"/>
    </row>
    <row r="13" spans="2:10" x14ac:dyDescent="0.25">
      <c r="B13" s="4">
        <v>4</v>
      </c>
      <c r="C13" s="6"/>
      <c r="D13" s="6"/>
    </row>
    <row r="14" spans="2:10" x14ac:dyDescent="0.25">
      <c r="B14" s="4">
        <v>5</v>
      </c>
      <c r="C14" s="6"/>
      <c r="D14" s="6"/>
    </row>
    <row r="15" spans="2:10" x14ac:dyDescent="0.25">
      <c r="B15" s="4">
        <v>6</v>
      </c>
      <c r="C15" s="6">
        <v>47.041297935103202</v>
      </c>
      <c r="D15" s="6">
        <v>47.041297935103202</v>
      </c>
    </row>
    <row r="16" spans="2:10" x14ac:dyDescent="0.25">
      <c r="B16" s="4">
        <v>7</v>
      </c>
      <c r="C16" s="6">
        <v>47.206741573033703</v>
      </c>
      <c r="D16" s="6">
        <v>47.206741573033703</v>
      </c>
    </row>
    <row r="17" spans="2:4" x14ac:dyDescent="0.25">
      <c r="B17" s="4">
        <v>8</v>
      </c>
      <c r="C17" s="6"/>
      <c r="D17" s="6"/>
    </row>
    <row r="18" spans="2:4" x14ac:dyDescent="0.25">
      <c r="B18" s="4">
        <v>9</v>
      </c>
      <c r="C18" s="6">
        <v>48.5475309984772</v>
      </c>
      <c r="D18" s="6">
        <v>48.5475309984772</v>
      </c>
    </row>
    <row r="19" spans="2:4" x14ac:dyDescent="0.25">
      <c r="B19" s="4">
        <v>10</v>
      </c>
      <c r="C19" s="6">
        <v>45.635949943117097</v>
      </c>
      <c r="D19" s="6">
        <v>45.635949943117097</v>
      </c>
    </row>
    <row r="20" spans="2:4" x14ac:dyDescent="0.25">
      <c r="B20" s="4">
        <v>11</v>
      </c>
      <c r="C20" s="6"/>
      <c r="D20" s="6"/>
    </row>
    <row r="21" spans="2:4" x14ac:dyDescent="0.25">
      <c r="B21" s="4">
        <v>12</v>
      </c>
      <c r="C21" s="6"/>
      <c r="D21" s="6"/>
    </row>
    <row r="22" spans="2:4" x14ac:dyDescent="0.25">
      <c r="B22" s="4">
        <v>13</v>
      </c>
      <c r="C22" s="6"/>
      <c r="D22" s="6"/>
    </row>
    <row r="23" spans="2:4" x14ac:dyDescent="0.25">
      <c r="B23" s="4">
        <v>14</v>
      </c>
      <c r="C23" s="6"/>
      <c r="D23" s="6"/>
    </row>
    <row r="24" spans="2:4" x14ac:dyDescent="0.25">
      <c r="B24" s="4">
        <v>15</v>
      </c>
      <c r="C24" s="6"/>
      <c r="D24" s="6"/>
    </row>
    <row r="25" spans="2:4" x14ac:dyDescent="0.25">
      <c r="B25" s="4">
        <v>16</v>
      </c>
      <c r="C25" s="6"/>
      <c r="D25" s="6"/>
    </row>
    <row r="26" spans="2:4" x14ac:dyDescent="0.25">
      <c r="B26" s="4">
        <v>17</v>
      </c>
      <c r="C26" s="6"/>
      <c r="D26" s="6"/>
    </row>
    <row r="27" spans="2:4" x14ac:dyDescent="0.25">
      <c r="B27" s="4">
        <v>18</v>
      </c>
      <c r="C27" s="6"/>
      <c r="D27" s="6"/>
    </row>
    <row r="28" spans="2:4" x14ac:dyDescent="0.25">
      <c r="B28" s="4">
        <v>19</v>
      </c>
      <c r="C28" s="6"/>
      <c r="D28" s="6"/>
    </row>
    <row r="29" spans="2:4" x14ac:dyDescent="0.25">
      <c r="B29" s="4">
        <v>20</v>
      </c>
      <c r="C29" s="6"/>
      <c r="D29" s="6"/>
    </row>
    <row r="30" spans="2:4" x14ac:dyDescent="0.25">
      <c r="B30" s="4">
        <v>21</v>
      </c>
      <c r="C30" s="6"/>
      <c r="D30" s="6"/>
    </row>
    <row r="31" spans="2:4" x14ac:dyDescent="0.25">
      <c r="B31" s="4">
        <v>22</v>
      </c>
      <c r="C31" s="6"/>
      <c r="D31" s="6"/>
    </row>
    <row r="32" spans="2:4" x14ac:dyDescent="0.25">
      <c r="B32" s="4">
        <v>23</v>
      </c>
      <c r="C32" s="6"/>
      <c r="D32" s="6"/>
    </row>
    <row r="33" spans="2:4" x14ac:dyDescent="0.25">
      <c r="B33" s="4">
        <v>24</v>
      </c>
      <c r="C33" s="6"/>
      <c r="D33" s="6"/>
    </row>
    <row r="34" spans="2:4" x14ac:dyDescent="0.25">
      <c r="B34" s="4">
        <v>25</v>
      </c>
      <c r="C34" s="6"/>
      <c r="D34" s="6"/>
    </row>
    <row r="35" spans="2:4" x14ac:dyDescent="0.25">
      <c r="B35" s="4">
        <v>26</v>
      </c>
      <c r="C35" s="6"/>
      <c r="D35" s="6"/>
    </row>
    <row r="36" spans="2:4" x14ac:dyDescent="0.25">
      <c r="B36" s="4">
        <v>27</v>
      </c>
      <c r="C36" s="6"/>
      <c r="D36" s="6"/>
    </row>
    <row r="37" spans="2:4" x14ac:dyDescent="0.25">
      <c r="B37" s="4">
        <v>28</v>
      </c>
      <c r="C37" s="6"/>
      <c r="D37" s="6"/>
    </row>
    <row r="38" spans="2:4" x14ac:dyDescent="0.25">
      <c r="B38" s="4">
        <v>29</v>
      </c>
      <c r="C38" s="6"/>
      <c r="D38" s="6"/>
    </row>
    <row r="39" spans="2:4" x14ac:dyDescent="0.25">
      <c r="B39" s="4">
        <v>30</v>
      </c>
      <c r="C39" s="6"/>
      <c r="D39" s="6"/>
    </row>
    <row r="40" spans="2:4" x14ac:dyDescent="0.25">
      <c r="B40" s="4">
        <v>31</v>
      </c>
      <c r="C40" s="6"/>
      <c r="D40" s="6"/>
    </row>
  </sheetData>
  <dataValidations disablePrompts="1" count="3">
    <dataValidation type="list" allowBlank="1" showInputMessage="1" showErrorMessage="1" sqref="C4" xr:uid="{00000000-0002-0000-0100-000000000000}">
      <formula1>"2018,2019,2020,2021,2022,2023,2024,2025,2026,2027,2028"</formula1>
    </dataValidation>
    <dataValidation type="list" allowBlank="1" showInputMessage="1" showErrorMessage="1" sqref="C5" xr:uid="{00000000-0002-0000-0100-000001000000}">
      <formula1>"1,2,3,4,5,6,7,8,9,10,11,12"</formula1>
    </dataValidation>
    <dataValidation type="whole" allowBlank="1" showInputMessage="1" showErrorMessage="1" sqref="C6" xr:uid="{00000000-0002-0000-0100-000002000000}">
      <formula1>1</formula1>
      <formula2>31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UpdateAllColumns_AllDays">
                <anchor moveWithCells="1" sizeWithCells="1">
                  <from>
                    <xdr:col>3</xdr:col>
                    <xdr:colOff>28575</xdr:colOff>
                    <xdr:row>1</xdr:row>
                    <xdr:rowOff>19050</xdr:rowOff>
                  </from>
                  <to>
                    <xdr:col>3</xdr:col>
                    <xdr:colOff>1000125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J21"/>
  <sheetViews>
    <sheetView workbookViewId="0">
      <selection activeCell="B3" sqref="B3"/>
    </sheetView>
  </sheetViews>
  <sheetFormatPr defaultRowHeight="15" x14ac:dyDescent="0.25"/>
  <cols>
    <col min="1" max="1" width="3.42578125" customWidth="1"/>
    <col min="2" max="2" width="15.85546875" customWidth="1"/>
    <col min="3" max="3" width="17.42578125" style="3" customWidth="1"/>
    <col min="4" max="4" width="15.42578125" style="3" customWidth="1"/>
  </cols>
  <sheetData>
    <row r="1" spans="2:10" x14ac:dyDescent="0.25">
      <c r="J1" t="s">
        <v>12</v>
      </c>
    </row>
    <row r="2" spans="2:10" x14ac:dyDescent="0.25">
      <c r="B2" s="1" t="s">
        <v>3</v>
      </c>
      <c r="C2" s="2" t="s">
        <v>4</v>
      </c>
      <c r="E2" s="3"/>
    </row>
    <row r="3" spans="2:10" x14ac:dyDescent="0.25">
      <c r="B3" s="1"/>
      <c r="C3" s="2"/>
      <c r="E3" s="3"/>
    </row>
    <row r="4" spans="2:10" x14ac:dyDescent="0.25">
      <c r="B4" s="1" t="s">
        <v>0</v>
      </c>
      <c r="C4" s="2">
        <v>2018</v>
      </c>
    </row>
    <row r="5" spans="2:10" hidden="1" x14ac:dyDescent="0.25">
      <c r="B5" s="1" t="s">
        <v>1</v>
      </c>
      <c r="C5" s="2">
        <v>8</v>
      </c>
    </row>
    <row r="6" spans="2:10" hidden="1" x14ac:dyDescent="0.25">
      <c r="B6" s="1" t="s">
        <v>2</v>
      </c>
      <c r="C6" s="2">
        <v>1</v>
      </c>
    </row>
    <row r="7" spans="2:10" x14ac:dyDescent="0.25">
      <c r="B7" s="7"/>
    </row>
    <row r="9" spans="2:10" ht="24.75" customHeight="1" x14ac:dyDescent="0.25">
      <c r="B9" s="5" t="s">
        <v>1</v>
      </c>
      <c r="C9" s="5" t="s">
        <v>7</v>
      </c>
      <c r="D9" s="5"/>
    </row>
    <row r="10" spans="2:10" x14ac:dyDescent="0.25">
      <c r="B10" s="4">
        <v>1</v>
      </c>
      <c r="C10" s="6"/>
      <c r="D10" s="6"/>
    </row>
    <row r="11" spans="2:10" x14ac:dyDescent="0.25">
      <c r="B11" s="1">
        <v>2</v>
      </c>
      <c r="C11" s="6"/>
      <c r="D11" s="6"/>
    </row>
    <row r="12" spans="2:10" x14ac:dyDescent="0.25">
      <c r="B12" s="4">
        <v>3</v>
      </c>
      <c r="C12" s="6"/>
      <c r="D12" s="6"/>
    </row>
    <row r="13" spans="2:10" x14ac:dyDescent="0.25">
      <c r="B13" s="4">
        <v>4</v>
      </c>
      <c r="C13" s="6"/>
      <c r="D13" s="6"/>
    </row>
    <row r="14" spans="2:10" x14ac:dyDescent="0.25">
      <c r="B14" s="4">
        <v>5</v>
      </c>
      <c r="C14" s="6"/>
      <c r="D14" s="6"/>
    </row>
    <row r="15" spans="2:10" x14ac:dyDescent="0.25">
      <c r="B15" s="4">
        <v>6</v>
      </c>
      <c r="C15" s="6"/>
      <c r="D15" s="6"/>
    </row>
    <row r="16" spans="2:10" x14ac:dyDescent="0.25">
      <c r="B16" s="4">
        <v>7</v>
      </c>
      <c r="C16" s="6"/>
      <c r="D16" s="6"/>
    </row>
    <row r="17" spans="2:4" x14ac:dyDescent="0.25">
      <c r="B17" s="4">
        <v>8</v>
      </c>
      <c r="C17" s="6">
        <v>47.781663275686597</v>
      </c>
      <c r="D17" s="6"/>
    </row>
    <row r="18" spans="2:4" x14ac:dyDescent="0.25">
      <c r="B18" s="4">
        <v>9</v>
      </c>
      <c r="C18" s="6"/>
      <c r="D18" s="6"/>
    </row>
    <row r="19" spans="2:4" x14ac:dyDescent="0.25">
      <c r="B19" s="4">
        <v>10</v>
      </c>
      <c r="C19" s="6"/>
      <c r="D19" s="6"/>
    </row>
    <row r="20" spans="2:4" x14ac:dyDescent="0.25">
      <c r="B20" s="4">
        <v>11</v>
      </c>
      <c r="C20" s="6"/>
      <c r="D20" s="6"/>
    </row>
    <row r="21" spans="2:4" x14ac:dyDescent="0.25">
      <c r="B21" s="4">
        <v>12</v>
      </c>
      <c r="C21" s="6"/>
      <c r="D21" s="6"/>
    </row>
  </sheetData>
  <dataValidations disablePrompts="1" count="3">
    <dataValidation type="whole" allowBlank="1" showInputMessage="1" showErrorMessage="1" sqref="C6" xr:uid="{00000000-0002-0000-0200-000000000000}">
      <formula1>1</formula1>
      <formula2>31</formula2>
    </dataValidation>
    <dataValidation type="list" allowBlank="1" showInputMessage="1" showErrorMessage="1" sqref="C5" xr:uid="{00000000-0002-0000-0200-000001000000}">
      <formula1>"1,2,3,4,5,6,7,8,9,10,11,12"</formula1>
    </dataValidation>
    <dataValidation type="list" allowBlank="1" showInputMessage="1" showErrorMessage="1" sqref="C4" xr:uid="{00000000-0002-0000-0200-000002000000}">
      <formula1>"2018,2019,2020,2021,2022,2023,2024,2025,2026,2027,2028"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UpdateAllColumns_AllMonths">
                <anchor moveWithCells="1" sizeWithCells="1">
                  <from>
                    <xdr:col>3</xdr:col>
                    <xdr:colOff>28575</xdr:colOff>
                    <xdr:row>1</xdr:row>
                    <xdr:rowOff>19050</xdr:rowOff>
                  </from>
                  <to>
                    <xdr:col>3</xdr:col>
                    <xdr:colOff>1000125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B2:P40"/>
  <sheetViews>
    <sheetView zoomScale="85" zoomScaleNormal="85" workbookViewId="0">
      <selection activeCell="C3" sqref="C3"/>
    </sheetView>
  </sheetViews>
  <sheetFormatPr defaultRowHeight="15" x14ac:dyDescent="0.25"/>
  <cols>
    <col min="1" max="1" width="3.42578125" customWidth="1"/>
    <col min="2" max="2" width="15.85546875" customWidth="1"/>
    <col min="3" max="3" width="17.42578125" style="3" customWidth="1"/>
    <col min="4" max="4" width="17.85546875" style="3" customWidth="1"/>
    <col min="5" max="16" width="12.28515625" bestFit="1" customWidth="1"/>
  </cols>
  <sheetData>
    <row r="2" spans="2:16" x14ac:dyDescent="0.25">
      <c r="B2" s="1" t="s">
        <v>3</v>
      </c>
      <c r="C2" s="2" t="s">
        <v>4</v>
      </c>
    </row>
    <row r="3" spans="2:16" x14ac:dyDescent="0.25">
      <c r="B3" s="1" t="s">
        <v>8</v>
      </c>
      <c r="C3" s="2" t="s">
        <v>9</v>
      </c>
    </row>
    <row r="4" spans="2:16" x14ac:dyDescent="0.25">
      <c r="B4" s="1" t="s">
        <v>0</v>
      </c>
      <c r="C4" s="2">
        <v>2018</v>
      </c>
    </row>
    <row r="5" spans="2:16" x14ac:dyDescent="0.25">
      <c r="B5" s="1" t="s">
        <v>1</v>
      </c>
      <c r="C5" s="2">
        <v>1</v>
      </c>
    </row>
    <row r="6" spans="2:16" x14ac:dyDescent="0.25">
      <c r="B6" s="1" t="s">
        <v>2</v>
      </c>
      <c r="C6" s="2">
        <v>1</v>
      </c>
    </row>
    <row r="7" spans="2:16" x14ac:dyDescent="0.25">
      <c r="B7" s="7"/>
    </row>
    <row r="8" spans="2:16" x14ac:dyDescent="0.25">
      <c r="C8" s="8"/>
      <c r="D8" s="8"/>
    </row>
    <row r="9" spans="2:16" ht="24.75" customHeight="1" x14ac:dyDescent="0.25">
      <c r="B9" s="5" t="str">
        <f>C3</f>
        <v>Hourly</v>
      </c>
      <c r="C9" s="9"/>
      <c r="D9" s="9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</row>
    <row r="10" spans="2:16" x14ac:dyDescent="0.25">
      <c r="B10" s="4">
        <v>1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</row>
    <row r="11" spans="2:16" x14ac:dyDescent="0.25">
      <c r="B11" s="1">
        <v>2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</row>
    <row r="12" spans="2:16" x14ac:dyDescent="0.25">
      <c r="B12" s="4">
        <v>3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</row>
    <row r="13" spans="2:16" x14ac:dyDescent="0.25">
      <c r="B13" s="4">
        <v>4</v>
      </c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</row>
    <row r="14" spans="2:16" x14ac:dyDescent="0.25">
      <c r="B14" s="4">
        <v>5</v>
      </c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</row>
    <row r="15" spans="2:16" x14ac:dyDescent="0.25">
      <c r="B15" s="4">
        <v>6</v>
      </c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</row>
    <row r="16" spans="2:16" x14ac:dyDescent="0.25">
      <c r="B16" s="4">
        <v>7</v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</row>
    <row r="17" spans="2:16" x14ac:dyDescent="0.25">
      <c r="B17" s="4">
        <v>8</v>
      </c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</row>
    <row r="18" spans="2:16" x14ac:dyDescent="0.25">
      <c r="B18" s="4">
        <v>9</v>
      </c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</row>
    <row r="19" spans="2:16" x14ac:dyDescent="0.25">
      <c r="B19" s="4">
        <v>10</v>
      </c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</row>
    <row r="20" spans="2:16" x14ac:dyDescent="0.25">
      <c r="B20" s="4">
        <v>11</v>
      </c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</row>
    <row r="21" spans="2:16" x14ac:dyDescent="0.25">
      <c r="B21" s="4">
        <v>12</v>
      </c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</row>
    <row r="22" spans="2:16" x14ac:dyDescent="0.25">
      <c r="B22" s="4">
        <v>13</v>
      </c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</row>
    <row r="23" spans="2:16" x14ac:dyDescent="0.25">
      <c r="B23" s="4">
        <v>14</v>
      </c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</row>
    <row r="24" spans="2:16" x14ac:dyDescent="0.25">
      <c r="B24" s="4">
        <v>15</v>
      </c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</row>
    <row r="25" spans="2:16" x14ac:dyDescent="0.25">
      <c r="B25" s="4">
        <v>16</v>
      </c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</row>
    <row r="26" spans="2:16" x14ac:dyDescent="0.25">
      <c r="B26" s="4">
        <v>17</v>
      </c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</row>
    <row r="27" spans="2:16" x14ac:dyDescent="0.25">
      <c r="B27" s="4">
        <v>18</v>
      </c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</row>
    <row r="28" spans="2:16" x14ac:dyDescent="0.25">
      <c r="B28" s="4">
        <v>19</v>
      </c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</row>
    <row r="29" spans="2:16" x14ac:dyDescent="0.25">
      <c r="B29" s="4">
        <v>20</v>
      </c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</row>
    <row r="30" spans="2:16" x14ac:dyDescent="0.25">
      <c r="B30" s="4">
        <v>21</v>
      </c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</row>
    <row r="31" spans="2:16" x14ac:dyDescent="0.25">
      <c r="B31" s="4">
        <v>22</v>
      </c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</row>
    <row r="32" spans="2:16" x14ac:dyDescent="0.25">
      <c r="B32" s="4">
        <v>23</v>
      </c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</row>
    <row r="33" spans="2:16" x14ac:dyDescent="0.25">
      <c r="B33" s="4">
        <v>24</v>
      </c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</row>
    <row r="34" spans="2:16" x14ac:dyDescent="0.25">
      <c r="B34" s="4">
        <v>25</v>
      </c>
      <c r="C34" s="10"/>
      <c r="D34" s="10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</row>
    <row r="35" spans="2:16" x14ac:dyDescent="0.25">
      <c r="B35" s="4">
        <v>26</v>
      </c>
      <c r="C35" s="10"/>
      <c r="D35" s="10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</row>
    <row r="36" spans="2:16" x14ac:dyDescent="0.25">
      <c r="B36" s="4">
        <v>27</v>
      </c>
      <c r="C36" s="10"/>
      <c r="D36" s="10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</row>
    <row r="37" spans="2:16" x14ac:dyDescent="0.25">
      <c r="B37" s="4">
        <v>28</v>
      </c>
      <c r="C37" s="10"/>
      <c r="D37" s="10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</row>
    <row r="38" spans="2:16" x14ac:dyDescent="0.25">
      <c r="B38" s="4">
        <v>29</v>
      </c>
      <c r="C38" s="10"/>
      <c r="D38" s="10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</row>
    <row r="39" spans="2:16" x14ac:dyDescent="0.25">
      <c r="B39" s="4">
        <v>30</v>
      </c>
      <c r="C39" s="10"/>
      <c r="D39" s="10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</row>
    <row r="40" spans="2:16" x14ac:dyDescent="0.25">
      <c r="B40" s="4">
        <v>31</v>
      </c>
      <c r="C40" s="10"/>
      <c r="D40" s="10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</row>
  </sheetData>
  <dataValidations count="5">
    <dataValidation type="list" allowBlank="1" showInputMessage="1" showErrorMessage="1" sqref="C4" xr:uid="{00000000-0002-0000-0300-000000000000}">
      <formula1>"2018,2019,2020,2021,2022,2023,2024,2025,2026,2027,2028"</formula1>
    </dataValidation>
    <dataValidation type="list" allowBlank="1" showInputMessage="1" showErrorMessage="1" sqref="C5" xr:uid="{00000000-0002-0000-0300-000001000000}">
      <formula1>"1,2,3,4,5,6,7,8,9,10,11,12"</formula1>
    </dataValidation>
    <dataValidation type="whole" allowBlank="1" showInputMessage="1" showErrorMessage="1" sqref="C6" xr:uid="{00000000-0002-0000-0300-000002000000}">
      <formula1>1</formula1>
      <formula2>31</formula2>
    </dataValidation>
    <dataValidation type="list" allowBlank="1" showInputMessage="1" showErrorMessage="1" sqref="C8:D8" xr:uid="{00000000-0002-0000-0300-000003000000}">
      <formula1>"RT,AVG,MAX,MIN,SUM,COUNT"</formula1>
    </dataValidation>
    <dataValidation type="list" allowBlank="1" showInputMessage="1" showErrorMessage="1" sqref="C3" xr:uid="{00000000-0002-0000-0300-000004000000}">
      <formula1>"Hourly,Daily,Monthly"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UpdateAllColumns_AllRows">
                <anchor moveWithCells="1" sizeWithCells="1">
                  <from>
                    <xdr:col>3</xdr:col>
                    <xdr:colOff>28575</xdr:colOff>
                    <xdr:row>1</xdr:row>
                    <xdr:rowOff>19050</xdr:rowOff>
                  </from>
                  <to>
                    <xdr:col>3</xdr:col>
                    <xdr:colOff>1000125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B2:P33"/>
  <sheetViews>
    <sheetView zoomScale="85" zoomScaleNormal="85" workbookViewId="0">
      <selection activeCell="D1" sqref="D1"/>
    </sheetView>
  </sheetViews>
  <sheetFormatPr defaultRowHeight="15" x14ac:dyDescent="0.25"/>
  <cols>
    <col min="1" max="1" width="3.42578125" customWidth="1"/>
    <col min="2" max="2" width="15.85546875" customWidth="1"/>
    <col min="3" max="4" width="17.42578125" style="3" customWidth="1"/>
    <col min="5" max="9" width="17.42578125" customWidth="1"/>
    <col min="10" max="16" width="12.28515625" bestFit="1" customWidth="1"/>
  </cols>
  <sheetData>
    <row r="2" spans="2:16" x14ac:dyDescent="0.25">
      <c r="B2" s="1" t="s">
        <v>3</v>
      </c>
      <c r="C2" s="2" t="s">
        <v>14</v>
      </c>
    </row>
    <row r="3" spans="2:16" x14ac:dyDescent="0.25">
      <c r="B3" s="1" t="s">
        <v>8</v>
      </c>
      <c r="C3" s="2" t="s">
        <v>9</v>
      </c>
    </row>
    <row r="4" spans="2:16" x14ac:dyDescent="0.25">
      <c r="B4" s="1" t="s">
        <v>0</v>
      </c>
      <c r="C4" s="2">
        <v>2021</v>
      </c>
    </row>
    <row r="5" spans="2:16" x14ac:dyDescent="0.25">
      <c r="B5" s="1" t="s">
        <v>1</v>
      </c>
      <c r="C5" s="2">
        <v>12</v>
      </c>
    </row>
    <row r="6" spans="2:16" x14ac:dyDescent="0.25">
      <c r="B6" s="1" t="s">
        <v>2</v>
      </c>
      <c r="C6" s="2">
        <v>9</v>
      </c>
    </row>
    <row r="7" spans="2:16" x14ac:dyDescent="0.25">
      <c r="B7" s="7"/>
    </row>
    <row r="8" spans="2:16" x14ac:dyDescent="0.25">
      <c r="C8" s="2" t="s">
        <v>13</v>
      </c>
      <c r="D8" s="2" t="s">
        <v>13</v>
      </c>
      <c r="E8" s="2" t="s">
        <v>13</v>
      </c>
      <c r="F8" s="2" t="s">
        <v>13</v>
      </c>
    </row>
    <row r="9" spans="2:16" ht="24.75" customHeight="1" x14ac:dyDescent="0.25">
      <c r="B9" s="5" t="str">
        <f>C3</f>
        <v>Hourly</v>
      </c>
      <c r="C9" s="9" t="s">
        <v>17</v>
      </c>
      <c r="D9" s="9" t="s">
        <v>17</v>
      </c>
      <c r="E9" s="9" t="s">
        <v>17</v>
      </c>
      <c r="F9" s="9" t="s">
        <v>17</v>
      </c>
      <c r="G9" s="5"/>
      <c r="H9" s="5"/>
      <c r="I9" s="5"/>
      <c r="J9" s="5"/>
      <c r="K9" s="5"/>
      <c r="L9" s="5"/>
      <c r="M9" s="5"/>
      <c r="N9" s="5"/>
      <c r="O9" s="5"/>
      <c r="P9" s="5"/>
    </row>
    <row r="10" spans="2:16" x14ac:dyDescent="0.25">
      <c r="B10" s="4">
        <v>0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</row>
    <row r="11" spans="2:16" x14ac:dyDescent="0.25">
      <c r="B11" s="1">
        <v>1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</row>
    <row r="12" spans="2:16" x14ac:dyDescent="0.25">
      <c r="B12" s="4">
        <v>2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</row>
    <row r="13" spans="2:16" x14ac:dyDescent="0.25">
      <c r="B13" s="4">
        <v>3</v>
      </c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</row>
    <row r="14" spans="2:16" x14ac:dyDescent="0.25">
      <c r="B14" s="4">
        <v>4</v>
      </c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</row>
    <row r="15" spans="2:16" x14ac:dyDescent="0.25">
      <c r="B15" s="1">
        <v>5</v>
      </c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</row>
    <row r="16" spans="2:16" x14ac:dyDescent="0.25">
      <c r="B16" s="4">
        <v>6</v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</row>
    <row r="17" spans="2:16" x14ac:dyDescent="0.25">
      <c r="B17" s="4">
        <v>7</v>
      </c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</row>
    <row r="18" spans="2:16" x14ac:dyDescent="0.25">
      <c r="B18" s="4">
        <v>8</v>
      </c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</row>
    <row r="19" spans="2:16" x14ac:dyDescent="0.25">
      <c r="B19" s="1">
        <v>9</v>
      </c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</row>
    <row r="20" spans="2:16" x14ac:dyDescent="0.25">
      <c r="B20" s="4">
        <v>10</v>
      </c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</row>
    <row r="21" spans="2:16" x14ac:dyDescent="0.25">
      <c r="B21" s="4">
        <v>11</v>
      </c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</row>
    <row r="22" spans="2:16" x14ac:dyDescent="0.25">
      <c r="B22" s="4">
        <v>12</v>
      </c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</row>
    <row r="23" spans="2:16" x14ac:dyDescent="0.25">
      <c r="B23" s="1">
        <v>13</v>
      </c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</row>
    <row r="24" spans="2:16" x14ac:dyDescent="0.25">
      <c r="B24" s="4">
        <v>14</v>
      </c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</row>
    <row r="25" spans="2:16" x14ac:dyDescent="0.25">
      <c r="B25" s="4">
        <v>15</v>
      </c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</row>
    <row r="26" spans="2:16" x14ac:dyDescent="0.25">
      <c r="B26" s="1">
        <v>16</v>
      </c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</row>
    <row r="27" spans="2:16" x14ac:dyDescent="0.25">
      <c r="B27" s="4">
        <v>17</v>
      </c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</row>
    <row r="28" spans="2:16" x14ac:dyDescent="0.25">
      <c r="B28" s="4">
        <v>18</v>
      </c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</row>
    <row r="29" spans="2:16" x14ac:dyDescent="0.25">
      <c r="B29" s="4">
        <v>19</v>
      </c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</row>
    <row r="30" spans="2:16" x14ac:dyDescent="0.25">
      <c r="B30" s="1">
        <v>20</v>
      </c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</row>
    <row r="31" spans="2:16" x14ac:dyDescent="0.25">
      <c r="B31" s="4">
        <v>21</v>
      </c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</row>
    <row r="32" spans="2:16" x14ac:dyDescent="0.25">
      <c r="B32" s="4">
        <v>22</v>
      </c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</row>
    <row r="33" spans="2:16" x14ac:dyDescent="0.25">
      <c r="B33" s="4">
        <v>23</v>
      </c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</row>
  </sheetData>
  <dataValidations disablePrompts="1" count="5">
    <dataValidation type="list" allowBlank="1" showInputMessage="1" showErrorMessage="1" sqref="C3" xr:uid="{00000000-0002-0000-0400-000000000000}">
      <formula1>"Hourly,Daily,Monthly"</formula1>
    </dataValidation>
    <dataValidation type="list" allowBlank="1" showInputMessage="1" showErrorMessage="1" sqref="C8:F8" xr:uid="{00000000-0002-0000-0400-000001000000}">
      <formula1>"RT,AVG,MAX,MIN,SUM,COUNT"</formula1>
    </dataValidation>
    <dataValidation type="whole" allowBlank="1" showInputMessage="1" showErrorMessage="1" sqref="C6" xr:uid="{00000000-0002-0000-0400-000002000000}">
      <formula1>1</formula1>
      <formula2>31</formula2>
    </dataValidation>
    <dataValidation type="list" allowBlank="1" showInputMessage="1" showErrorMessage="1" sqref="C5" xr:uid="{00000000-0002-0000-0400-000003000000}">
      <formula1>"1,2,3,4,5,6,7,8,9,10,11,12"</formula1>
    </dataValidation>
    <dataValidation type="list" allowBlank="1" showInputMessage="1" showErrorMessage="1" sqref="C4" xr:uid="{00000000-0002-0000-0400-000004000000}">
      <formula1>"2018,2019,2020,2021,2022,2023,2024,2025,2026,2027,2028"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UpdateAllColumns_AllRows">
                <anchor moveWithCells="1" sizeWithCells="1">
                  <from>
                    <xdr:col>3</xdr:col>
                    <xdr:colOff>28575</xdr:colOff>
                    <xdr:row>1</xdr:row>
                    <xdr:rowOff>19050</xdr:rowOff>
                  </from>
                  <to>
                    <xdr:col>3</xdr:col>
                    <xdr:colOff>1000125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B2:P40"/>
  <sheetViews>
    <sheetView zoomScale="85" zoomScaleNormal="85" workbookViewId="0">
      <selection activeCell="D1" sqref="D1"/>
    </sheetView>
  </sheetViews>
  <sheetFormatPr defaultRowHeight="15" x14ac:dyDescent="0.25"/>
  <cols>
    <col min="1" max="1" width="3.42578125" customWidth="1"/>
    <col min="2" max="2" width="15.85546875" customWidth="1"/>
    <col min="3" max="4" width="17.42578125" style="3" customWidth="1"/>
    <col min="5" max="8" width="17.42578125" customWidth="1"/>
    <col min="9" max="16" width="12.28515625" bestFit="1" customWidth="1"/>
  </cols>
  <sheetData>
    <row r="2" spans="2:16" x14ac:dyDescent="0.25">
      <c r="B2" s="1" t="s">
        <v>3</v>
      </c>
      <c r="C2" s="2" t="s">
        <v>14</v>
      </c>
    </row>
    <row r="3" spans="2:16" x14ac:dyDescent="0.25">
      <c r="B3" s="1" t="s">
        <v>8</v>
      </c>
      <c r="C3" s="2" t="s">
        <v>10</v>
      </c>
    </row>
    <row r="4" spans="2:16" x14ac:dyDescent="0.25">
      <c r="B4" s="1" t="s">
        <v>0</v>
      </c>
      <c r="C4" s="2">
        <v>2021</v>
      </c>
    </row>
    <row r="5" spans="2:16" x14ac:dyDescent="0.25">
      <c r="B5" s="1" t="s">
        <v>1</v>
      </c>
      <c r="C5" s="2">
        <v>12</v>
      </c>
    </row>
    <row r="6" spans="2:16" x14ac:dyDescent="0.25">
      <c r="C6"/>
    </row>
    <row r="7" spans="2:16" x14ac:dyDescent="0.25">
      <c r="B7" s="7"/>
    </row>
    <row r="8" spans="2:16" x14ac:dyDescent="0.25">
      <c r="C8" s="2" t="s">
        <v>13</v>
      </c>
      <c r="D8" s="2" t="s">
        <v>13</v>
      </c>
      <c r="E8" s="2" t="s">
        <v>13</v>
      </c>
      <c r="F8" s="2" t="s">
        <v>13</v>
      </c>
    </row>
    <row r="9" spans="2:16" ht="24.75" customHeight="1" x14ac:dyDescent="0.25">
      <c r="B9" s="5" t="str">
        <f>C3</f>
        <v>Daily</v>
      </c>
      <c r="C9" s="9" t="s">
        <v>17</v>
      </c>
      <c r="D9" s="9" t="s">
        <v>17</v>
      </c>
      <c r="E9" s="9" t="s">
        <v>17</v>
      </c>
      <c r="F9" s="9" t="s">
        <v>17</v>
      </c>
      <c r="G9" s="5"/>
      <c r="H9" s="5"/>
      <c r="I9" s="5"/>
      <c r="J9" s="5"/>
      <c r="K9" s="5"/>
      <c r="L9" s="5"/>
      <c r="M9" s="5"/>
      <c r="N9" s="5"/>
      <c r="O9" s="5"/>
      <c r="P9" s="5"/>
    </row>
    <row r="10" spans="2:16" x14ac:dyDescent="0.25">
      <c r="B10" s="4">
        <v>1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</row>
    <row r="11" spans="2:16" x14ac:dyDescent="0.25">
      <c r="B11" s="1">
        <v>2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</row>
    <row r="12" spans="2:16" x14ac:dyDescent="0.25">
      <c r="B12" s="4">
        <v>3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</row>
    <row r="13" spans="2:16" x14ac:dyDescent="0.25">
      <c r="B13" s="4">
        <v>4</v>
      </c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</row>
    <row r="14" spans="2:16" x14ac:dyDescent="0.25">
      <c r="B14" s="4">
        <v>5</v>
      </c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</row>
    <row r="15" spans="2:16" x14ac:dyDescent="0.25">
      <c r="B15" s="4">
        <v>6</v>
      </c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</row>
    <row r="16" spans="2:16" x14ac:dyDescent="0.25">
      <c r="B16" s="4">
        <v>7</v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</row>
    <row r="17" spans="2:16" x14ac:dyDescent="0.25">
      <c r="B17" s="4">
        <v>8</v>
      </c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</row>
    <row r="18" spans="2:16" x14ac:dyDescent="0.25">
      <c r="B18" s="4">
        <v>9</v>
      </c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</row>
    <row r="19" spans="2:16" x14ac:dyDescent="0.25">
      <c r="B19" s="4">
        <v>10</v>
      </c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</row>
    <row r="20" spans="2:16" x14ac:dyDescent="0.25">
      <c r="B20" s="4">
        <v>11</v>
      </c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</row>
    <row r="21" spans="2:16" x14ac:dyDescent="0.25">
      <c r="B21" s="4">
        <v>12</v>
      </c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</row>
    <row r="22" spans="2:16" x14ac:dyDescent="0.25">
      <c r="B22" s="4">
        <v>13</v>
      </c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</row>
    <row r="23" spans="2:16" x14ac:dyDescent="0.25">
      <c r="B23" s="4">
        <v>14</v>
      </c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</row>
    <row r="24" spans="2:16" x14ac:dyDescent="0.25">
      <c r="B24" s="4">
        <v>15</v>
      </c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</row>
    <row r="25" spans="2:16" x14ac:dyDescent="0.25">
      <c r="B25" s="4">
        <v>16</v>
      </c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</row>
    <row r="26" spans="2:16" x14ac:dyDescent="0.25">
      <c r="B26" s="4">
        <v>17</v>
      </c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</row>
    <row r="27" spans="2:16" x14ac:dyDescent="0.25">
      <c r="B27" s="4">
        <v>18</v>
      </c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</row>
    <row r="28" spans="2:16" x14ac:dyDescent="0.25">
      <c r="B28" s="4">
        <v>19</v>
      </c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</row>
    <row r="29" spans="2:16" x14ac:dyDescent="0.25">
      <c r="B29" s="4">
        <v>20</v>
      </c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</row>
    <row r="30" spans="2:16" x14ac:dyDescent="0.25">
      <c r="B30" s="4">
        <v>21</v>
      </c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</row>
    <row r="31" spans="2:16" x14ac:dyDescent="0.25">
      <c r="B31" s="4">
        <v>22</v>
      </c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</row>
    <row r="32" spans="2:16" x14ac:dyDescent="0.25">
      <c r="B32" s="4">
        <v>23</v>
      </c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</row>
    <row r="33" spans="2:16" x14ac:dyDescent="0.25">
      <c r="B33" s="4">
        <v>24</v>
      </c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</row>
    <row r="34" spans="2:16" x14ac:dyDescent="0.25">
      <c r="B34" s="4">
        <v>25</v>
      </c>
      <c r="C34" s="10"/>
      <c r="D34" s="10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</row>
    <row r="35" spans="2:16" x14ac:dyDescent="0.25">
      <c r="B35" s="4">
        <v>26</v>
      </c>
      <c r="C35" s="10"/>
      <c r="D35" s="10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</row>
    <row r="36" spans="2:16" x14ac:dyDescent="0.25">
      <c r="B36" s="4">
        <v>27</v>
      </c>
      <c r="C36" s="10"/>
      <c r="D36" s="10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</row>
    <row r="37" spans="2:16" x14ac:dyDescent="0.25">
      <c r="B37" s="4">
        <v>28</v>
      </c>
      <c r="C37" s="10"/>
      <c r="D37" s="10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</row>
    <row r="38" spans="2:16" x14ac:dyDescent="0.25">
      <c r="B38" s="4">
        <v>29</v>
      </c>
      <c r="C38" s="10"/>
      <c r="D38" s="10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</row>
    <row r="39" spans="2:16" x14ac:dyDescent="0.25">
      <c r="B39" s="4">
        <v>30</v>
      </c>
      <c r="C39" s="10"/>
      <c r="D39" s="10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</row>
    <row r="40" spans="2:16" x14ac:dyDescent="0.25">
      <c r="B40" s="4">
        <v>31</v>
      </c>
      <c r="C40" s="10"/>
      <c r="D40" s="10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</row>
  </sheetData>
  <dataValidations disablePrompts="1" count="4">
    <dataValidation type="list" allowBlank="1" showInputMessage="1" showErrorMessage="1" sqref="C3" xr:uid="{00000000-0002-0000-0500-000000000000}">
      <formula1>"Hourly,Daily,Monthly"</formula1>
    </dataValidation>
    <dataValidation type="list" allowBlank="1" showInputMessage="1" showErrorMessage="1" sqref="C8:F8" xr:uid="{00000000-0002-0000-0500-000001000000}">
      <formula1>"RT,AVG,MAX,MIN,SUM,COUNT"</formula1>
    </dataValidation>
    <dataValidation type="list" allowBlank="1" showInputMessage="1" showErrorMessage="1" sqref="C5" xr:uid="{00000000-0002-0000-0500-000002000000}">
      <formula1>"1,2,3,4,5,6,7,8,9,10,11,12"</formula1>
    </dataValidation>
    <dataValidation type="list" allowBlank="1" showInputMessage="1" showErrorMessage="1" sqref="C4" xr:uid="{00000000-0002-0000-0500-000003000000}">
      <formula1>"2018,2019,2020,2021,2022,2023,2024,2025,2026,2027,2028"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UpdateAllColumns_AllRows">
                <anchor moveWithCells="1" sizeWithCells="1">
                  <from>
                    <xdr:col>3</xdr:col>
                    <xdr:colOff>28575</xdr:colOff>
                    <xdr:row>1</xdr:row>
                    <xdr:rowOff>19050</xdr:rowOff>
                  </from>
                  <to>
                    <xdr:col>3</xdr:col>
                    <xdr:colOff>1000125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/>
  <dimension ref="B2:P21"/>
  <sheetViews>
    <sheetView zoomScale="85" zoomScaleNormal="85" workbookViewId="0">
      <selection activeCell="D1" sqref="D1"/>
    </sheetView>
  </sheetViews>
  <sheetFormatPr defaultRowHeight="15" x14ac:dyDescent="0.25"/>
  <cols>
    <col min="1" max="1" width="3.42578125" customWidth="1"/>
    <col min="2" max="2" width="15.85546875" customWidth="1"/>
    <col min="3" max="4" width="17.42578125" style="3" customWidth="1"/>
    <col min="5" max="9" width="17.42578125" customWidth="1"/>
    <col min="10" max="16" width="12.28515625" bestFit="1" customWidth="1"/>
  </cols>
  <sheetData>
    <row r="2" spans="2:16" x14ac:dyDescent="0.25">
      <c r="B2" s="1" t="s">
        <v>3</v>
      </c>
      <c r="C2" s="2" t="s">
        <v>14</v>
      </c>
    </row>
    <row r="3" spans="2:16" x14ac:dyDescent="0.25">
      <c r="B3" s="1" t="s">
        <v>8</v>
      </c>
      <c r="C3" s="2" t="s">
        <v>11</v>
      </c>
    </row>
    <row r="4" spans="2:16" x14ac:dyDescent="0.25">
      <c r="B4" s="1" t="s">
        <v>0</v>
      </c>
      <c r="C4" s="2">
        <v>2021</v>
      </c>
    </row>
    <row r="5" spans="2:16" x14ac:dyDescent="0.25">
      <c r="C5"/>
    </row>
    <row r="6" spans="2:16" x14ac:dyDescent="0.25">
      <c r="C6"/>
    </row>
    <row r="7" spans="2:16" x14ac:dyDescent="0.25">
      <c r="B7" s="7"/>
    </row>
    <row r="8" spans="2:16" x14ac:dyDescent="0.25">
      <c r="C8" s="2" t="s">
        <v>13</v>
      </c>
      <c r="D8" s="2" t="s">
        <v>13</v>
      </c>
      <c r="E8" s="2" t="s">
        <v>13</v>
      </c>
      <c r="F8" s="2" t="s">
        <v>13</v>
      </c>
    </row>
    <row r="9" spans="2:16" ht="24.75" customHeight="1" x14ac:dyDescent="0.25">
      <c r="B9" s="5" t="str">
        <f>C3</f>
        <v>Monthly</v>
      </c>
      <c r="C9" s="9" t="s">
        <v>17</v>
      </c>
      <c r="D9" s="9" t="s">
        <v>17</v>
      </c>
      <c r="E9" s="9" t="s">
        <v>17</v>
      </c>
      <c r="F9" s="9" t="s">
        <v>17</v>
      </c>
      <c r="G9" s="5"/>
      <c r="H9" s="5"/>
      <c r="I9" s="5"/>
      <c r="J9" s="5"/>
      <c r="K9" s="5"/>
      <c r="L9" s="5"/>
      <c r="M9" s="5"/>
      <c r="N9" s="5"/>
      <c r="O9" s="5"/>
      <c r="P9" s="5"/>
    </row>
    <row r="10" spans="2:16" x14ac:dyDescent="0.25">
      <c r="B10" s="4">
        <v>1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</row>
    <row r="11" spans="2:16" x14ac:dyDescent="0.25">
      <c r="B11" s="1">
        <v>2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</row>
    <row r="12" spans="2:16" x14ac:dyDescent="0.25">
      <c r="B12" s="4">
        <v>3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</row>
    <row r="13" spans="2:16" x14ac:dyDescent="0.25">
      <c r="B13" s="4">
        <v>4</v>
      </c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</row>
    <row r="14" spans="2:16" x14ac:dyDescent="0.25">
      <c r="B14" s="4">
        <v>5</v>
      </c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</row>
    <row r="15" spans="2:16" x14ac:dyDescent="0.25">
      <c r="B15" s="4">
        <v>6</v>
      </c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</row>
    <row r="16" spans="2:16" x14ac:dyDescent="0.25">
      <c r="B16" s="4">
        <v>7</v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</row>
    <row r="17" spans="2:16" x14ac:dyDescent="0.25">
      <c r="B17" s="4">
        <v>8</v>
      </c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</row>
    <row r="18" spans="2:16" x14ac:dyDescent="0.25">
      <c r="B18" s="4">
        <v>9</v>
      </c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</row>
    <row r="19" spans="2:16" x14ac:dyDescent="0.25">
      <c r="B19" s="4">
        <v>10</v>
      </c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</row>
    <row r="20" spans="2:16" x14ac:dyDescent="0.25">
      <c r="B20" s="4">
        <v>11</v>
      </c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</row>
    <row r="21" spans="2:16" x14ac:dyDescent="0.25">
      <c r="B21" s="4">
        <v>12</v>
      </c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</row>
  </sheetData>
  <dataValidations count="3">
    <dataValidation type="list" allowBlank="1" showInputMessage="1" showErrorMessage="1" sqref="C3" xr:uid="{00000000-0002-0000-0600-000000000000}">
      <formula1>"Hourly,Daily,Monthly"</formula1>
    </dataValidation>
    <dataValidation type="list" allowBlank="1" showInputMessage="1" showErrorMessage="1" sqref="C8:F8" xr:uid="{00000000-0002-0000-0600-000001000000}">
      <formula1>"RT,AVG,MAX,MIN,SUM,COUNT"</formula1>
    </dataValidation>
    <dataValidation type="list" allowBlank="1" showInputMessage="1" showErrorMessage="1" sqref="C4" xr:uid="{00000000-0002-0000-0600-000002000000}">
      <formula1>"2018,2019,2020,2021,2022,2023,2024,2025,2026,2027,2028"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UpdateAllColumns_AllRows">
                <anchor moveWithCells="1" sizeWithCells="1">
                  <from>
                    <xdr:col>3</xdr:col>
                    <xdr:colOff>28575</xdr:colOff>
                    <xdr:row>1</xdr:row>
                    <xdr:rowOff>19050</xdr:rowOff>
                  </from>
                  <to>
                    <xdr:col>3</xdr:col>
                    <xdr:colOff>1000125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settings</vt:lpstr>
      <vt:lpstr>Flow Totals</vt:lpstr>
      <vt:lpstr>DailyReport</vt:lpstr>
      <vt:lpstr>MonthlyReport</vt:lpstr>
      <vt:lpstr>AdvancedReport</vt:lpstr>
      <vt:lpstr>24 Hours</vt:lpstr>
      <vt:lpstr>31 Days</vt:lpstr>
      <vt:lpstr>12 Months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Ahmed saadawy</cp:lastModifiedBy>
  <cp:lastPrinted>2018-07-08T14:23:53Z</cp:lastPrinted>
  <dcterms:created xsi:type="dcterms:W3CDTF">2011-08-25T14:29:57Z</dcterms:created>
  <dcterms:modified xsi:type="dcterms:W3CDTF">2025-03-16T13:31:42Z</dcterms:modified>
</cp:coreProperties>
</file>